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cm-app\scm-tower\data\"/>
    </mc:Choice>
  </mc:AlternateContent>
  <bookViews>
    <workbookView xWindow="0" yWindow="0" windowWidth="20490" windowHeight="7815" activeTab="1"/>
  </bookViews>
  <sheets>
    <sheet name="TEMPLATE HITUNG VOLUME" sheetId="1" r:id="rId1"/>
    <sheet name="MASTER VOLUME" sheetId="2" r:id="rId2"/>
    <sheet name="Sheet1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'MASTER VOLUME'!$A$2:$AC$536</definedName>
    <definedName name="NomorTO">'[1]TO HEADER'!$A:$A</definedName>
    <definedName name="_xlnm.Print_Area" localSheetId="0">'TEMPLATE HITUNG VOLUME'!$A$1:$O$7</definedName>
  </definedNames>
  <calcPr calcId="152511"/>
</workbook>
</file>

<file path=xl/calcChain.xml><?xml version="1.0" encoding="utf-8"?>
<calcChain xmlns="http://schemas.openxmlformats.org/spreadsheetml/2006/main">
  <c r="AD1" i="3" l="1"/>
  <c r="Z1" i="3"/>
  <c r="P1" i="3"/>
  <c r="M1" i="3"/>
  <c r="J1" i="3"/>
  <c r="AC487" i="2"/>
  <c r="AB487" i="2"/>
  <c r="AA487" i="2"/>
  <c r="Z487" i="2"/>
  <c r="Y487" i="2"/>
  <c r="J487" i="2"/>
  <c r="AC481" i="2"/>
  <c r="AB481" i="2"/>
  <c r="AA481" i="2"/>
  <c r="Z481" i="2"/>
  <c r="Y481" i="2"/>
  <c r="J481" i="2"/>
  <c r="AC480" i="2"/>
  <c r="AA480" i="2"/>
  <c r="Y480" i="2"/>
  <c r="P480" i="2"/>
  <c r="M480" i="2"/>
  <c r="AB480" i="2" s="1"/>
  <c r="J480" i="2"/>
  <c r="Z479" i="2"/>
  <c r="P479" i="2"/>
  <c r="M479" i="2"/>
  <c r="J479" i="2"/>
  <c r="AC478" i="2"/>
  <c r="AA478" i="2"/>
  <c r="Y478" i="2"/>
  <c r="P478" i="2"/>
  <c r="M478" i="2"/>
  <c r="AB478" i="2" s="1"/>
  <c r="J478" i="2"/>
  <c r="AC477" i="2"/>
  <c r="AB477" i="2"/>
  <c r="AA477" i="2"/>
  <c r="Z477" i="2"/>
  <c r="Y477" i="2"/>
  <c r="J477" i="2"/>
  <c r="AC476" i="2"/>
  <c r="AB476" i="2"/>
  <c r="AA476" i="2"/>
  <c r="Z476" i="2"/>
  <c r="Y476" i="2"/>
  <c r="J476" i="2"/>
  <c r="AC475" i="2"/>
  <c r="AB475" i="2"/>
  <c r="AA475" i="2"/>
  <c r="Z475" i="2"/>
  <c r="Y475" i="2"/>
  <c r="J475" i="2"/>
  <c r="AC474" i="2"/>
  <c r="AB474" i="2"/>
  <c r="AA474" i="2"/>
  <c r="Z474" i="2"/>
  <c r="Y474" i="2"/>
  <c r="J474" i="2"/>
  <c r="AC473" i="2"/>
  <c r="AB473" i="2"/>
  <c r="AA473" i="2"/>
  <c r="Z473" i="2"/>
  <c r="Y473" i="2"/>
  <c r="J473" i="2"/>
  <c r="Z472" i="2"/>
  <c r="P472" i="2"/>
  <c r="M472" i="2"/>
  <c r="J472" i="2"/>
  <c r="AC471" i="2"/>
  <c r="AA471" i="2"/>
  <c r="Y471" i="2"/>
  <c r="P471" i="2"/>
  <c r="M471" i="2"/>
  <c r="AB471" i="2" s="1"/>
  <c r="J471" i="2"/>
  <c r="Z470" i="2"/>
  <c r="P470" i="2"/>
  <c r="M470" i="2"/>
  <c r="J470" i="2"/>
  <c r="AC469" i="2"/>
  <c r="AA469" i="2"/>
  <c r="Y469" i="2"/>
  <c r="P469" i="2"/>
  <c r="M469" i="2"/>
  <c r="AB469" i="2" s="1"/>
  <c r="J469" i="2"/>
  <c r="Z468" i="2"/>
  <c r="P468" i="2"/>
  <c r="M468" i="2"/>
  <c r="J468" i="2"/>
  <c r="AC467" i="2"/>
  <c r="AA467" i="2"/>
  <c r="Y467" i="2"/>
  <c r="P467" i="2"/>
  <c r="M467" i="2"/>
  <c r="AB467" i="2" s="1"/>
  <c r="J467" i="2"/>
  <c r="Z466" i="2"/>
  <c r="P466" i="2"/>
  <c r="M466" i="2"/>
  <c r="J466" i="2"/>
  <c r="AC465" i="2"/>
  <c r="AA465" i="2"/>
  <c r="Y465" i="2"/>
  <c r="P465" i="2"/>
  <c r="M465" i="2"/>
  <c r="AB465" i="2" s="1"/>
  <c r="J465" i="2"/>
  <c r="Z464" i="2"/>
  <c r="P464" i="2"/>
  <c r="M464" i="2"/>
  <c r="J464" i="2"/>
  <c r="AC463" i="2"/>
  <c r="AA463" i="2"/>
  <c r="Y463" i="2"/>
  <c r="P463" i="2"/>
  <c r="M463" i="2"/>
  <c r="AB463" i="2" s="1"/>
  <c r="J463" i="2"/>
  <c r="Z462" i="2"/>
  <c r="P462" i="2"/>
  <c r="M462" i="2"/>
  <c r="J462" i="2"/>
  <c r="AC461" i="2"/>
  <c r="AA461" i="2"/>
  <c r="Y461" i="2"/>
  <c r="P461" i="2"/>
  <c r="M461" i="2"/>
  <c r="AB461" i="2" s="1"/>
  <c r="J461" i="2"/>
  <c r="Z460" i="2"/>
  <c r="P460" i="2"/>
  <c r="M460" i="2"/>
  <c r="L460" i="2"/>
  <c r="J460" i="2"/>
  <c r="P459" i="2"/>
  <c r="M459" i="2"/>
  <c r="J459" i="2"/>
  <c r="AC458" i="2"/>
  <c r="AA458" i="2"/>
  <c r="Y458" i="2"/>
  <c r="P458" i="2"/>
  <c r="M458" i="2"/>
  <c r="AB458" i="2" s="1"/>
  <c r="J458" i="2"/>
  <c r="AB457" i="2"/>
  <c r="P457" i="2"/>
  <c r="M457" i="2"/>
  <c r="J457" i="2"/>
  <c r="AC456" i="2"/>
  <c r="AA456" i="2"/>
  <c r="Y456" i="2"/>
  <c r="P456" i="2"/>
  <c r="M456" i="2"/>
  <c r="AB456" i="2" s="1"/>
  <c r="J456" i="2"/>
  <c r="M455" i="2"/>
  <c r="J455" i="2"/>
  <c r="AC454" i="2"/>
  <c r="AA454" i="2"/>
  <c r="Y454" i="2"/>
  <c r="P454" i="2"/>
  <c r="M454" i="2"/>
  <c r="AB454" i="2" s="1"/>
  <c r="J454" i="2"/>
  <c r="AB453" i="2"/>
  <c r="P453" i="2"/>
  <c r="M453" i="2"/>
  <c r="J453" i="2"/>
  <c r="AC452" i="2"/>
  <c r="AA452" i="2"/>
  <c r="Y452" i="2"/>
  <c r="P452" i="2"/>
  <c r="M452" i="2"/>
  <c r="AB452" i="2" s="1"/>
  <c r="J452" i="2"/>
  <c r="P451" i="2"/>
  <c r="M451" i="2"/>
  <c r="J451" i="2"/>
  <c r="AC450" i="2"/>
  <c r="AA450" i="2"/>
  <c r="Y450" i="2"/>
  <c r="P450" i="2"/>
  <c r="M450" i="2"/>
  <c r="AB450" i="2" s="1"/>
  <c r="J450" i="2"/>
  <c r="AB449" i="2"/>
  <c r="P449" i="2"/>
  <c r="M449" i="2"/>
  <c r="J449" i="2"/>
  <c r="Z448" i="2"/>
  <c r="P448" i="2"/>
  <c r="M448" i="2"/>
  <c r="J448" i="2"/>
  <c r="AC447" i="2"/>
  <c r="AA447" i="2"/>
  <c r="Y447" i="2"/>
  <c r="P447" i="2"/>
  <c r="M447" i="2"/>
  <c r="AB447" i="2" s="1"/>
  <c r="J447" i="2"/>
  <c r="Z446" i="2"/>
  <c r="P446" i="2"/>
  <c r="M446" i="2"/>
  <c r="J446" i="2"/>
  <c r="AC445" i="2"/>
  <c r="AA445" i="2"/>
  <c r="Y445" i="2"/>
  <c r="P445" i="2"/>
  <c r="M445" i="2"/>
  <c r="AB445" i="2" s="1"/>
  <c r="J445" i="2"/>
  <c r="Z444" i="2"/>
  <c r="P444" i="2"/>
  <c r="M444" i="2"/>
  <c r="J444" i="2"/>
  <c r="AC443" i="2"/>
  <c r="AA443" i="2"/>
  <c r="Y443" i="2"/>
  <c r="P443" i="2"/>
  <c r="M443" i="2"/>
  <c r="AB443" i="2" s="1"/>
  <c r="J443" i="2"/>
  <c r="Z442" i="2"/>
  <c r="P442" i="2"/>
  <c r="M442" i="2"/>
  <c r="J442" i="2"/>
  <c r="AC441" i="2"/>
  <c r="AA441" i="2"/>
  <c r="Y441" i="2"/>
  <c r="P441" i="2"/>
  <c r="M441" i="2"/>
  <c r="AB441" i="2" s="1"/>
  <c r="J441" i="2"/>
  <c r="Z440" i="2"/>
  <c r="P440" i="2"/>
  <c r="M440" i="2"/>
  <c r="J440" i="2"/>
  <c r="AC439" i="2"/>
  <c r="AA439" i="2"/>
  <c r="Y439" i="2"/>
  <c r="P439" i="2"/>
  <c r="M439" i="2"/>
  <c r="AB439" i="2" s="1"/>
  <c r="J439" i="2"/>
  <c r="Z438" i="2"/>
  <c r="P438" i="2"/>
  <c r="M438" i="2"/>
  <c r="J438" i="2"/>
  <c r="AC437" i="2"/>
  <c r="AA437" i="2"/>
  <c r="Y437" i="2"/>
  <c r="P437" i="2"/>
  <c r="M437" i="2"/>
  <c r="AB437" i="2" s="1"/>
  <c r="J437" i="2"/>
  <c r="Z436" i="2"/>
  <c r="P436" i="2"/>
  <c r="M436" i="2"/>
  <c r="J436" i="2"/>
  <c r="AC435" i="2"/>
  <c r="AA435" i="2"/>
  <c r="Y435" i="2"/>
  <c r="P435" i="2"/>
  <c r="M435" i="2"/>
  <c r="AB435" i="2" s="1"/>
  <c r="J435" i="2"/>
  <c r="Z434" i="2"/>
  <c r="P434" i="2"/>
  <c r="M434" i="2"/>
  <c r="J434" i="2"/>
  <c r="AC433" i="2"/>
  <c r="AA433" i="2"/>
  <c r="Y433" i="2"/>
  <c r="P433" i="2"/>
  <c r="M433" i="2"/>
  <c r="AB433" i="2" s="1"/>
  <c r="J433" i="2"/>
  <c r="Z432" i="2"/>
  <c r="P432" i="2"/>
  <c r="M432" i="2"/>
  <c r="J432" i="2"/>
  <c r="AC431" i="2"/>
  <c r="AA431" i="2"/>
  <c r="Y431" i="2"/>
  <c r="P431" i="2"/>
  <c r="M431" i="2"/>
  <c r="AB431" i="2" s="1"/>
  <c r="J431" i="2"/>
  <c r="Z430" i="2"/>
  <c r="P430" i="2"/>
  <c r="M430" i="2"/>
  <c r="J430" i="2"/>
  <c r="AA429" i="2"/>
  <c r="P429" i="2"/>
  <c r="M429" i="2"/>
  <c r="J429" i="2"/>
  <c r="Z428" i="2"/>
  <c r="P428" i="2"/>
  <c r="M428" i="2"/>
  <c r="J428" i="2"/>
  <c r="AC427" i="2"/>
  <c r="AA427" i="2"/>
  <c r="Y427" i="2"/>
  <c r="P427" i="2"/>
  <c r="M427" i="2"/>
  <c r="AB427" i="2" s="1"/>
  <c r="J427" i="2"/>
  <c r="Z426" i="2"/>
  <c r="P426" i="2"/>
  <c r="M426" i="2"/>
  <c r="J426" i="2"/>
  <c r="AC425" i="2"/>
  <c r="AA425" i="2"/>
  <c r="Y425" i="2"/>
  <c r="P425" i="2"/>
  <c r="M425" i="2"/>
  <c r="AB425" i="2" s="1"/>
  <c r="J425" i="2"/>
  <c r="Z424" i="2"/>
  <c r="P424" i="2"/>
  <c r="M424" i="2"/>
  <c r="J424" i="2"/>
  <c r="AC423" i="2"/>
  <c r="AA423" i="2"/>
  <c r="Y423" i="2"/>
  <c r="P423" i="2"/>
  <c r="M423" i="2"/>
  <c r="AB423" i="2" s="1"/>
  <c r="J423" i="2"/>
  <c r="Z422" i="2"/>
  <c r="P422" i="2"/>
  <c r="M422" i="2"/>
  <c r="J422" i="2"/>
  <c r="AC421" i="2"/>
  <c r="AA421" i="2"/>
  <c r="Y421" i="2"/>
  <c r="P421" i="2"/>
  <c r="M421" i="2"/>
  <c r="AB421" i="2" s="1"/>
  <c r="J421" i="2"/>
  <c r="Z420" i="2"/>
  <c r="P420" i="2"/>
  <c r="M420" i="2"/>
  <c r="J420" i="2"/>
  <c r="AC419" i="2"/>
  <c r="AA419" i="2"/>
  <c r="Y419" i="2"/>
  <c r="P419" i="2"/>
  <c r="M419" i="2"/>
  <c r="AB419" i="2" s="1"/>
  <c r="J419" i="2"/>
  <c r="Z418" i="2"/>
  <c r="P418" i="2"/>
  <c r="M418" i="2"/>
  <c r="J418" i="2"/>
  <c r="AC417" i="2"/>
  <c r="AA417" i="2"/>
  <c r="Y417" i="2"/>
  <c r="P417" i="2"/>
  <c r="M417" i="2"/>
  <c r="AB417" i="2" s="1"/>
  <c r="J417" i="2"/>
  <c r="Z416" i="2"/>
  <c r="P416" i="2"/>
  <c r="M416" i="2"/>
  <c r="J416" i="2"/>
  <c r="AC415" i="2"/>
  <c r="AA415" i="2"/>
  <c r="Y415" i="2"/>
  <c r="P415" i="2"/>
  <c r="M415" i="2"/>
  <c r="AB415" i="2" s="1"/>
  <c r="J415" i="2"/>
  <c r="Z414" i="2"/>
  <c r="P414" i="2"/>
  <c r="M414" i="2"/>
  <c r="J414" i="2"/>
  <c r="AC413" i="2"/>
  <c r="AA413" i="2"/>
  <c r="Y413" i="2"/>
  <c r="P413" i="2"/>
  <c r="M413" i="2"/>
  <c r="AB413" i="2" s="1"/>
  <c r="J413" i="2"/>
  <c r="Z412" i="2"/>
  <c r="P412" i="2"/>
  <c r="M412" i="2"/>
  <c r="J412" i="2"/>
  <c r="AC411" i="2"/>
  <c r="AA411" i="2"/>
  <c r="Y411" i="2"/>
  <c r="P411" i="2"/>
  <c r="M411" i="2"/>
  <c r="AB411" i="2" s="1"/>
  <c r="J411" i="2"/>
  <c r="Z410" i="2"/>
  <c r="P410" i="2"/>
  <c r="M410" i="2"/>
  <c r="J410" i="2"/>
  <c r="AC409" i="2"/>
  <c r="AA409" i="2"/>
  <c r="Y409" i="2"/>
  <c r="P409" i="2"/>
  <c r="M409" i="2"/>
  <c r="AB409" i="2" s="1"/>
  <c r="J409" i="2"/>
  <c r="Z408" i="2"/>
  <c r="P408" i="2"/>
  <c r="M408" i="2"/>
  <c r="J408" i="2"/>
  <c r="AC407" i="2"/>
  <c r="AA407" i="2"/>
  <c r="Y407" i="2"/>
  <c r="P407" i="2"/>
  <c r="M407" i="2"/>
  <c r="AB407" i="2" s="1"/>
  <c r="J407" i="2"/>
  <c r="Z406" i="2"/>
  <c r="P406" i="2"/>
  <c r="M406" i="2"/>
  <c r="J406" i="2"/>
  <c r="AC405" i="2"/>
  <c r="AA405" i="2"/>
  <c r="Y405" i="2"/>
  <c r="P405" i="2"/>
  <c r="M405" i="2"/>
  <c r="AB405" i="2" s="1"/>
  <c r="J405" i="2"/>
  <c r="Z404" i="2"/>
  <c r="P404" i="2"/>
  <c r="M404" i="2"/>
  <c r="J404" i="2"/>
  <c r="AC403" i="2"/>
  <c r="AA403" i="2"/>
  <c r="Y403" i="2"/>
  <c r="P403" i="2"/>
  <c r="M403" i="2"/>
  <c r="AB403" i="2" s="1"/>
  <c r="J403" i="2"/>
  <c r="Z402" i="2"/>
  <c r="P402" i="2"/>
  <c r="M402" i="2"/>
  <c r="J402" i="2"/>
  <c r="AC401" i="2"/>
  <c r="AA401" i="2"/>
  <c r="Y401" i="2"/>
  <c r="P401" i="2"/>
  <c r="M401" i="2"/>
  <c r="AB401" i="2" s="1"/>
  <c r="J401" i="2"/>
  <c r="Z400" i="2"/>
  <c r="P400" i="2"/>
  <c r="M400" i="2"/>
  <c r="J400" i="2"/>
  <c r="AC399" i="2"/>
  <c r="AA399" i="2"/>
  <c r="Y399" i="2"/>
  <c r="P399" i="2"/>
  <c r="M399" i="2"/>
  <c r="AB399" i="2" s="1"/>
  <c r="J399" i="2"/>
  <c r="Z398" i="2"/>
  <c r="P398" i="2"/>
  <c r="M398" i="2"/>
  <c r="J398" i="2"/>
  <c r="AC397" i="2"/>
  <c r="AA397" i="2"/>
  <c r="Y397" i="2"/>
  <c r="P397" i="2"/>
  <c r="M397" i="2"/>
  <c r="AB397" i="2" s="1"/>
  <c r="J397" i="2"/>
  <c r="Z396" i="2"/>
  <c r="P396" i="2"/>
  <c r="M396" i="2"/>
  <c r="J396" i="2"/>
  <c r="AC395" i="2"/>
  <c r="AA395" i="2"/>
  <c r="Y395" i="2"/>
  <c r="P395" i="2"/>
  <c r="M395" i="2"/>
  <c r="AB395" i="2" s="1"/>
  <c r="J395" i="2"/>
  <c r="Z394" i="2"/>
  <c r="P394" i="2"/>
  <c r="M394" i="2"/>
  <c r="J394" i="2"/>
  <c r="AC393" i="2"/>
  <c r="AA393" i="2"/>
  <c r="Y393" i="2"/>
  <c r="P393" i="2"/>
  <c r="M393" i="2"/>
  <c r="AB393" i="2" s="1"/>
  <c r="J393" i="2"/>
  <c r="Z392" i="2"/>
  <c r="P392" i="2"/>
  <c r="M392" i="2"/>
  <c r="J392" i="2"/>
  <c r="AC391" i="2"/>
  <c r="AA391" i="2"/>
  <c r="Y391" i="2"/>
  <c r="P391" i="2"/>
  <c r="M391" i="2"/>
  <c r="AB391" i="2" s="1"/>
  <c r="J391" i="2"/>
  <c r="Z390" i="2"/>
  <c r="P390" i="2"/>
  <c r="M390" i="2"/>
  <c r="J390" i="2"/>
  <c r="AC389" i="2"/>
  <c r="AA389" i="2"/>
  <c r="Y389" i="2"/>
  <c r="P389" i="2"/>
  <c r="M389" i="2"/>
  <c r="AB389" i="2" s="1"/>
  <c r="J389" i="2"/>
  <c r="Z388" i="2"/>
  <c r="P388" i="2"/>
  <c r="M388" i="2"/>
  <c r="J388" i="2"/>
  <c r="AC387" i="2"/>
  <c r="AA387" i="2"/>
  <c r="Y387" i="2"/>
  <c r="P387" i="2"/>
  <c r="M387" i="2"/>
  <c r="AB387" i="2" s="1"/>
  <c r="J387" i="2"/>
  <c r="Z386" i="2"/>
  <c r="P386" i="2"/>
  <c r="M386" i="2"/>
  <c r="J386" i="2"/>
  <c r="AC385" i="2"/>
  <c r="AA385" i="2"/>
  <c r="Y385" i="2"/>
  <c r="P385" i="2"/>
  <c r="M385" i="2"/>
  <c r="AB385" i="2" s="1"/>
  <c r="J385" i="2"/>
  <c r="Z384" i="2"/>
  <c r="P384" i="2"/>
  <c r="M384" i="2"/>
  <c r="J384" i="2"/>
  <c r="AA383" i="2"/>
  <c r="P383" i="2"/>
  <c r="M383" i="2"/>
  <c r="J383" i="2"/>
  <c r="Z382" i="2"/>
  <c r="P382" i="2"/>
  <c r="M382" i="2"/>
  <c r="J382" i="2"/>
  <c r="AC381" i="2"/>
  <c r="AA381" i="2"/>
  <c r="Y381" i="2"/>
  <c r="P381" i="2"/>
  <c r="M381" i="2"/>
  <c r="AB381" i="2" s="1"/>
  <c r="J381" i="2"/>
  <c r="Z380" i="2"/>
  <c r="P380" i="2"/>
  <c r="M380" i="2"/>
  <c r="J380" i="2"/>
  <c r="AC379" i="2"/>
  <c r="AA379" i="2"/>
  <c r="Y379" i="2"/>
  <c r="P379" i="2"/>
  <c r="M379" i="2"/>
  <c r="AB379" i="2" s="1"/>
  <c r="J379" i="2"/>
  <c r="Z378" i="2"/>
  <c r="P378" i="2"/>
  <c r="M378" i="2"/>
  <c r="J378" i="2"/>
  <c r="AC377" i="2"/>
  <c r="AA377" i="2"/>
  <c r="Y377" i="2"/>
  <c r="P377" i="2"/>
  <c r="M377" i="2"/>
  <c r="AB377" i="2" s="1"/>
  <c r="J377" i="2"/>
  <c r="Z376" i="2"/>
  <c r="P376" i="2"/>
  <c r="M376" i="2"/>
  <c r="J376" i="2"/>
  <c r="AC375" i="2"/>
  <c r="AA375" i="2"/>
  <c r="Y375" i="2"/>
  <c r="P375" i="2"/>
  <c r="M375" i="2"/>
  <c r="AB375" i="2" s="1"/>
  <c r="J375" i="2"/>
  <c r="Z374" i="2"/>
  <c r="P374" i="2"/>
  <c r="M374" i="2"/>
  <c r="J374" i="2"/>
  <c r="AC373" i="2"/>
  <c r="AA373" i="2"/>
  <c r="Y373" i="2"/>
  <c r="P373" i="2"/>
  <c r="M373" i="2"/>
  <c r="AB373" i="2" s="1"/>
  <c r="J373" i="2"/>
  <c r="Z372" i="2"/>
  <c r="P372" i="2"/>
  <c r="M372" i="2"/>
  <c r="J372" i="2"/>
  <c r="AC371" i="2"/>
  <c r="AA371" i="2"/>
  <c r="Y371" i="2"/>
  <c r="P371" i="2"/>
  <c r="M371" i="2"/>
  <c r="AB371" i="2" s="1"/>
  <c r="J371" i="2"/>
  <c r="Z370" i="2"/>
  <c r="P370" i="2"/>
  <c r="M370" i="2"/>
  <c r="J370" i="2"/>
  <c r="AC369" i="2"/>
  <c r="AA369" i="2"/>
  <c r="Y369" i="2"/>
  <c r="P369" i="2"/>
  <c r="M369" i="2"/>
  <c r="AB369" i="2" s="1"/>
  <c r="J369" i="2"/>
  <c r="Z368" i="2"/>
  <c r="P368" i="2"/>
  <c r="M368" i="2"/>
  <c r="J368" i="2"/>
  <c r="AC367" i="2"/>
  <c r="AA367" i="2"/>
  <c r="Y367" i="2"/>
  <c r="P367" i="2"/>
  <c r="M367" i="2"/>
  <c r="AB367" i="2" s="1"/>
  <c r="J367" i="2"/>
  <c r="Z366" i="2"/>
  <c r="P366" i="2"/>
  <c r="M366" i="2"/>
  <c r="J366" i="2"/>
  <c r="AC365" i="2"/>
  <c r="AA365" i="2"/>
  <c r="Y365" i="2"/>
  <c r="P365" i="2"/>
  <c r="M365" i="2"/>
  <c r="AB365" i="2" s="1"/>
  <c r="J365" i="2"/>
  <c r="Z364" i="2"/>
  <c r="P364" i="2"/>
  <c r="M364" i="2"/>
  <c r="J364" i="2"/>
  <c r="AC363" i="2"/>
  <c r="AA363" i="2"/>
  <c r="Y363" i="2"/>
  <c r="P363" i="2"/>
  <c r="M363" i="2"/>
  <c r="AB363" i="2" s="1"/>
  <c r="J363" i="2"/>
  <c r="Z362" i="2"/>
  <c r="P362" i="2"/>
  <c r="M362" i="2"/>
  <c r="J362" i="2"/>
  <c r="AC361" i="2"/>
  <c r="AA361" i="2"/>
  <c r="Y361" i="2"/>
  <c r="P361" i="2"/>
  <c r="M361" i="2"/>
  <c r="AB361" i="2" s="1"/>
  <c r="J361" i="2"/>
  <c r="Z360" i="2"/>
  <c r="P360" i="2"/>
  <c r="M360" i="2"/>
  <c r="J360" i="2"/>
  <c r="AC359" i="2"/>
  <c r="AA359" i="2"/>
  <c r="Y359" i="2"/>
  <c r="P359" i="2"/>
  <c r="M359" i="2"/>
  <c r="AB359" i="2" s="1"/>
  <c r="J359" i="2"/>
  <c r="Z358" i="2"/>
  <c r="P358" i="2"/>
  <c r="M358" i="2"/>
  <c r="J358" i="2"/>
  <c r="AC357" i="2"/>
  <c r="AA357" i="2"/>
  <c r="Y357" i="2"/>
  <c r="P357" i="2"/>
  <c r="M357" i="2"/>
  <c r="AB357" i="2" s="1"/>
  <c r="J357" i="2"/>
  <c r="Z356" i="2"/>
  <c r="P356" i="2"/>
  <c r="M356" i="2"/>
  <c r="J356" i="2"/>
  <c r="AC355" i="2"/>
  <c r="AA355" i="2"/>
  <c r="Y355" i="2"/>
  <c r="P355" i="2"/>
  <c r="M355" i="2"/>
  <c r="AB355" i="2" s="1"/>
  <c r="J355" i="2"/>
  <c r="Z354" i="2"/>
  <c r="P354" i="2"/>
  <c r="M354" i="2"/>
  <c r="J354" i="2"/>
  <c r="AC353" i="2"/>
  <c r="AA353" i="2"/>
  <c r="Y353" i="2"/>
  <c r="P353" i="2"/>
  <c r="M353" i="2"/>
  <c r="AB353" i="2" s="1"/>
  <c r="J353" i="2"/>
  <c r="Z352" i="2"/>
  <c r="P352" i="2"/>
  <c r="M352" i="2"/>
  <c r="J352" i="2"/>
  <c r="AC351" i="2"/>
  <c r="AA351" i="2"/>
  <c r="Y351" i="2"/>
  <c r="P351" i="2"/>
  <c r="M351" i="2"/>
  <c r="AB351" i="2" s="1"/>
  <c r="J351" i="2"/>
  <c r="Z350" i="2"/>
  <c r="P350" i="2"/>
  <c r="M350" i="2"/>
  <c r="J350" i="2"/>
  <c r="AC349" i="2"/>
  <c r="AA349" i="2"/>
  <c r="Y349" i="2"/>
  <c r="P349" i="2"/>
  <c r="M349" i="2"/>
  <c r="AB349" i="2" s="1"/>
  <c r="J349" i="2"/>
  <c r="Z348" i="2"/>
  <c r="P348" i="2"/>
  <c r="M348" i="2"/>
  <c r="J348" i="2"/>
  <c r="AC347" i="2"/>
  <c r="AA347" i="2"/>
  <c r="Y347" i="2"/>
  <c r="P347" i="2"/>
  <c r="M347" i="2"/>
  <c r="AB347" i="2" s="1"/>
  <c r="J347" i="2"/>
  <c r="Z346" i="2"/>
  <c r="P346" i="2"/>
  <c r="M346" i="2"/>
  <c r="J346" i="2"/>
  <c r="AC345" i="2"/>
  <c r="AA345" i="2"/>
  <c r="Y345" i="2"/>
  <c r="P345" i="2"/>
  <c r="M345" i="2"/>
  <c r="AB345" i="2" s="1"/>
  <c r="J345" i="2"/>
  <c r="Z344" i="2"/>
  <c r="P344" i="2"/>
  <c r="M344" i="2"/>
  <c r="J344" i="2"/>
  <c r="AC343" i="2"/>
  <c r="AA343" i="2"/>
  <c r="Y343" i="2"/>
  <c r="P343" i="2"/>
  <c r="M343" i="2"/>
  <c r="AB343" i="2" s="1"/>
  <c r="J343" i="2"/>
  <c r="Z342" i="2"/>
  <c r="P342" i="2"/>
  <c r="M342" i="2"/>
  <c r="J342" i="2"/>
  <c r="AC341" i="2"/>
  <c r="AA341" i="2"/>
  <c r="Y341" i="2"/>
  <c r="P341" i="2"/>
  <c r="M341" i="2"/>
  <c r="AB341" i="2" s="1"/>
  <c r="J341" i="2"/>
  <c r="Z340" i="2"/>
  <c r="P340" i="2"/>
  <c r="M340" i="2"/>
  <c r="J340" i="2"/>
  <c r="AC339" i="2"/>
  <c r="AA339" i="2"/>
  <c r="Y339" i="2"/>
  <c r="P339" i="2"/>
  <c r="M339" i="2"/>
  <c r="AB339" i="2" s="1"/>
  <c r="J339" i="2"/>
  <c r="Z338" i="2"/>
  <c r="P338" i="2"/>
  <c r="M338" i="2"/>
  <c r="J338" i="2"/>
  <c r="AC337" i="2"/>
  <c r="AA337" i="2"/>
  <c r="Y337" i="2"/>
  <c r="P337" i="2"/>
  <c r="M337" i="2"/>
  <c r="AB337" i="2" s="1"/>
  <c r="J337" i="2"/>
  <c r="Z336" i="2"/>
  <c r="P336" i="2"/>
  <c r="M336" i="2"/>
  <c r="J336" i="2"/>
  <c r="AC335" i="2"/>
  <c r="AA335" i="2"/>
  <c r="Y335" i="2"/>
  <c r="P335" i="2"/>
  <c r="M335" i="2"/>
  <c r="AB335" i="2" s="1"/>
  <c r="J335" i="2"/>
  <c r="Z334" i="2"/>
  <c r="P334" i="2"/>
  <c r="M334" i="2"/>
  <c r="J334" i="2"/>
  <c r="AC333" i="2"/>
  <c r="AA333" i="2"/>
  <c r="Y333" i="2"/>
  <c r="P333" i="2"/>
  <c r="M333" i="2"/>
  <c r="AB333" i="2" s="1"/>
  <c r="J333" i="2"/>
  <c r="Z332" i="2"/>
  <c r="P332" i="2"/>
  <c r="M332" i="2"/>
  <c r="J332" i="2"/>
  <c r="AC331" i="2"/>
  <c r="AA331" i="2"/>
  <c r="Y331" i="2"/>
  <c r="P331" i="2"/>
  <c r="M331" i="2"/>
  <c r="AB331" i="2" s="1"/>
  <c r="J331" i="2"/>
  <c r="Z330" i="2"/>
  <c r="P330" i="2"/>
  <c r="M330" i="2"/>
  <c r="J330" i="2"/>
  <c r="AC329" i="2"/>
  <c r="AA329" i="2"/>
  <c r="Y329" i="2"/>
  <c r="P329" i="2"/>
  <c r="M329" i="2"/>
  <c r="AB329" i="2" s="1"/>
  <c r="J329" i="2"/>
  <c r="Z328" i="2"/>
  <c r="P328" i="2"/>
  <c r="M328" i="2"/>
  <c r="J328" i="2"/>
  <c r="AC327" i="2"/>
  <c r="AA327" i="2"/>
  <c r="Y327" i="2"/>
  <c r="P327" i="2"/>
  <c r="M327" i="2"/>
  <c r="AB327" i="2" s="1"/>
  <c r="J327" i="2"/>
  <c r="Z326" i="2"/>
  <c r="P326" i="2"/>
  <c r="M326" i="2"/>
  <c r="J326" i="2"/>
  <c r="AC325" i="2"/>
  <c r="AA325" i="2"/>
  <c r="Y325" i="2"/>
  <c r="P325" i="2"/>
  <c r="M325" i="2"/>
  <c r="AB325" i="2" s="1"/>
  <c r="J325" i="2"/>
  <c r="Z324" i="2"/>
  <c r="P324" i="2"/>
  <c r="M324" i="2"/>
  <c r="J324" i="2"/>
  <c r="AC323" i="2"/>
  <c r="AA323" i="2"/>
  <c r="Y323" i="2"/>
  <c r="P323" i="2"/>
  <c r="M323" i="2"/>
  <c r="AB323" i="2" s="1"/>
  <c r="J323" i="2"/>
  <c r="Z322" i="2"/>
  <c r="P322" i="2"/>
  <c r="M322" i="2"/>
  <c r="J322" i="2"/>
  <c r="AC321" i="2"/>
  <c r="AA321" i="2"/>
  <c r="Y321" i="2"/>
  <c r="P321" i="2"/>
  <c r="M321" i="2"/>
  <c r="AB321" i="2" s="1"/>
  <c r="J321" i="2"/>
  <c r="Z320" i="2"/>
  <c r="P320" i="2"/>
  <c r="M320" i="2"/>
  <c r="J320" i="2"/>
  <c r="AC319" i="2"/>
  <c r="AA319" i="2"/>
  <c r="Y319" i="2"/>
  <c r="P319" i="2"/>
  <c r="M319" i="2"/>
  <c r="AB319" i="2" s="1"/>
  <c r="J319" i="2"/>
  <c r="Z318" i="2"/>
  <c r="P318" i="2"/>
  <c r="M318" i="2"/>
  <c r="J318" i="2"/>
  <c r="AC317" i="2"/>
  <c r="AA317" i="2"/>
  <c r="Y317" i="2"/>
  <c r="P317" i="2"/>
  <c r="M317" i="2"/>
  <c r="AB317" i="2" s="1"/>
  <c r="J317" i="2"/>
  <c r="Z316" i="2"/>
  <c r="P316" i="2"/>
  <c r="M316" i="2"/>
  <c r="J316" i="2"/>
  <c r="AC315" i="2"/>
  <c r="AA315" i="2"/>
  <c r="Y315" i="2"/>
  <c r="P315" i="2"/>
  <c r="M315" i="2"/>
  <c r="AB315" i="2" s="1"/>
  <c r="J315" i="2"/>
  <c r="Z314" i="2"/>
  <c r="P314" i="2"/>
  <c r="M314" i="2"/>
  <c r="J314" i="2"/>
  <c r="AC313" i="2"/>
  <c r="AA313" i="2"/>
  <c r="Y313" i="2"/>
  <c r="P313" i="2"/>
  <c r="M313" i="2"/>
  <c r="AB313" i="2" s="1"/>
  <c r="J313" i="2"/>
  <c r="Z312" i="2"/>
  <c r="P312" i="2"/>
  <c r="M312" i="2"/>
  <c r="J312" i="2"/>
  <c r="AC311" i="2"/>
  <c r="AA311" i="2"/>
  <c r="Y311" i="2"/>
  <c r="P311" i="2"/>
  <c r="M311" i="2"/>
  <c r="AB311" i="2" s="1"/>
  <c r="J311" i="2"/>
  <c r="Z310" i="2"/>
  <c r="P310" i="2"/>
  <c r="M310" i="2"/>
  <c r="J310" i="2"/>
  <c r="AC309" i="2"/>
  <c r="AA309" i="2"/>
  <c r="Y309" i="2"/>
  <c r="P309" i="2"/>
  <c r="M309" i="2"/>
  <c r="AB309" i="2" s="1"/>
  <c r="J309" i="2"/>
  <c r="Z308" i="2"/>
  <c r="P308" i="2"/>
  <c r="M308" i="2"/>
  <c r="J308" i="2"/>
  <c r="AC307" i="2"/>
  <c r="AA307" i="2"/>
  <c r="Y307" i="2"/>
  <c r="P307" i="2"/>
  <c r="M307" i="2"/>
  <c r="AB307" i="2" s="1"/>
  <c r="J307" i="2"/>
  <c r="Z306" i="2"/>
  <c r="P306" i="2"/>
  <c r="M306" i="2"/>
  <c r="J306" i="2"/>
  <c r="AC305" i="2"/>
  <c r="AA305" i="2"/>
  <c r="Y305" i="2"/>
  <c r="P305" i="2"/>
  <c r="M305" i="2"/>
  <c r="AB305" i="2" s="1"/>
  <c r="J305" i="2"/>
  <c r="Z304" i="2"/>
  <c r="P304" i="2"/>
  <c r="M304" i="2"/>
  <c r="J304" i="2"/>
  <c r="AC303" i="2"/>
  <c r="AA303" i="2"/>
  <c r="Y303" i="2"/>
  <c r="P303" i="2"/>
  <c r="M303" i="2"/>
  <c r="AB303" i="2" s="1"/>
  <c r="J303" i="2"/>
  <c r="Z302" i="2"/>
  <c r="P302" i="2"/>
  <c r="M302" i="2"/>
  <c r="J302" i="2"/>
  <c r="AC301" i="2"/>
  <c r="AA301" i="2"/>
  <c r="Y301" i="2"/>
  <c r="P301" i="2"/>
  <c r="M301" i="2"/>
  <c r="AB301" i="2" s="1"/>
  <c r="J301" i="2"/>
  <c r="Z300" i="2"/>
  <c r="P300" i="2"/>
  <c r="M300" i="2"/>
  <c r="J300" i="2"/>
  <c r="AC299" i="2"/>
  <c r="AA299" i="2"/>
  <c r="Y299" i="2"/>
  <c r="P299" i="2"/>
  <c r="M299" i="2"/>
  <c r="AB299" i="2" s="1"/>
  <c r="J299" i="2"/>
  <c r="Z298" i="2"/>
  <c r="P298" i="2"/>
  <c r="M298" i="2"/>
  <c r="J298" i="2"/>
  <c r="AC297" i="2"/>
  <c r="AA297" i="2"/>
  <c r="Y297" i="2"/>
  <c r="P297" i="2"/>
  <c r="M297" i="2"/>
  <c r="AB297" i="2" s="1"/>
  <c r="J297" i="2"/>
  <c r="Z296" i="2"/>
  <c r="P296" i="2"/>
  <c r="M296" i="2"/>
  <c r="J296" i="2"/>
  <c r="AC295" i="2"/>
  <c r="AA295" i="2"/>
  <c r="Y295" i="2"/>
  <c r="P295" i="2"/>
  <c r="M295" i="2"/>
  <c r="AB295" i="2" s="1"/>
  <c r="J295" i="2"/>
  <c r="Z294" i="2"/>
  <c r="P294" i="2"/>
  <c r="M294" i="2"/>
  <c r="J294" i="2"/>
  <c r="AC293" i="2"/>
  <c r="AA293" i="2"/>
  <c r="Y293" i="2"/>
  <c r="P293" i="2"/>
  <c r="M293" i="2"/>
  <c r="AB293" i="2" s="1"/>
  <c r="J293" i="2"/>
  <c r="Z292" i="2"/>
  <c r="P292" i="2"/>
  <c r="M292" i="2"/>
  <c r="J292" i="2"/>
  <c r="AC291" i="2"/>
  <c r="AA291" i="2"/>
  <c r="Y291" i="2"/>
  <c r="P291" i="2"/>
  <c r="M291" i="2"/>
  <c r="AB291" i="2" s="1"/>
  <c r="J291" i="2"/>
  <c r="Z290" i="2"/>
  <c r="P290" i="2"/>
  <c r="M290" i="2"/>
  <c r="J290" i="2"/>
  <c r="AA289" i="2"/>
  <c r="P289" i="2"/>
  <c r="M289" i="2"/>
  <c r="J289" i="2"/>
  <c r="Z288" i="2"/>
  <c r="P288" i="2"/>
  <c r="M288" i="2"/>
  <c r="J288" i="2"/>
  <c r="AC287" i="2"/>
  <c r="AA287" i="2"/>
  <c r="Y287" i="2"/>
  <c r="P287" i="2"/>
  <c r="M287" i="2"/>
  <c r="AB287" i="2" s="1"/>
  <c r="J287" i="2"/>
  <c r="Z286" i="2"/>
  <c r="P286" i="2"/>
  <c r="M286" i="2"/>
  <c r="P285" i="2"/>
  <c r="M285" i="2"/>
  <c r="Z284" i="2"/>
  <c r="P284" i="2"/>
  <c r="M284" i="2"/>
  <c r="P283" i="2"/>
  <c r="M283" i="2"/>
  <c r="Z282" i="2"/>
  <c r="P282" i="2"/>
  <c r="M282" i="2"/>
  <c r="P281" i="2"/>
  <c r="M281" i="2"/>
  <c r="Z280" i="2"/>
  <c r="P280" i="2"/>
  <c r="M280" i="2"/>
  <c r="J280" i="2"/>
  <c r="AC279" i="2"/>
  <c r="AA279" i="2"/>
  <c r="Y279" i="2"/>
  <c r="P279" i="2"/>
  <c r="M279" i="2"/>
  <c r="AB279" i="2" s="1"/>
  <c r="J279" i="2"/>
  <c r="Z278" i="2"/>
  <c r="P278" i="2"/>
  <c r="M278" i="2"/>
  <c r="J278" i="2"/>
  <c r="AC277" i="2"/>
  <c r="AA277" i="2"/>
  <c r="Y277" i="2"/>
  <c r="P277" i="2"/>
  <c r="M277" i="2"/>
  <c r="AB277" i="2" s="1"/>
  <c r="J277" i="2"/>
  <c r="Z276" i="2"/>
  <c r="P276" i="2"/>
  <c r="M276" i="2"/>
  <c r="J276" i="2"/>
  <c r="AC275" i="2"/>
  <c r="AA275" i="2"/>
  <c r="Y275" i="2"/>
  <c r="P275" i="2"/>
  <c r="M275" i="2"/>
  <c r="AB275" i="2" s="1"/>
  <c r="J275" i="2"/>
  <c r="AC274" i="2"/>
  <c r="AB274" i="2"/>
  <c r="AA274" i="2"/>
  <c r="Z274" i="2"/>
  <c r="Y274" i="2"/>
  <c r="AC273" i="2"/>
  <c r="AA273" i="2"/>
  <c r="Y273" i="2"/>
  <c r="P273" i="2"/>
  <c r="M273" i="2"/>
  <c r="AB273" i="2" s="1"/>
  <c r="J273" i="2"/>
  <c r="P272" i="2"/>
  <c r="M272" i="2"/>
  <c r="J272" i="2"/>
  <c r="AC271" i="2"/>
  <c r="AA271" i="2"/>
  <c r="Y271" i="2"/>
  <c r="P271" i="2"/>
  <c r="M271" i="2"/>
  <c r="AB271" i="2" s="1"/>
  <c r="J271" i="2"/>
  <c r="P270" i="2"/>
  <c r="M270" i="2"/>
  <c r="J270" i="2"/>
  <c r="AC269" i="2"/>
  <c r="AA269" i="2"/>
  <c r="Y269" i="2"/>
  <c r="P269" i="2"/>
  <c r="M269" i="2"/>
  <c r="AB269" i="2" s="1"/>
  <c r="J269" i="2"/>
  <c r="P268" i="2"/>
  <c r="M268" i="2"/>
  <c r="J268" i="2"/>
  <c r="AC267" i="2"/>
  <c r="AA267" i="2"/>
  <c r="Y267" i="2"/>
  <c r="P267" i="2"/>
  <c r="M267" i="2"/>
  <c r="AB267" i="2" s="1"/>
  <c r="J267" i="2"/>
  <c r="AB266" i="2"/>
  <c r="Z266" i="2"/>
  <c r="P266" i="2"/>
  <c r="M266" i="2"/>
  <c r="AC266" i="2" s="1"/>
  <c r="J266" i="2"/>
  <c r="Z265" i="2"/>
  <c r="P265" i="2"/>
  <c r="M265" i="2"/>
  <c r="J265" i="2"/>
  <c r="AC264" i="2"/>
  <c r="AA264" i="2"/>
  <c r="Y264" i="2"/>
  <c r="P264" i="2"/>
  <c r="M264" i="2"/>
  <c r="AB264" i="2" s="1"/>
  <c r="J264" i="2"/>
  <c r="Z263" i="2"/>
  <c r="P263" i="2"/>
  <c r="M263" i="2"/>
  <c r="J263" i="2"/>
  <c r="AC262" i="2"/>
  <c r="AA262" i="2"/>
  <c r="Y262" i="2"/>
  <c r="P262" i="2"/>
  <c r="M262" i="2"/>
  <c r="AB262" i="2" s="1"/>
  <c r="J262" i="2"/>
  <c r="AC261" i="2"/>
  <c r="AB261" i="2"/>
  <c r="AA261" i="2"/>
  <c r="Z261" i="2"/>
  <c r="Y261" i="2"/>
  <c r="Q261" i="2"/>
  <c r="P261" i="2"/>
  <c r="J261" i="2"/>
  <c r="Z260" i="2"/>
  <c r="P260" i="2"/>
  <c r="M260" i="2"/>
  <c r="J260" i="2"/>
  <c r="AC259" i="2"/>
  <c r="AA259" i="2"/>
  <c r="Y259" i="2"/>
  <c r="P259" i="2"/>
  <c r="M259" i="2"/>
  <c r="AB259" i="2" s="1"/>
  <c r="J259" i="2"/>
  <c r="Z258" i="2"/>
  <c r="P258" i="2"/>
  <c r="M258" i="2"/>
  <c r="J258" i="2"/>
  <c r="AC257" i="2"/>
  <c r="AA257" i="2"/>
  <c r="Y257" i="2"/>
  <c r="P257" i="2"/>
  <c r="M257" i="2"/>
  <c r="AB257" i="2" s="1"/>
  <c r="J257" i="2"/>
  <c r="Z256" i="2"/>
  <c r="P256" i="2"/>
  <c r="M256" i="2"/>
  <c r="J256" i="2"/>
  <c r="AC255" i="2"/>
  <c r="AA255" i="2"/>
  <c r="Y255" i="2"/>
  <c r="P255" i="2"/>
  <c r="M255" i="2"/>
  <c r="AB255" i="2" s="1"/>
  <c r="J255" i="2"/>
  <c r="Z254" i="2"/>
  <c r="P254" i="2"/>
  <c r="M254" i="2"/>
  <c r="J254" i="2"/>
  <c r="AC253" i="2"/>
  <c r="AA253" i="2"/>
  <c r="Y253" i="2"/>
  <c r="P253" i="2"/>
  <c r="M253" i="2"/>
  <c r="AB253" i="2" s="1"/>
  <c r="J253" i="2"/>
  <c r="Z252" i="2"/>
  <c r="P252" i="2"/>
  <c r="M252" i="2"/>
  <c r="J252" i="2"/>
  <c r="AC251" i="2"/>
  <c r="AA251" i="2"/>
  <c r="Y251" i="2"/>
  <c r="P251" i="2"/>
  <c r="M251" i="2"/>
  <c r="AB251" i="2" s="1"/>
  <c r="J251" i="2"/>
  <c r="Z250" i="2"/>
  <c r="P250" i="2"/>
  <c r="M250" i="2"/>
  <c r="J250" i="2"/>
  <c r="AC249" i="2"/>
  <c r="AA249" i="2"/>
  <c r="Y249" i="2"/>
  <c r="P249" i="2"/>
  <c r="M249" i="2"/>
  <c r="AB249" i="2" s="1"/>
  <c r="J249" i="2"/>
  <c r="Z248" i="2"/>
  <c r="P248" i="2"/>
  <c r="M248" i="2"/>
  <c r="J248" i="2"/>
  <c r="AC247" i="2"/>
  <c r="AA247" i="2"/>
  <c r="Y247" i="2"/>
  <c r="P247" i="2"/>
  <c r="M247" i="2"/>
  <c r="AB247" i="2" s="1"/>
  <c r="J247" i="2"/>
  <c r="Z246" i="2"/>
  <c r="P246" i="2"/>
  <c r="M246" i="2"/>
  <c r="J246" i="2"/>
  <c r="AC245" i="2"/>
  <c r="AA245" i="2"/>
  <c r="Y245" i="2"/>
  <c r="P245" i="2"/>
  <c r="M245" i="2"/>
  <c r="AB245" i="2" s="1"/>
  <c r="J245" i="2"/>
  <c r="Z244" i="2"/>
  <c r="P244" i="2"/>
  <c r="M244" i="2"/>
  <c r="J244" i="2"/>
  <c r="AC243" i="2"/>
  <c r="AA243" i="2"/>
  <c r="Y243" i="2"/>
  <c r="P243" i="2"/>
  <c r="M243" i="2"/>
  <c r="AB243" i="2" s="1"/>
  <c r="J243" i="2"/>
  <c r="Z242" i="2"/>
  <c r="P242" i="2"/>
  <c r="M242" i="2"/>
  <c r="J242" i="2"/>
  <c r="AC241" i="2"/>
  <c r="AA241" i="2"/>
  <c r="Y241" i="2"/>
  <c r="P241" i="2"/>
  <c r="M241" i="2"/>
  <c r="AB241" i="2" s="1"/>
  <c r="J241" i="2"/>
  <c r="Z240" i="2"/>
  <c r="P240" i="2"/>
  <c r="M240" i="2"/>
  <c r="J240" i="2"/>
  <c r="AC239" i="2"/>
  <c r="AA239" i="2"/>
  <c r="Y239" i="2"/>
  <c r="P239" i="2"/>
  <c r="M239" i="2"/>
  <c r="AB239" i="2" s="1"/>
  <c r="J239" i="2"/>
  <c r="Z238" i="2"/>
  <c r="P238" i="2"/>
  <c r="M238" i="2"/>
  <c r="J238" i="2"/>
  <c r="AC237" i="2"/>
  <c r="AA237" i="2"/>
  <c r="Y237" i="2"/>
  <c r="P237" i="2"/>
  <c r="M237" i="2"/>
  <c r="AB237" i="2" s="1"/>
  <c r="J237" i="2"/>
  <c r="Z236" i="2"/>
  <c r="P236" i="2"/>
  <c r="M236" i="2"/>
  <c r="J236" i="2"/>
  <c r="AC235" i="2"/>
  <c r="AA235" i="2"/>
  <c r="Y235" i="2"/>
  <c r="P235" i="2"/>
  <c r="M235" i="2"/>
  <c r="AB235" i="2" s="1"/>
  <c r="J235" i="2"/>
  <c r="Z234" i="2"/>
  <c r="P234" i="2"/>
  <c r="M234" i="2"/>
  <c r="J234" i="2"/>
  <c r="AC233" i="2"/>
  <c r="AA233" i="2"/>
  <c r="Y233" i="2"/>
  <c r="P233" i="2"/>
  <c r="M233" i="2"/>
  <c r="AB233" i="2" s="1"/>
  <c r="J233" i="2"/>
  <c r="Z232" i="2"/>
  <c r="P232" i="2"/>
  <c r="M232" i="2"/>
  <c r="J232" i="2"/>
  <c r="AC231" i="2"/>
  <c r="AA231" i="2"/>
  <c r="Y231" i="2"/>
  <c r="P231" i="2"/>
  <c r="M231" i="2"/>
  <c r="AB231" i="2" s="1"/>
  <c r="J231" i="2"/>
  <c r="Z230" i="2"/>
  <c r="P230" i="2"/>
  <c r="M230" i="2"/>
  <c r="J230" i="2"/>
  <c r="AC229" i="2"/>
  <c r="AA229" i="2"/>
  <c r="Y229" i="2"/>
  <c r="P229" i="2"/>
  <c r="M229" i="2"/>
  <c r="AB229" i="2" s="1"/>
  <c r="J229" i="2"/>
  <c r="Z228" i="2"/>
  <c r="P228" i="2"/>
  <c r="M228" i="2"/>
  <c r="J228" i="2"/>
  <c r="AC227" i="2"/>
  <c r="AA227" i="2"/>
  <c r="Y227" i="2"/>
  <c r="P227" i="2"/>
  <c r="M227" i="2"/>
  <c r="AB227" i="2" s="1"/>
  <c r="J227" i="2"/>
  <c r="Z226" i="2"/>
  <c r="P226" i="2"/>
  <c r="M226" i="2"/>
  <c r="J226" i="2"/>
  <c r="AC225" i="2"/>
  <c r="AA225" i="2"/>
  <c r="Y225" i="2"/>
  <c r="P225" i="2"/>
  <c r="M225" i="2"/>
  <c r="AB225" i="2" s="1"/>
  <c r="J225" i="2"/>
  <c r="Z224" i="2"/>
  <c r="P224" i="2"/>
  <c r="M224" i="2"/>
  <c r="J224" i="2"/>
  <c r="AC223" i="2"/>
  <c r="AA223" i="2"/>
  <c r="Y223" i="2"/>
  <c r="P223" i="2"/>
  <c r="M223" i="2"/>
  <c r="AB223" i="2" s="1"/>
  <c r="J223" i="2"/>
  <c r="Z222" i="2"/>
  <c r="P222" i="2"/>
  <c r="M222" i="2"/>
  <c r="J222" i="2"/>
  <c r="AC221" i="2"/>
  <c r="AA221" i="2"/>
  <c r="Y221" i="2"/>
  <c r="P221" i="2"/>
  <c r="M221" i="2"/>
  <c r="AB221" i="2" s="1"/>
  <c r="J221" i="2"/>
  <c r="Z220" i="2"/>
  <c r="P220" i="2"/>
  <c r="M220" i="2"/>
  <c r="J220" i="2"/>
  <c r="AC219" i="2"/>
  <c r="AA219" i="2"/>
  <c r="Y219" i="2"/>
  <c r="P219" i="2"/>
  <c r="M219" i="2"/>
  <c r="AB219" i="2" s="1"/>
  <c r="J219" i="2"/>
  <c r="Z218" i="2"/>
  <c r="P218" i="2"/>
  <c r="M218" i="2"/>
  <c r="J218" i="2"/>
  <c r="AC217" i="2"/>
  <c r="AA217" i="2"/>
  <c r="Y217" i="2"/>
  <c r="P217" i="2"/>
  <c r="M217" i="2"/>
  <c r="AB217" i="2" s="1"/>
  <c r="J217" i="2"/>
  <c r="Z216" i="2"/>
  <c r="P216" i="2"/>
  <c r="M216" i="2"/>
  <c r="J216" i="2"/>
  <c r="AC215" i="2"/>
  <c r="AA215" i="2"/>
  <c r="Y215" i="2"/>
  <c r="P215" i="2"/>
  <c r="M215" i="2"/>
  <c r="AB215" i="2" s="1"/>
  <c r="J215" i="2"/>
  <c r="AB214" i="2"/>
  <c r="Z214" i="2"/>
  <c r="Q214" i="2"/>
  <c r="M214" i="2"/>
  <c r="AC214" i="2" s="1"/>
  <c r="J214" i="2"/>
  <c r="P213" i="2"/>
  <c r="M213" i="2"/>
  <c r="J213" i="2"/>
  <c r="AC212" i="2"/>
  <c r="AA212" i="2"/>
  <c r="Y212" i="2"/>
  <c r="P212" i="2"/>
  <c r="M212" i="2"/>
  <c r="AB212" i="2" s="1"/>
  <c r="J212" i="2"/>
  <c r="AC211" i="2"/>
  <c r="AB211" i="2"/>
  <c r="AA211" i="2"/>
  <c r="Z211" i="2"/>
  <c r="Y211" i="2"/>
  <c r="J211" i="2"/>
  <c r="P210" i="2"/>
  <c r="M210" i="2"/>
  <c r="J210" i="2"/>
  <c r="AC209" i="2"/>
  <c r="AA209" i="2"/>
  <c r="Y209" i="2"/>
  <c r="P209" i="2"/>
  <c r="M209" i="2"/>
  <c r="AB209" i="2" s="1"/>
  <c r="J209" i="2"/>
  <c r="P208" i="2"/>
  <c r="M208" i="2"/>
  <c r="J208" i="2"/>
  <c r="AC207" i="2"/>
  <c r="AA207" i="2"/>
  <c r="Y207" i="2"/>
  <c r="P207" i="2"/>
  <c r="M207" i="2"/>
  <c r="AB207" i="2" s="1"/>
  <c r="J207" i="2"/>
  <c r="P206" i="2"/>
  <c r="M206" i="2"/>
  <c r="J206" i="2"/>
  <c r="AC205" i="2"/>
  <c r="AA205" i="2"/>
  <c r="Y205" i="2"/>
  <c r="P205" i="2"/>
  <c r="M205" i="2"/>
  <c r="AB205" i="2" s="1"/>
  <c r="J205" i="2"/>
  <c r="P204" i="2"/>
  <c r="M204" i="2"/>
  <c r="J204" i="2"/>
  <c r="AC203" i="2"/>
  <c r="AA203" i="2"/>
  <c r="Y203" i="2"/>
  <c r="P203" i="2"/>
  <c r="M203" i="2"/>
  <c r="AB203" i="2" s="1"/>
  <c r="J203" i="2"/>
  <c r="P202" i="2"/>
  <c r="M202" i="2"/>
  <c r="J202" i="2"/>
  <c r="AC201" i="2"/>
  <c r="AA201" i="2"/>
  <c r="Y201" i="2"/>
  <c r="P201" i="2"/>
  <c r="M201" i="2"/>
  <c r="AB201" i="2" s="1"/>
  <c r="J201" i="2"/>
  <c r="P200" i="2"/>
  <c r="M200" i="2"/>
  <c r="Z199" i="2"/>
  <c r="P199" i="2"/>
  <c r="M199" i="2"/>
  <c r="P198" i="2"/>
  <c r="M198" i="2"/>
  <c r="J198" i="2"/>
  <c r="AC197" i="2"/>
  <c r="AA197" i="2"/>
  <c r="Y197" i="2"/>
  <c r="P197" i="2"/>
  <c r="M197" i="2"/>
  <c r="AB197" i="2" s="1"/>
  <c r="J197" i="2"/>
  <c r="P196" i="2"/>
  <c r="M196" i="2"/>
  <c r="J196" i="2"/>
  <c r="AC195" i="2"/>
  <c r="AB195" i="2"/>
  <c r="AA195" i="2"/>
  <c r="Z195" i="2"/>
  <c r="Y195" i="2"/>
  <c r="J195" i="2"/>
  <c r="AC194" i="2"/>
  <c r="AA194" i="2"/>
  <c r="Y194" i="2"/>
  <c r="P194" i="2"/>
  <c r="M194" i="2"/>
  <c r="AB194" i="2" s="1"/>
  <c r="J194" i="2"/>
  <c r="P193" i="2"/>
  <c r="M193" i="2"/>
  <c r="Z192" i="2"/>
  <c r="M192" i="2"/>
  <c r="J192" i="2"/>
  <c r="AC191" i="2"/>
  <c r="AA191" i="2"/>
  <c r="Y191" i="2"/>
  <c r="P191" i="2"/>
  <c r="M191" i="2"/>
  <c r="AB191" i="2" s="1"/>
  <c r="J191" i="2"/>
  <c r="Z190" i="2"/>
  <c r="P190" i="2"/>
  <c r="M190" i="2"/>
  <c r="P189" i="2"/>
  <c r="M189" i="2"/>
  <c r="J189" i="2"/>
  <c r="AC188" i="2"/>
  <c r="AA188" i="2"/>
  <c r="Y188" i="2"/>
  <c r="P188" i="2"/>
  <c r="M188" i="2"/>
  <c r="AB188" i="2" s="1"/>
  <c r="J188" i="2"/>
  <c r="P187" i="2"/>
  <c r="M187" i="2"/>
  <c r="J187" i="2"/>
  <c r="AC186" i="2"/>
  <c r="AA186" i="2"/>
  <c r="Y186" i="2"/>
  <c r="P186" i="2"/>
  <c r="M186" i="2"/>
  <c r="AB186" i="2" s="1"/>
  <c r="J186" i="2"/>
  <c r="P185" i="2"/>
  <c r="M185" i="2"/>
  <c r="J185" i="2"/>
  <c r="AC184" i="2"/>
  <c r="AA184" i="2"/>
  <c r="Y184" i="2"/>
  <c r="P184" i="2"/>
  <c r="M184" i="2"/>
  <c r="AB184" i="2" s="1"/>
  <c r="J184" i="2"/>
  <c r="P183" i="2"/>
  <c r="M183" i="2"/>
  <c r="J183" i="2"/>
  <c r="AC182" i="2"/>
  <c r="AA182" i="2"/>
  <c r="Y182" i="2"/>
  <c r="P182" i="2"/>
  <c r="M182" i="2"/>
  <c r="AB182" i="2" s="1"/>
  <c r="J182" i="2"/>
  <c r="P181" i="2"/>
  <c r="M181" i="2"/>
  <c r="J181" i="2"/>
  <c r="AC180" i="2"/>
  <c r="AA180" i="2"/>
  <c r="Y180" i="2"/>
  <c r="P180" i="2"/>
  <c r="M180" i="2"/>
  <c r="AB180" i="2" s="1"/>
  <c r="J180" i="2"/>
  <c r="P179" i="2"/>
  <c r="M179" i="2"/>
  <c r="J179" i="2"/>
  <c r="AC178" i="2"/>
  <c r="AA178" i="2"/>
  <c r="Y178" i="2"/>
  <c r="P178" i="2"/>
  <c r="M178" i="2"/>
  <c r="AB178" i="2" s="1"/>
  <c r="J178" i="2"/>
  <c r="P177" i="2"/>
  <c r="M177" i="2"/>
  <c r="J177" i="2"/>
  <c r="AC176" i="2"/>
  <c r="AB176" i="2"/>
  <c r="AA176" i="2"/>
  <c r="Z176" i="2"/>
  <c r="Y176" i="2"/>
  <c r="P176" i="2"/>
  <c r="Q176" i="2" s="1"/>
  <c r="J176" i="2"/>
  <c r="AC175" i="2"/>
  <c r="AA175" i="2"/>
  <c r="Y175" i="2"/>
  <c r="P175" i="2"/>
  <c r="M175" i="2"/>
  <c r="AB175" i="2" s="1"/>
  <c r="J175" i="2"/>
  <c r="Z174" i="2"/>
  <c r="P174" i="2"/>
  <c r="M174" i="2"/>
  <c r="J174" i="2"/>
  <c r="AC173" i="2"/>
  <c r="AA173" i="2"/>
  <c r="Y173" i="2"/>
  <c r="P173" i="2"/>
  <c r="M173" i="2"/>
  <c r="AB173" i="2" s="1"/>
  <c r="J173" i="2"/>
  <c r="Z172" i="2"/>
  <c r="P172" i="2"/>
  <c r="M172" i="2"/>
  <c r="J172" i="2"/>
  <c r="AC171" i="2"/>
  <c r="AA171" i="2"/>
  <c r="Y171" i="2"/>
  <c r="P171" i="2"/>
  <c r="M171" i="2"/>
  <c r="AB171" i="2" s="1"/>
  <c r="J171" i="2"/>
  <c r="Z170" i="2"/>
  <c r="P170" i="2"/>
  <c r="M170" i="2"/>
  <c r="J170" i="2"/>
  <c r="AC169" i="2"/>
  <c r="AA169" i="2"/>
  <c r="Y169" i="2"/>
  <c r="P169" i="2"/>
  <c r="M169" i="2"/>
  <c r="AB169" i="2" s="1"/>
  <c r="J169" i="2"/>
  <c r="Z168" i="2"/>
  <c r="P168" i="2"/>
  <c r="M168" i="2"/>
  <c r="J168" i="2"/>
  <c r="AC167" i="2"/>
  <c r="AA167" i="2"/>
  <c r="Y167" i="2"/>
  <c r="P167" i="2"/>
  <c r="M167" i="2"/>
  <c r="AB167" i="2" s="1"/>
  <c r="J167" i="2"/>
  <c r="Z166" i="2"/>
  <c r="P166" i="2"/>
  <c r="M166" i="2"/>
  <c r="J166" i="2"/>
  <c r="AC165" i="2"/>
  <c r="AA165" i="2"/>
  <c r="Y165" i="2"/>
  <c r="P165" i="2"/>
  <c r="M165" i="2"/>
  <c r="AB165" i="2" s="1"/>
  <c r="J165" i="2"/>
  <c r="Z164" i="2"/>
  <c r="P164" i="2"/>
  <c r="M164" i="2"/>
  <c r="J164" i="2"/>
  <c r="AC163" i="2"/>
  <c r="AA163" i="2"/>
  <c r="Y163" i="2"/>
  <c r="P163" i="2"/>
  <c r="M163" i="2"/>
  <c r="AB163" i="2" s="1"/>
  <c r="J163" i="2"/>
  <c r="Z162" i="2"/>
  <c r="P162" i="2"/>
  <c r="M162" i="2"/>
  <c r="J162" i="2"/>
  <c r="AC161" i="2"/>
  <c r="AA161" i="2"/>
  <c r="Y161" i="2"/>
  <c r="P161" i="2"/>
  <c r="M161" i="2"/>
  <c r="AB161" i="2" s="1"/>
  <c r="J161" i="2"/>
  <c r="Z160" i="2"/>
  <c r="P160" i="2"/>
  <c r="M160" i="2"/>
  <c r="J160" i="2"/>
  <c r="AC159" i="2"/>
  <c r="AA159" i="2"/>
  <c r="Y159" i="2"/>
  <c r="P159" i="2"/>
  <c r="M159" i="2"/>
  <c r="AB159" i="2" s="1"/>
  <c r="AC158" i="2"/>
  <c r="AA158" i="2"/>
  <c r="Y158" i="2"/>
  <c r="P158" i="2"/>
  <c r="M158" i="2"/>
  <c r="AB158" i="2" s="1"/>
  <c r="J158" i="2"/>
  <c r="P157" i="2"/>
  <c r="M157" i="2"/>
  <c r="J157" i="2"/>
  <c r="AC156" i="2"/>
  <c r="AA156" i="2"/>
  <c r="Y156" i="2"/>
  <c r="P156" i="2"/>
  <c r="M156" i="2"/>
  <c r="AB156" i="2" s="1"/>
  <c r="J156" i="2"/>
  <c r="P155" i="2"/>
  <c r="M155" i="2"/>
  <c r="J155" i="2"/>
  <c r="AC154" i="2"/>
  <c r="AA154" i="2"/>
  <c r="Y154" i="2"/>
  <c r="P154" i="2"/>
  <c r="M154" i="2"/>
  <c r="AB154" i="2" s="1"/>
  <c r="J154" i="2"/>
  <c r="P153" i="2"/>
  <c r="M153" i="2"/>
  <c r="J153" i="2"/>
  <c r="AC152" i="2"/>
  <c r="AA152" i="2"/>
  <c r="Y152" i="2"/>
  <c r="P152" i="2"/>
  <c r="M152" i="2"/>
  <c r="AB152" i="2" s="1"/>
  <c r="J152" i="2"/>
  <c r="P151" i="2"/>
  <c r="M151" i="2"/>
  <c r="J151" i="2"/>
  <c r="AC150" i="2"/>
  <c r="AA150" i="2"/>
  <c r="Y150" i="2"/>
  <c r="P150" i="2"/>
  <c r="M150" i="2"/>
  <c r="AB150" i="2" s="1"/>
  <c r="J150" i="2"/>
  <c r="P149" i="2"/>
  <c r="M149" i="2"/>
  <c r="J149" i="2"/>
  <c r="AC148" i="2"/>
  <c r="AA148" i="2"/>
  <c r="Y148" i="2"/>
  <c r="P148" i="2"/>
  <c r="M148" i="2"/>
  <c r="AB148" i="2" s="1"/>
  <c r="J148" i="2"/>
  <c r="P147" i="2"/>
  <c r="M147" i="2"/>
  <c r="J147" i="2"/>
  <c r="AC146" i="2"/>
  <c r="AA146" i="2"/>
  <c r="Y146" i="2"/>
  <c r="P146" i="2"/>
  <c r="M146" i="2"/>
  <c r="AB146" i="2" s="1"/>
  <c r="J146" i="2"/>
  <c r="P145" i="2"/>
  <c r="M145" i="2"/>
  <c r="J145" i="2"/>
  <c r="AC144" i="2"/>
  <c r="AA144" i="2"/>
  <c r="Y144" i="2"/>
  <c r="P144" i="2"/>
  <c r="M144" i="2"/>
  <c r="AB144" i="2" s="1"/>
  <c r="J144" i="2"/>
  <c r="P143" i="2"/>
  <c r="M143" i="2"/>
  <c r="J143" i="2"/>
  <c r="AC142" i="2"/>
  <c r="AA142" i="2"/>
  <c r="Y142" i="2"/>
  <c r="P142" i="2"/>
  <c r="M142" i="2"/>
  <c r="AB142" i="2" s="1"/>
  <c r="J142" i="2"/>
  <c r="P141" i="2"/>
  <c r="M141" i="2"/>
  <c r="Z140" i="2"/>
  <c r="P140" i="2"/>
  <c r="M140" i="2"/>
  <c r="P139" i="2"/>
  <c r="M139" i="2"/>
  <c r="J139" i="2"/>
  <c r="AC138" i="2"/>
  <c r="AA138" i="2"/>
  <c r="Y138" i="2"/>
  <c r="P138" i="2"/>
  <c r="M138" i="2"/>
  <c r="AB138" i="2" s="1"/>
  <c r="J138" i="2"/>
  <c r="P137" i="2"/>
  <c r="M137" i="2"/>
  <c r="J137" i="2"/>
  <c r="AC136" i="2"/>
  <c r="AA136" i="2"/>
  <c r="Y136" i="2"/>
  <c r="P136" i="2"/>
  <c r="M136" i="2"/>
  <c r="AB136" i="2" s="1"/>
  <c r="J136" i="2"/>
  <c r="P135" i="2"/>
  <c r="M135" i="2"/>
  <c r="J135" i="2"/>
  <c r="AC134" i="2"/>
  <c r="AA134" i="2"/>
  <c r="Y134" i="2"/>
  <c r="P134" i="2"/>
  <c r="M134" i="2"/>
  <c r="AB134" i="2" s="1"/>
  <c r="J134" i="2"/>
  <c r="P133" i="2"/>
  <c r="M133" i="2"/>
  <c r="J133" i="2"/>
  <c r="AC132" i="2"/>
  <c r="AA132" i="2"/>
  <c r="Y132" i="2"/>
  <c r="P132" i="2"/>
  <c r="M132" i="2"/>
  <c r="AB132" i="2" s="1"/>
  <c r="J132" i="2"/>
  <c r="P131" i="2"/>
  <c r="M131" i="2"/>
  <c r="J131" i="2"/>
  <c r="AC130" i="2"/>
  <c r="AA130" i="2"/>
  <c r="Y130" i="2"/>
  <c r="P130" i="2"/>
  <c r="M130" i="2"/>
  <c r="AB130" i="2" s="1"/>
  <c r="J130" i="2"/>
  <c r="P129" i="2"/>
  <c r="M129" i="2"/>
  <c r="J129" i="2"/>
  <c r="AC128" i="2"/>
  <c r="AA128" i="2"/>
  <c r="Y128" i="2"/>
  <c r="P128" i="2"/>
  <c r="M128" i="2"/>
  <c r="AB128" i="2" s="1"/>
  <c r="J128" i="2"/>
  <c r="P127" i="2"/>
  <c r="M127" i="2"/>
  <c r="J127" i="2"/>
  <c r="AC126" i="2"/>
  <c r="AA126" i="2"/>
  <c r="Y126" i="2"/>
  <c r="P126" i="2"/>
  <c r="M126" i="2"/>
  <c r="AB126" i="2" s="1"/>
  <c r="J126" i="2"/>
  <c r="P125" i="2"/>
  <c r="M125" i="2"/>
  <c r="J125" i="2"/>
  <c r="AC124" i="2"/>
  <c r="AA124" i="2"/>
  <c r="Y124" i="2"/>
  <c r="P124" i="2"/>
  <c r="M124" i="2"/>
  <c r="AB124" i="2" s="1"/>
  <c r="J124" i="2"/>
  <c r="P123" i="2"/>
  <c r="M123" i="2"/>
  <c r="J123" i="2"/>
  <c r="AC122" i="2"/>
  <c r="AA122" i="2"/>
  <c r="Y122" i="2"/>
  <c r="P122" i="2"/>
  <c r="M122" i="2"/>
  <c r="AB122" i="2" s="1"/>
  <c r="J122" i="2"/>
  <c r="P121" i="2"/>
  <c r="M121" i="2"/>
  <c r="J121" i="2"/>
  <c r="AC120" i="2"/>
  <c r="AA120" i="2"/>
  <c r="Y120" i="2"/>
  <c r="P120" i="2"/>
  <c r="M120" i="2"/>
  <c r="AB120" i="2" s="1"/>
  <c r="J120" i="2"/>
  <c r="P119" i="2"/>
  <c r="M119" i="2"/>
  <c r="J119" i="2"/>
  <c r="AC118" i="2"/>
  <c r="AA118" i="2"/>
  <c r="Y118" i="2"/>
  <c r="P118" i="2"/>
  <c r="M118" i="2"/>
  <c r="AB118" i="2" s="1"/>
  <c r="J118" i="2"/>
  <c r="P117" i="2"/>
  <c r="M117" i="2"/>
  <c r="J117" i="2"/>
  <c r="AC116" i="2"/>
  <c r="AA116" i="2"/>
  <c r="Y116" i="2"/>
  <c r="P116" i="2"/>
  <c r="M116" i="2"/>
  <c r="AB116" i="2" s="1"/>
  <c r="J116" i="2"/>
  <c r="P115" i="2"/>
  <c r="M115" i="2"/>
  <c r="J115" i="2"/>
  <c r="AC114" i="2"/>
  <c r="AA114" i="2"/>
  <c r="Y114" i="2"/>
  <c r="P114" i="2"/>
  <c r="M114" i="2"/>
  <c r="AB114" i="2" s="1"/>
  <c r="J114" i="2"/>
  <c r="P113" i="2"/>
  <c r="M113" i="2"/>
  <c r="J113" i="2"/>
  <c r="AC112" i="2"/>
  <c r="AA112" i="2"/>
  <c r="Y112" i="2"/>
  <c r="P112" i="2"/>
  <c r="M112" i="2"/>
  <c r="AB112" i="2" s="1"/>
  <c r="J112" i="2"/>
  <c r="P111" i="2"/>
  <c r="M111" i="2"/>
  <c r="J111" i="2"/>
  <c r="AC110" i="2"/>
  <c r="AA110" i="2"/>
  <c r="Y110" i="2"/>
  <c r="P110" i="2"/>
  <c r="M110" i="2"/>
  <c r="AB110" i="2" s="1"/>
  <c r="J110" i="2"/>
  <c r="P109" i="2"/>
  <c r="M109" i="2"/>
  <c r="J109" i="2"/>
  <c r="AC108" i="2"/>
  <c r="AA108" i="2"/>
  <c r="Y108" i="2"/>
  <c r="P108" i="2"/>
  <c r="M108" i="2"/>
  <c r="AB108" i="2" s="1"/>
  <c r="J108" i="2"/>
  <c r="P107" i="2"/>
  <c r="M107" i="2"/>
  <c r="J107" i="2"/>
  <c r="AC106" i="2"/>
  <c r="AA106" i="2"/>
  <c r="Y106" i="2"/>
  <c r="P106" i="2"/>
  <c r="M106" i="2"/>
  <c r="AB106" i="2" s="1"/>
  <c r="J106" i="2"/>
  <c r="P105" i="2"/>
  <c r="M105" i="2"/>
  <c r="J105" i="2"/>
  <c r="AC104" i="2"/>
  <c r="AA104" i="2"/>
  <c r="Y104" i="2"/>
  <c r="P104" i="2"/>
  <c r="M104" i="2"/>
  <c r="AB104" i="2" s="1"/>
  <c r="J104" i="2"/>
  <c r="P103" i="2"/>
  <c r="M103" i="2"/>
  <c r="J103" i="2"/>
  <c r="AC102" i="2"/>
  <c r="AA102" i="2"/>
  <c r="Y102" i="2"/>
  <c r="P102" i="2"/>
  <c r="M102" i="2"/>
  <c r="AB102" i="2" s="1"/>
  <c r="J102" i="2"/>
  <c r="P101" i="2"/>
  <c r="M101" i="2"/>
  <c r="J101" i="2"/>
  <c r="AC100" i="2"/>
  <c r="AA100" i="2"/>
  <c r="Y100" i="2"/>
  <c r="P100" i="2"/>
  <c r="M100" i="2"/>
  <c r="AB100" i="2" s="1"/>
  <c r="J100" i="2"/>
  <c r="P99" i="2"/>
  <c r="M99" i="2"/>
  <c r="J99" i="2"/>
  <c r="AC98" i="2"/>
  <c r="AA98" i="2"/>
  <c r="Y98" i="2"/>
  <c r="P98" i="2"/>
  <c r="M98" i="2"/>
  <c r="AB98" i="2" s="1"/>
  <c r="J98" i="2"/>
  <c r="P97" i="2"/>
  <c r="M97" i="2"/>
  <c r="J97" i="2"/>
  <c r="AC96" i="2"/>
  <c r="AA96" i="2"/>
  <c r="Y96" i="2"/>
  <c r="P96" i="2"/>
  <c r="M96" i="2"/>
  <c r="AB96" i="2" s="1"/>
  <c r="J96" i="2"/>
  <c r="AC95" i="2"/>
  <c r="AB95" i="2"/>
  <c r="AA95" i="2"/>
  <c r="Z95" i="2"/>
  <c r="Y95" i="2"/>
  <c r="Q95" i="2"/>
  <c r="P95" i="2"/>
  <c r="J95" i="2"/>
  <c r="P94" i="2"/>
  <c r="M94" i="2"/>
  <c r="J94" i="2"/>
  <c r="AC93" i="2"/>
  <c r="Y93" i="2"/>
  <c r="P93" i="2"/>
  <c r="M93" i="2"/>
  <c r="J93" i="2"/>
  <c r="P92" i="2"/>
  <c r="M92" i="2"/>
  <c r="AC92" i="2" s="1"/>
  <c r="J92" i="2"/>
  <c r="AC91" i="2"/>
  <c r="AA91" i="2"/>
  <c r="Y91" i="2"/>
  <c r="P91" i="2"/>
  <c r="M91" i="2"/>
  <c r="AB91" i="2" s="1"/>
  <c r="J91" i="2"/>
  <c r="P90" i="2"/>
  <c r="M90" i="2"/>
  <c r="AC90" i="2" s="1"/>
  <c r="J90" i="2"/>
  <c r="AC89" i="2"/>
  <c r="AA89" i="2"/>
  <c r="Y89" i="2"/>
  <c r="P89" i="2"/>
  <c r="M89" i="2"/>
  <c r="AB89" i="2" s="1"/>
  <c r="J89" i="2"/>
  <c r="P88" i="2"/>
  <c r="M88" i="2"/>
  <c r="AC88" i="2" s="1"/>
  <c r="J88" i="2"/>
  <c r="AC87" i="2"/>
  <c r="AA87" i="2"/>
  <c r="Y87" i="2"/>
  <c r="P87" i="2"/>
  <c r="M87" i="2"/>
  <c r="AB87" i="2" s="1"/>
  <c r="J87" i="2"/>
  <c r="P86" i="2"/>
  <c r="M86" i="2"/>
  <c r="AC86" i="2" s="1"/>
  <c r="J86" i="2"/>
  <c r="AC85" i="2"/>
  <c r="AA85" i="2"/>
  <c r="Y85" i="2"/>
  <c r="P85" i="2"/>
  <c r="M85" i="2"/>
  <c r="AB85" i="2" s="1"/>
  <c r="J85" i="2"/>
  <c r="P84" i="2"/>
  <c r="M84" i="2"/>
  <c r="AC84" i="2" s="1"/>
  <c r="J84" i="2"/>
  <c r="AC83" i="2"/>
  <c r="AA83" i="2"/>
  <c r="Y83" i="2"/>
  <c r="P83" i="2"/>
  <c r="M83" i="2"/>
  <c r="AB83" i="2" s="1"/>
  <c r="J83" i="2"/>
  <c r="P82" i="2"/>
  <c r="M82" i="2"/>
  <c r="AC82" i="2" s="1"/>
  <c r="J82" i="2"/>
  <c r="AC81" i="2"/>
  <c r="AA81" i="2"/>
  <c r="Y81" i="2"/>
  <c r="P81" i="2"/>
  <c r="M81" i="2"/>
  <c r="AB81" i="2" s="1"/>
  <c r="J81" i="2"/>
  <c r="P80" i="2"/>
  <c r="M80" i="2"/>
  <c r="AC80" i="2" s="1"/>
  <c r="J80" i="2"/>
  <c r="AC79" i="2"/>
  <c r="AA79" i="2"/>
  <c r="Y79" i="2"/>
  <c r="P79" i="2"/>
  <c r="M79" i="2"/>
  <c r="AB79" i="2" s="1"/>
  <c r="J79" i="2"/>
  <c r="P78" i="2"/>
  <c r="M78" i="2"/>
  <c r="AC78" i="2" s="1"/>
  <c r="J78" i="2"/>
  <c r="AC77" i="2"/>
  <c r="AA77" i="2"/>
  <c r="Y77" i="2"/>
  <c r="P77" i="2"/>
  <c r="M77" i="2"/>
  <c r="AB77" i="2" s="1"/>
  <c r="J77" i="2"/>
  <c r="P76" i="2"/>
  <c r="M76" i="2"/>
  <c r="AC76" i="2" s="1"/>
  <c r="J76" i="2"/>
  <c r="AC75" i="2"/>
  <c r="AA75" i="2"/>
  <c r="Y75" i="2"/>
  <c r="P75" i="2"/>
  <c r="M75" i="2"/>
  <c r="AB75" i="2" s="1"/>
  <c r="J75" i="2"/>
  <c r="P74" i="2"/>
  <c r="M74" i="2"/>
  <c r="AC74" i="2" s="1"/>
  <c r="J74" i="2"/>
  <c r="AC73" i="2"/>
  <c r="AA73" i="2"/>
  <c r="Y73" i="2"/>
  <c r="P73" i="2"/>
  <c r="M73" i="2"/>
  <c r="AB73" i="2" s="1"/>
  <c r="J73" i="2"/>
  <c r="P72" i="2"/>
  <c r="M72" i="2"/>
  <c r="AC72" i="2" s="1"/>
  <c r="J72" i="2"/>
  <c r="AC71" i="2"/>
  <c r="AA71" i="2"/>
  <c r="Y71" i="2"/>
  <c r="P71" i="2"/>
  <c r="M71" i="2"/>
  <c r="AB71" i="2" s="1"/>
  <c r="J71" i="2"/>
  <c r="P70" i="2"/>
  <c r="M70" i="2"/>
  <c r="AC70" i="2" s="1"/>
  <c r="J70" i="2"/>
  <c r="AC69" i="2"/>
  <c r="AA69" i="2"/>
  <c r="Y69" i="2"/>
  <c r="P69" i="2"/>
  <c r="M69" i="2"/>
  <c r="AB69" i="2" s="1"/>
  <c r="J69" i="2"/>
  <c r="P68" i="2"/>
  <c r="M68" i="2"/>
  <c r="AC68" i="2" s="1"/>
  <c r="J68" i="2"/>
  <c r="AC67" i="2"/>
  <c r="AA67" i="2"/>
  <c r="Y67" i="2"/>
  <c r="P67" i="2"/>
  <c r="M67" i="2"/>
  <c r="AB67" i="2" s="1"/>
  <c r="J67" i="2"/>
  <c r="P66" i="2"/>
  <c r="M66" i="2"/>
  <c r="J66" i="2"/>
  <c r="AC65" i="2"/>
  <c r="AA65" i="2"/>
  <c r="Y65" i="2"/>
  <c r="P65" i="2"/>
  <c r="M65" i="2"/>
  <c r="AB65" i="2" s="1"/>
  <c r="J65" i="2"/>
  <c r="Z64" i="2"/>
  <c r="P64" i="2"/>
  <c r="M64" i="2"/>
  <c r="J64" i="2"/>
  <c r="AC63" i="2"/>
  <c r="AA63" i="2"/>
  <c r="Y63" i="2"/>
  <c r="P63" i="2"/>
  <c r="M63" i="2"/>
  <c r="AB63" i="2" s="1"/>
  <c r="J63" i="2"/>
  <c r="Z62" i="2"/>
  <c r="P62" i="2"/>
  <c r="M62" i="2"/>
  <c r="J62" i="2"/>
  <c r="AC61" i="2"/>
  <c r="AA61" i="2"/>
  <c r="Y61" i="2"/>
  <c r="P61" i="2"/>
  <c r="M61" i="2"/>
  <c r="AB61" i="2" s="1"/>
  <c r="J61" i="2"/>
  <c r="Z60" i="2"/>
  <c r="P60" i="2"/>
  <c r="M60" i="2"/>
  <c r="J60" i="2"/>
  <c r="AC59" i="2"/>
  <c r="AA59" i="2"/>
  <c r="Y59" i="2"/>
  <c r="P59" i="2"/>
  <c r="M59" i="2"/>
  <c r="AB59" i="2" s="1"/>
  <c r="J59" i="2"/>
  <c r="Z58" i="2"/>
  <c r="P58" i="2"/>
  <c r="M58" i="2"/>
  <c r="J58" i="2"/>
  <c r="AC57" i="2"/>
  <c r="AA57" i="2"/>
  <c r="Y57" i="2"/>
  <c r="P57" i="2"/>
  <c r="M57" i="2"/>
  <c r="AB57" i="2" s="1"/>
  <c r="J57" i="2"/>
  <c r="Z56" i="2"/>
  <c r="P56" i="2"/>
  <c r="M56" i="2"/>
  <c r="J56" i="2"/>
  <c r="AC55" i="2"/>
  <c r="AA55" i="2"/>
  <c r="Y55" i="2"/>
  <c r="P55" i="2"/>
  <c r="M55" i="2"/>
  <c r="AB55" i="2" s="1"/>
  <c r="J55" i="2"/>
  <c r="Z54" i="2"/>
  <c r="P54" i="2"/>
  <c r="M54" i="2"/>
  <c r="J54" i="2"/>
  <c r="AC53" i="2"/>
  <c r="AA53" i="2"/>
  <c r="Y53" i="2"/>
  <c r="P53" i="2"/>
  <c r="M53" i="2"/>
  <c r="AB53" i="2" s="1"/>
  <c r="J53" i="2"/>
  <c r="Z52" i="2"/>
  <c r="P52" i="2"/>
  <c r="M52" i="2"/>
  <c r="J52" i="2"/>
  <c r="AC51" i="2"/>
  <c r="AA51" i="2"/>
  <c r="Y51" i="2"/>
  <c r="P51" i="2"/>
  <c r="M51" i="2"/>
  <c r="AB51" i="2" s="1"/>
  <c r="J51" i="2"/>
  <c r="Z50" i="2"/>
  <c r="P50" i="2"/>
  <c r="M50" i="2"/>
  <c r="J50" i="2"/>
  <c r="AC49" i="2"/>
  <c r="AA49" i="2"/>
  <c r="Y49" i="2"/>
  <c r="P49" i="2"/>
  <c r="M49" i="2"/>
  <c r="AB49" i="2" s="1"/>
  <c r="J49" i="2"/>
  <c r="Z48" i="2"/>
  <c r="P48" i="2"/>
  <c r="M48" i="2"/>
  <c r="J48" i="2"/>
  <c r="AC47" i="2"/>
  <c r="AA47" i="2"/>
  <c r="Y47" i="2"/>
  <c r="P47" i="2"/>
  <c r="M47" i="2"/>
  <c r="AB47" i="2" s="1"/>
  <c r="J47" i="2"/>
  <c r="Z46" i="2"/>
  <c r="P46" i="2"/>
  <c r="M46" i="2"/>
  <c r="J46" i="2"/>
  <c r="AC45" i="2"/>
  <c r="AA45" i="2"/>
  <c r="Y45" i="2"/>
  <c r="P45" i="2"/>
  <c r="M45" i="2"/>
  <c r="AB45" i="2" s="1"/>
  <c r="J45" i="2"/>
  <c r="Z44" i="2"/>
  <c r="P44" i="2"/>
  <c r="M44" i="2"/>
  <c r="J44" i="2"/>
  <c r="AC43" i="2"/>
  <c r="AA43" i="2"/>
  <c r="Y43" i="2"/>
  <c r="P43" i="2"/>
  <c r="M43" i="2"/>
  <c r="AB43" i="2" s="1"/>
  <c r="J43" i="2"/>
  <c r="Z42" i="2"/>
  <c r="P42" i="2"/>
  <c r="M42" i="2"/>
  <c r="J42" i="2"/>
  <c r="AC41" i="2"/>
  <c r="AA41" i="2"/>
  <c r="Y41" i="2"/>
  <c r="P41" i="2"/>
  <c r="M41" i="2"/>
  <c r="AB41" i="2" s="1"/>
  <c r="J41" i="2"/>
  <c r="Z40" i="2"/>
  <c r="P40" i="2"/>
  <c r="M40" i="2"/>
  <c r="J40" i="2"/>
  <c r="AC39" i="2"/>
  <c r="AA39" i="2"/>
  <c r="Y39" i="2"/>
  <c r="P39" i="2"/>
  <c r="M39" i="2"/>
  <c r="AB39" i="2" s="1"/>
  <c r="J39" i="2"/>
  <c r="Z38" i="2"/>
  <c r="P38" i="2"/>
  <c r="M38" i="2"/>
  <c r="J38" i="2"/>
  <c r="AC37" i="2"/>
  <c r="AA37" i="2"/>
  <c r="Y37" i="2"/>
  <c r="P37" i="2"/>
  <c r="M37" i="2"/>
  <c r="AB37" i="2" s="1"/>
  <c r="J37" i="2"/>
  <c r="AC36" i="2"/>
  <c r="AB36" i="2"/>
  <c r="AA36" i="2"/>
  <c r="Z36" i="2"/>
  <c r="Y36" i="2"/>
  <c r="AC35" i="2"/>
  <c r="AB35" i="2"/>
  <c r="AA35" i="2"/>
  <c r="Z35" i="2"/>
  <c r="Y35" i="2"/>
  <c r="Z34" i="2"/>
  <c r="P34" i="2"/>
  <c r="M34" i="2"/>
  <c r="J34" i="2"/>
  <c r="AC33" i="2"/>
  <c r="AA33" i="2"/>
  <c r="Y33" i="2"/>
  <c r="P33" i="2"/>
  <c r="M33" i="2"/>
  <c r="AB33" i="2" s="1"/>
  <c r="J33" i="2"/>
  <c r="Z32" i="2"/>
  <c r="P32" i="2"/>
  <c r="M32" i="2"/>
  <c r="J32" i="2"/>
  <c r="AC31" i="2"/>
  <c r="AA31" i="2"/>
  <c r="Y31" i="2"/>
  <c r="P31" i="2"/>
  <c r="M31" i="2"/>
  <c r="AB31" i="2" s="1"/>
  <c r="J31" i="2"/>
  <c r="Z30" i="2"/>
  <c r="P30" i="2"/>
  <c r="M30" i="2"/>
  <c r="P29" i="2"/>
  <c r="M29" i="2"/>
  <c r="J29" i="2"/>
  <c r="AC28" i="2"/>
  <c r="AA28" i="2"/>
  <c r="Y28" i="2"/>
  <c r="P28" i="2"/>
  <c r="M28" i="2"/>
  <c r="AB28" i="2" s="1"/>
  <c r="J28" i="2"/>
  <c r="P27" i="2"/>
  <c r="M27" i="2"/>
  <c r="J27" i="2"/>
  <c r="AC26" i="2"/>
  <c r="AA26" i="2"/>
  <c r="Y26" i="2"/>
  <c r="Q26" i="2"/>
  <c r="P26" i="2"/>
  <c r="M26" i="2"/>
  <c r="AB26" i="2" s="1"/>
  <c r="J26" i="2"/>
  <c r="AB25" i="2"/>
  <c r="Z25" i="2"/>
  <c r="P25" i="2"/>
  <c r="M25" i="2"/>
  <c r="AC25" i="2" s="1"/>
  <c r="J25" i="2"/>
  <c r="AB24" i="2"/>
  <c r="Z24" i="2"/>
  <c r="P24" i="2"/>
  <c r="M24" i="2"/>
  <c r="AC24" i="2" s="1"/>
  <c r="J24" i="2"/>
  <c r="AC23" i="2"/>
  <c r="AB23" i="2"/>
  <c r="AA23" i="2"/>
  <c r="Z23" i="2"/>
  <c r="Y23" i="2"/>
  <c r="Q23" i="2"/>
  <c r="P23" i="2"/>
  <c r="J23" i="2"/>
  <c r="Z22" i="2"/>
  <c r="P22" i="2"/>
  <c r="M22" i="2"/>
  <c r="J22" i="2"/>
  <c r="AC21" i="2"/>
  <c r="AB21" i="2"/>
  <c r="AA21" i="2"/>
  <c r="Z21" i="2"/>
  <c r="Y21" i="2"/>
  <c r="P21" i="2"/>
  <c r="Q21" i="2" s="1"/>
  <c r="J21" i="2"/>
  <c r="AC20" i="2"/>
  <c r="Y20" i="2"/>
  <c r="M20" i="2"/>
  <c r="J20" i="2"/>
  <c r="AC19" i="2"/>
  <c r="AA19" i="2"/>
  <c r="Y19" i="2"/>
  <c r="P19" i="2"/>
  <c r="M19" i="2"/>
  <c r="AB19" i="2" s="1"/>
  <c r="J19" i="2"/>
  <c r="AE18" i="2"/>
  <c r="AC18" i="2"/>
  <c r="AA18" i="2"/>
  <c r="Y18" i="2"/>
  <c r="P18" i="2"/>
  <c r="M18" i="2"/>
  <c r="AB18" i="2" s="1"/>
  <c r="J18" i="2"/>
  <c r="P17" i="2"/>
  <c r="M17" i="2"/>
  <c r="J17" i="2"/>
  <c r="AC16" i="2"/>
  <c r="AA16" i="2"/>
  <c r="Y16" i="2"/>
  <c r="P16" i="2"/>
  <c r="M16" i="2"/>
  <c r="AB16" i="2" s="1"/>
  <c r="J16" i="2"/>
  <c r="P15" i="2"/>
  <c r="M15" i="2"/>
  <c r="J15" i="2"/>
  <c r="AC14" i="2"/>
  <c r="AA14" i="2"/>
  <c r="Y14" i="2"/>
  <c r="P14" i="2"/>
  <c r="M14" i="2"/>
  <c r="AB14" i="2" s="1"/>
  <c r="J14" i="2"/>
  <c r="P13" i="2"/>
  <c r="M13" i="2"/>
  <c r="J13" i="2"/>
  <c r="AC12" i="2"/>
  <c r="AA12" i="2"/>
  <c r="Y12" i="2"/>
  <c r="P12" i="2"/>
  <c r="M12" i="2"/>
  <c r="AB12" i="2" s="1"/>
  <c r="J12" i="2"/>
  <c r="P11" i="2"/>
  <c r="M11" i="2"/>
  <c r="J11" i="2"/>
  <c r="AC10" i="2"/>
  <c r="AA10" i="2"/>
  <c r="Y10" i="2"/>
  <c r="P10" i="2"/>
  <c r="M10" i="2"/>
  <c r="AB10" i="2" s="1"/>
  <c r="J10" i="2"/>
  <c r="P9" i="2"/>
  <c r="M9" i="2"/>
  <c r="J9" i="2"/>
  <c r="AC8" i="2"/>
  <c r="AA8" i="2"/>
  <c r="Y8" i="2"/>
  <c r="P8" i="2"/>
  <c r="M8" i="2"/>
  <c r="AB8" i="2" s="1"/>
  <c r="J8" i="2"/>
  <c r="P7" i="2"/>
  <c r="M7" i="2"/>
  <c r="J7" i="2"/>
  <c r="AC6" i="2"/>
  <c r="AA6" i="2"/>
  <c r="Y6" i="2"/>
  <c r="P6" i="2"/>
  <c r="M6" i="2"/>
  <c r="AB6" i="2" s="1"/>
  <c r="J6" i="2"/>
  <c r="P5" i="2"/>
  <c r="M5" i="2"/>
  <c r="J5" i="2"/>
  <c r="AC4" i="2"/>
  <c r="AA4" i="2"/>
  <c r="Y4" i="2"/>
  <c r="P4" i="2"/>
  <c r="M4" i="2"/>
  <c r="AB4" i="2" s="1"/>
  <c r="J4" i="2"/>
  <c r="P3" i="2"/>
  <c r="M3" i="2"/>
  <c r="J3" i="2"/>
  <c r="N16" i="1"/>
  <c r="I16" i="1"/>
  <c r="G16" i="1"/>
  <c r="F16" i="1"/>
  <c r="D16" i="1"/>
  <c r="N15" i="1"/>
  <c r="L15" i="1"/>
  <c r="K15" i="1"/>
  <c r="J15" i="1"/>
  <c r="I15" i="1"/>
  <c r="H15" i="1"/>
  <c r="G15" i="1"/>
  <c r="F15" i="1"/>
  <c r="D15" i="1"/>
  <c r="N14" i="1"/>
  <c r="L14" i="1"/>
  <c r="K14" i="1" s="1"/>
  <c r="J14" i="1"/>
  <c r="I14" i="1"/>
  <c r="H14" i="1"/>
  <c r="G14" i="1"/>
  <c r="F14" i="1"/>
  <c r="D14" i="1"/>
  <c r="N13" i="1"/>
  <c r="L13" i="1"/>
  <c r="K13" i="1"/>
  <c r="J13" i="1"/>
  <c r="I13" i="1"/>
  <c r="H13" i="1"/>
  <c r="G13" i="1"/>
  <c r="F13" i="1"/>
  <c r="D13" i="1"/>
  <c r="N12" i="1"/>
  <c r="L12" i="1"/>
  <c r="K12" i="1" s="1"/>
  <c r="J12" i="1"/>
  <c r="I12" i="1"/>
  <c r="H12" i="1"/>
  <c r="G12" i="1"/>
  <c r="F12" i="1"/>
  <c r="D12" i="1"/>
  <c r="N11" i="1"/>
  <c r="L11" i="1"/>
  <c r="K11" i="1"/>
  <c r="J11" i="1"/>
  <c r="I11" i="1"/>
  <c r="H11" i="1"/>
  <c r="G11" i="1"/>
  <c r="F11" i="1"/>
  <c r="D11" i="1"/>
  <c r="N10" i="1"/>
  <c r="L10" i="1"/>
  <c r="K10" i="1" s="1"/>
  <c r="J10" i="1"/>
  <c r="I10" i="1"/>
  <c r="H10" i="1"/>
  <c r="G10" i="1"/>
  <c r="F10" i="1"/>
  <c r="D10" i="1"/>
  <c r="N9" i="1"/>
  <c r="L9" i="1"/>
  <c r="K9" i="1"/>
  <c r="J9" i="1"/>
  <c r="I9" i="1"/>
  <c r="H9" i="1"/>
  <c r="G9" i="1"/>
  <c r="F9" i="1"/>
  <c r="D9" i="1"/>
  <c r="N8" i="1"/>
  <c r="L8" i="1"/>
  <c r="K8" i="1" s="1"/>
  <c r="J8" i="1"/>
  <c r="I8" i="1"/>
  <c r="H8" i="1"/>
  <c r="G8" i="1"/>
  <c r="F8" i="1"/>
  <c r="D8" i="1"/>
  <c r="N7" i="1"/>
  <c r="L7" i="1"/>
  <c r="K7" i="1" s="1"/>
  <c r="K5" i="1" s="1"/>
  <c r="J7" i="1"/>
  <c r="J5" i="1" s="1"/>
  <c r="I7" i="1"/>
  <c r="H7" i="1"/>
  <c r="G7" i="1"/>
  <c r="F7" i="1"/>
  <c r="F5" i="1" s="1"/>
  <c r="D7" i="1"/>
  <c r="P5" i="1"/>
  <c r="I5" i="1"/>
  <c r="G5" i="1"/>
  <c r="E5" i="1"/>
  <c r="AC3" i="2" l="1"/>
  <c r="AA3" i="2"/>
  <c r="Y3" i="2"/>
  <c r="Q3" i="2"/>
  <c r="AB3" i="2"/>
  <c r="AC5" i="2"/>
  <c r="AA5" i="2"/>
  <c r="Y5" i="2"/>
  <c r="Q5" i="2"/>
  <c r="AB5" i="2"/>
  <c r="AC7" i="2"/>
  <c r="AA7" i="2"/>
  <c r="Y7" i="2"/>
  <c r="Q7" i="2"/>
  <c r="AB7" i="2"/>
  <c r="AC9" i="2"/>
  <c r="AA9" i="2"/>
  <c r="Y9" i="2"/>
  <c r="Q9" i="2"/>
  <c r="AB9" i="2"/>
  <c r="AC11" i="2"/>
  <c r="AA11" i="2"/>
  <c r="Y11" i="2"/>
  <c r="Q11" i="2"/>
  <c r="AB11" i="2"/>
  <c r="AC13" i="2"/>
  <c r="AA13" i="2"/>
  <c r="Y13" i="2"/>
  <c r="Q13" i="2"/>
  <c r="AB13" i="2"/>
  <c r="AC15" i="2"/>
  <c r="AA15" i="2"/>
  <c r="Y15" i="2"/>
  <c r="Q15" i="2"/>
  <c r="AB15" i="2"/>
  <c r="AC17" i="2"/>
  <c r="AA17" i="2"/>
  <c r="Y17" i="2"/>
  <c r="Q17" i="2"/>
  <c r="AB17" i="2"/>
  <c r="AC27" i="2"/>
  <c r="AA27" i="2"/>
  <c r="Y27" i="2"/>
  <c r="Q27" i="2"/>
  <c r="AB27" i="2"/>
  <c r="AC29" i="2"/>
  <c r="AA29" i="2"/>
  <c r="Y29" i="2"/>
  <c r="Q29" i="2"/>
  <c r="AB29" i="2"/>
  <c r="L5" i="1"/>
  <c r="Z3" i="2"/>
  <c r="Z5" i="2"/>
  <c r="Z7" i="2"/>
  <c r="Z9" i="2"/>
  <c r="Z11" i="2"/>
  <c r="Z13" i="2"/>
  <c r="Z15" i="2"/>
  <c r="Z17" i="2"/>
  <c r="AB20" i="2"/>
  <c r="Z20" i="2"/>
  <c r="Q20" i="2"/>
  <c r="AA20" i="2"/>
  <c r="AC22" i="2"/>
  <c r="AA22" i="2"/>
  <c r="Y22" i="2"/>
  <c r="Q22" i="2"/>
  <c r="AB22" i="2"/>
  <c r="Z27" i="2"/>
  <c r="Z29" i="2"/>
  <c r="AC30" i="2"/>
  <c r="AA30" i="2"/>
  <c r="Y30" i="2"/>
  <c r="Q30" i="2"/>
  <c r="AB30" i="2"/>
  <c r="AC32" i="2"/>
  <c r="AA32" i="2"/>
  <c r="Y32" i="2"/>
  <c r="Q32" i="2"/>
  <c r="AB32" i="2"/>
  <c r="AC34" i="2"/>
  <c r="AA34" i="2"/>
  <c r="Y34" i="2"/>
  <c r="Q34" i="2"/>
  <c r="AB34" i="2"/>
  <c r="AC38" i="2"/>
  <c r="AA38" i="2"/>
  <c r="Y38" i="2"/>
  <c r="Q38" i="2"/>
  <c r="AB38" i="2"/>
  <c r="AC40" i="2"/>
  <c r="AA40" i="2"/>
  <c r="Y40" i="2"/>
  <c r="Q40" i="2"/>
  <c r="AB40" i="2"/>
  <c r="AC42" i="2"/>
  <c r="AA42" i="2"/>
  <c r="Y42" i="2"/>
  <c r="Q42" i="2"/>
  <c r="AB42" i="2"/>
  <c r="AC44" i="2"/>
  <c r="AA44" i="2"/>
  <c r="Y44" i="2"/>
  <c r="Q44" i="2"/>
  <c r="AB44" i="2"/>
  <c r="AC46" i="2"/>
  <c r="AA46" i="2"/>
  <c r="Y46" i="2"/>
  <c r="Q46" i="2"/>
  <c r="AB46" i="2"/>
  <c r="AC48" i="2"/>
  <c r="AA48" i="2"/>
  <c r="Y48" i="2"/>
  <c r="Q48" i="2"/>
  <c r="AB48" i="2"/>
  <c r="AC50" i="2"/>
  <c r="AA50" i="2"/>
  <c r="Y50" i="2"/>
  <c r="Q50" i="2"/>
  <c r="AB50" i="2"/>
  <c r="AC52" i="2"/>
  <c r="AA52" i="2"/>
  <c r="Y52" i="2"/>
  <c r="Q52" i="2"/>
  <c r="AB52" i="2"/>
  <c r="AC54" i="2"/>
  <c r="AA54" i="2"/>
  <c r="Y54" i="2"/>
  <c r="Q54" i="2"/>
  <c r="AB54" i="2"/>
  <c r="AC56" i="2"/>
  <c r="AA56" i="2"/>
  <c r="Y56" i="2"/>
  <c r="Q56" i="2"/>
  <c r="AB56" i="2"/>
  <c r="AC58" i="2"/>
  <c r="AA58" i="2"/>
  <c r="Y58" i="2"/>
  <c r="Q58" i="2"/>
  <c r="AB58" i="2"/>
  <c r="AC60" i="2"/>
  <c r="AA60" i="2"/>
  <c r="Y60" i="2"/>
  <c r="L16" i="1"/>
  <c r="K16" i="1" s="1"/>
  <c r="J16" i="1"/>
  <c r="H16" i="1"/>
  <c r="H5" i="1" s="1"/>
  <c r="E20" i="1" s="1"/>
  <c r="E21" i="1" s="1"/>
  <c r="Q60" i="2"/>
  <c r="AB60" i="2"/>
  <c r="AC62" i="2"/>
  <c r="AA62" i="2"/>
  <c r="Y62" i="2"/>
  <c r="Q62" i="2"/>
  <c r="AB62" i="2"/>
  <c r="AC64" i="2"/>
  <c r="AA64" i="2"/>
  <c r="Y64" i="2"/>
  <c r="Q64" i="2"/>
  <c r="AB64" i="2"/>
  <c r="AC66" i="2"/>
  <c r="AA66" i="2"/>
  <c r="Y66" i="2"/>
  <c r="AB66" i="2"/>
  <c r="Z66" i="2"/>
  <c r="Q66" i="2"/>
  <c r="Q68" i="2"/>
  <c r="Z68" i="2"/>
  <c r="AB68" i="2"/>
  <c r="Q70" i="2"/>
  <c r="Z70" i="2"/>
  <c r="AB70" i="2"/>
  <c r="Q72" i="2"/>
  <c r="Z72" i="2"/>
  <c r="AB72" i="2"/>
  <c r="Q74" i="2"/>
  <c r="Z74" i="2"/>
  <c r="AB74" i="2"/>
  <c r="Q76" i="2"/>
  <c r="Z76" i="2"/>
  <c r="AB76" i="2"/>
  <c r="Q78" i="2"/>
  <c r="Z78" i="2"/>
  <c r="AB78" i="2"/>
  <c r="Q80" i="2"/>
  <c r="Z80" i="2"/>
  <c r="AB80" i="2"/>
  <c r="Q82" i="2"/>
  <c r="Z82" i="2"/>
  <c r="AB82" i="2"/>
  <c r="Q84" i="2"/>
  <c r="Z84" i="2"/>
  <c r="AB84" i="2"/>
  <c r="Q86" i="2"/>
  <c r="Z86" i="2"/>
  <c r="AB86" i="2"/>
  <c r="Q88" i="2"/>
  <c r="Z88" i="2"/>
  <c r="AB88" i="2"/>
  <c r="Q90" i="2"/>
  <c r="Z90" i="2"/>
  <c r="AB90" i="2"/>
  <c r="Q92" i="2"/>
  <c r="Z92" i="2"/>
  <c r="AB92" i="2"/>
  <c r="AC94" i="2"/>
  <c r="AA94" i="2"/>
  <c r="Y94" i="2"/>
  <c r="Q94" i="2"/>
  <c r="AB94" i="2"/>
  <c r="AC97" i="2"/>
  <c r="AA97" i="2"/>
  <c r="Y97" i="2"/>
  <c r="Q97" i="2"/>
  <c r="AB97" i="2"/>
  <c r="AC99" i="2"/>
  <c r="AA99" i="2"/>
  <c r="Y99" i="2"/>
  <c r="Q99" i="2"/>
  <c r="AB99" i="2"/>
  <c r="AC101" i="2"/>
  <c r="AA101" i="2"/>
  <c r="Y101" i="2"/>
  <c r="Q101" i="2"/>
  <c r="AB101" i="2"/>
  <c r="AC103" i="2"/>
  <c r="AA103" i="2"/>
  <c r="Y103" i="2"/>
  <c r="Q103" i="2"/>
  <c r="AB103" i="2"/>
  <c r="AC105" i="2"/>
  <c r="AA105" i="2"/>
  <c r="Y105" i="2"/>
  <c r="Q105" i="2"/>
  <c r="AB105" i="2"/>
  <c r="AC107" i="2"/>
  <c r="AA107" i="2"/>
  <c r="Y107" i="2"/>
  <c r="Q107" i="2"/>
  <c r="AB107" i="2"/>
  <c r="AC109" i="2"/>
  <c r="AA109" i="2"/>
  <c r="Y109" i="2"/>
  <c r="Q109" i="2"/>
  <c r="AB109" i="2"/>
  <c r="AC111" i="2"/>
  <c r="AA111" i="2"/>
  <c r="Y111" i="2"/>
  <c r="Q111" i="2"/>
  <c r="AB111" i="2"/>
  <c r="AC113" i="2"/>
  <c r="AA113" i="2"/>
  <c r="Y113" i="2"/>
  <c r="Q113" i="2"/>
  <c r="AB113" i="2"/>
  <c r="AC115" i="2"/>
  <c r="AA115" i="2"/>
  <c r="Y115" i="2"/>
  <c r="Q115" i="2"/>
  <c r="AB115" i="2"/>
  <c r="AC117" i="2"/>
  <c r="AA117" i="2"/>
  <c r="Y117" i="2"/>
  <c r="Q117" i="2"/>
  <c r="AB117" i="2"/>
  <c r="AC119" i="2"/>
  <c r="AA119" i="2"/>
  <c r="Y119" i="2"/>
  <c r="Q119" i="2"/>
  <c r="AB119" i="2"/>
  <c r="AC121" i="2"/>
  <c r="AA121" i="2"/>
  <c r="Y121" i="2"/>
  <c r="Q121" i="2"/>
  <c r="AB121" i="2"/>
  <c r="AC123" i="2"/>
  <c r="AA123" i="2"/>
  <c r="Y123" i="2"/>
  <c r="Q123" i="2"/>
  <c r="AB123" i="2"/>
  <c r="AC125" i="2"/>
  <c r="AA125" i="2"/>
  <c r="Y125" i="2"/>
  <c r="Q125" i="2"/>
  <c r="AB125" i="2"/>
  <c r="AC127" i="2"/>
  <c r="AA127" i="2"/>
  <c r="Y127" i="2"/>
  <c r="Q127" i="2"/>
  <c r="AB127" i="2"/>
  <c r="AC129" i="2"/>
  <c r="AA129" i="2"/>
  <c r="Y129" i="2"/>
  <c r="Q129" i="2"/>
  <c r="AB129" i="2"/>
  <c r="AC131" i="2"/>
  <c r="AA131" i="2"/>
  <c r="Y131" i="2"/>
  <c r="Q131" i="2"/>
  <c r="AB131" i="2"/>
  <c r="AC133" i="2"/>
  <c r="AA133" i="2"/>
  <c r="Y133" i="2"/>
  <c r="Q133" i="2"/>
  <c r="AB133" i="2"/>
  <c r="AC135" i="2"/>
  <c r="AA135" i="2"/>
  <c r="Y135" i="2"/>
  <c r="Q135" i="2"/>
  <c r="AB135" i="2"/>
  <c r="AC137" i="2"/>
  <c r="AA137" i="2"/>
  <c r="Y137" i="2"/>
  <c r="Q137" i="2"/>
  <c r="AB137" i="2"/>
  <c r="AC139" i="2"/>
  <c r="AA139" i="2"/>
  <c r="Y139" i="2"/>
  <c r="Q139" i="2"/>
  <c r="AB139" i="2"/>
  <c r="AC141" i="2"/>
  <c r="AA141" i="2"/>
  <c r="Y141" i="2"/>
  <c r="Q141" i="2"/>
  <c r="AB141" i="2"/>
  <c r="AC143" i="2"/>
  <c r="AA143" i="2"/>
  <c r="Y143" i="2"/>
  <c r="Q143" i="2"/>
  <c r="AB143" i="2"/>
  <c r="AC145" i="2"/>
  <c r="AA145" i="2"/>
  <c r="Y145" i="2"/>
  <c r="Q145" i="2"/>
  <c r="AB145" i="2"/>
  <c r="AC147" i="2"/>
  <c r="AA147" i="2"/>
  <c r="Y147" i="2"/>
  <c r="Q147" i="2"/>
  <c r="AB147" i="2"/>
  <c r="AC149" i="2"/>
  <c r="AA149" i="2"/>
  <c r="Y149" i="2"/>
  <c r="Q149" i="2"/>
  <c r="AB149" i="2"/>
  <c r="AC151" i="2"/>
  <c r="AA151" i="2"/>
  <c r="Y151" i="2"/>
  <c r="Q151" i="2"/>
  <c r="AB151" i="2"/>
  <c r="AC153" i="2"/>
  <c r="AA153" i="2"/>
  <c r="Y153" i="2"/>
  <c r="Q153" i="2"/>
  <c r="AB153" i="2"/>
  <c r="AC155" i="2"/>
  <c r="AA155" i="2"/>
  <c r="Y155" i="2"/>
  <c r="Q155" i="2"/>
  <c r="AB155" i="2"/>
  <c r="AC157" i="2"/>
  <c r="AA157" i="2"/>
  <c r="Y157" i="2"/>
  <c r="Q157" i="2"/>
  <c r="AB157" i="2"/>
  <c r="AC177" i="2"/>
  <c r="AA177" i="2"/>
  <c r="Y177" i="2"/>
  <c r="Q177" i="2"/>
  <c r="AB177" i="2"/>
  <c r="AC179" i="2"/>
  <c r="AA179" i="2"/>
  <c r="Y179" i="2"/>
  <c r="Q179" i="2"/>
  <c r="AB179" i="2"/>
  <c r="AC181" i="2"/>
  <c r="AA181" i="2"/>
  <c r="Y181" i="2"/>
  <c r="Q181" i="2"/>
  <c r="AB181" i="2"/>
  <c r="AC183" i="2"/>
  <c r="AA183" i="2"/>
  <c r="Y183" i="2"/>
  <c r="Q183" i="2"/>
  <c r="AB183" i="2"/>
  <c r="AC185" i="2"/>
  <c r="AA185" i="2"/>
  <c r="Y185" i="2"/>
  <c r="Q185" i="2"/>
  <c r="AB185" i="2"/>
  <c r="AC187" i="2"/>
  <c r="AA187" i="2"/>
  <c r="Y187" i="2"/>
  <c r="Q187" i="2"/>
  <c r="AB187" i="2"/>
  <c r="AC189" i="2"/>
  <c r="AA189" i="2"/>
  <c r="Y189" i="2"/>
  <c r="Q189" i="2"/>
  <c r="AB189" i="2"/>
  <c r="AC193" i="2"/>
  <c r="AA193" i="2"/>
  <c r="Y193" i="2"/>
  <c r="Q193" i="2"/>
  <c r="AB193" i="2"/>
  <c r="AC196" i="2"/>
  <c r="AA196" i="2"/>
  <c r="Y196" i="2"/>
  <c r="Q196" i="2"/>
  <c r="AB196" i="2"/>
  <c r="AC198" i="2"/>
  <c r="AA198" i="2"/>
  <c r="Y198" i="2"/>
  <c r="Q198" i="2"/>
  <c r="AB198" i="2"/>
  <c r="AC200" i="2"/>
  <c r="AA200" i="2"/>
  <c r="Y200" i="2"/>
  <c r="Q200" i="2"/>
  <c r="AB200" i="2"/>
  <c r="AC202" i="2"/>
  <c r="AA202" i="2"/>
  <c r="Y202" i="2"/>
  <c r="Q202" i="2"/>
  <c r="AB202" i="2"/>
  <c r="AC204" i="2"/>
  <c r="AA204" i="2"/>
  <c r="Y204" i="2"/>
  <c r="Q204" i="2"/>
  <c r="AB204" i="2"/>
  <c r="AC206" i="2"/>
  <c r="AA206" i="2"/>
  <c r="Y206" i="2"/>
  <c r="Q206" i="2"/>
  <c r="AB206" i="2"/>
  <c r="AC208" i="2"/>
  <c r="AA208" i="2"/>
  <c r="Y208" i="2"/>
  <c r="Q208" i="2"/>
  <c r="AB208" i="2"/>
  <c r="AC210" i="2"/>
  <c r="AA210" i="2"/>
  <c r="Y210" i="2"/>
  <c r="Q210" i="2"/>
  <c r="AB210" i="2"/>
  <c r="AC213" i="2"/>
  <c r="AA213" i="2"/>
  <c r="Y213" i="2"/>
  <c r="Q213" i="2"/>
  <c r="AB213" i="2"/>
  <c r="AC268" i="2"/>
  <c r="AA268" i="2"/>
  <c r="Y268" i="2"/>
  <c r="Q268" i="2"/>
  <c r="AB268" i="2"/>
  <c r="AC270" i="2"/>
  <c r="AA270" i="2"/>
  <c r="Y270" i="2"/>
  <c r="Q270" i="2"/>
  <c r="AB270" i="2"/>
  <c r="AC272" i="2"/>
  <c r="AA272" i="2"/>
  <c r="Y272" i="2"/>
  <c r="Q272" i="2"/>
  <c r="AB272" i="2"/>
  <c r="AC281" i="2"/>
  <c r="AA281" i="2"/>
  <c r="Y281" i="2"/>
  <c r="Q281" i="2"/>
  <c r="AB281" i="2"/>
  <c r="AC283" i="2"/>
  <c r="AA283" i="2"/>
  <c r="Y283" i="2"/>
  <c r="Q283" i="2"/>
  <c r="AB283" i="2"/>
  <c r="AC285" i="2"/>
  <c r="AA285" i="2"/>
  <c r="Y285" i="2"/>
  <c r="Q285" i="2"/>
  <c r="AB285" i="2"/>
  <c r="Q4" i="2"/>
  <c r="Z4" i="2"/>
  <c r="Q6" i="2"/>
  <c r="Z6" i="2"/>
  <c r="Q8" i="2"/>
  <c r="Z8" i="2"/>
  <c r="Q10" i="2"/>
  <c r="Z10" i="2"/>
  <c r="Q12" i="2"/>
  <c r="Z12" i="2"/>
  <c r="Q14" i="2"/>
  <c r="Z14" i="2"/>
  <c r="Q16" i="2"/>
  <c r="Z16" i="2"/>
  <c r="Q18" i="2"/>
  <c r="Z18" i="2"/>
  <c r="Q19" i="2"/>
  <c r="Z19" i="2"/>
  <c r="Y24" i="2"/>
  <c r="AA24" i="2"/>
  <c r="Y25" i="2"/>
  <c r="AA25" i="2"/>
  <c r="Z26" i="2"/>
  <c r="Q28" i="2"/>
  <c r="Z28" i="2"/>
  <c r="Q31" i="2"/>
  <c r="Z31" i="2"/>
  <c r="Q33" i="2"/>
  <c r="Z33" i="2"/>
  <c r="Q37" i="2"/>
  <c r="Z37" i="2"/>
  <c r="Q39" i="2"/>
  <c r="Z39" i="2"/>
  <c r="Q41" i="2"/>
  <c r="Z41" i="2"/>
  <c r="Q43" i="2"/>
  <c r="Z43" i="2"/>
  <c r="Q45" i="2"/>
  <c r="Z45" i="2"/>
  <c r="Q47" i="2"/>
  <c r="Z47" i="2"/>
  <c r="Q49" i="2"/>
  <c r="Z49" i="2"/>
  <c r="Q51" i="2"/>
  <c r="Z51" i="2"/>
  <c r="Q53" i="2"/>
  <c r="Z53" i="2"/>
  <c r="Q55" i="2"/>
  <c r="Z55" i="2"/>
  <c r="Q57" i="2"/>
  <c r="Z57" i="2"/>
  <c r="Q59" i="2"/>
  <c r="Z59" i="2"/>
  <c r="Q61" i="2"/>
  <c r="Z61" i="2"/>
  <c r="Q63" i="2"/>
  <c r="Z63" i="2"/>
  <c r="Q65" i="2"/>
  <c r="Z65" i="2"/>
  <c r="Q67" i="2"/>
  <c r="Z67" i="2"/>
  <c r="Y68" i="2"/>
  <c r="AA68" i="2"/>
  <c r="Q69" i="2"/>
  <c r="Z69" i="2"/>
  <c r="Y70" i="2"/>
  <c r="AA70" i="2"/>
  <c r="Q71" i="2"/>
  <c r="Z71" i="2"/>
  <c r="Y72" i="2"/>
  <c r="AA72" i="2"/>
  <c r="Q73" i="2"/>
  <c r="Z73" i="2"/>
  <c r="Y74" i="2"/>
  <c r="AA74" i="2"/>
  <c r="Q75" i="2"/>
  <c r="Z75" i="2"/>
  <c r="Y76" i="2"/>
  <c r="AA76" i="2"/>
  <c r="Q77" i="2"/>
  <c r="Z77" i="2"/>
  <c r="Y78" i="2"/>
  <c r="AA78" i="2"/>
  <c r="Q79" i="2"/>
  <c r="Z79" i="2"/>
  <c r="Y80" i="2"/>
  <c r="AA80" i="2"/>
  <c r="Q81" i="2"/>
  <c r="Z81" i="2"/>
  <c r="Y82" i="2"/>
  <c r="AA82" i="2"/>
  <c r="Q83" i="2"/>
  <c r="Z83" i="2"/>
  <c r="Y84" i="2"/>
  <c r="AA84" i="2"/>
  <c r="Q85" i="2"/>
  <c r="Z85" i="2"/>
  <c r="Y86" i="2"/>
  <c r="AA86" i="2"/>
  <c r="Q87" i="2"/>
  <c r="Z87" i="2"/>
  <c r="Y88" i="2"/>
  <c r="AA88" i="2"/>
  <c r="Q89" i="2"/>
  <c r="Z89" i="2"/>
  <c r="Y90" i="2"/>
  <c r="AA90" i="2"/>
  <c r="Q91" i="2"/>
  <c r="Z91" i="2"/>
  <c r="Y92" i="2"/>
  <c r="AA92" i="2"/>
  <c r="AB93" i="2"/>
  <c r="Z93" i="2"/>
  <c r="Q93" i="2"/>
  <c r="AA93" i="2"/>
  <c r="Z94" i="2"/>
  <c r="Z97" i="2"/>
  <c r="Z99" i="2"/>
  <c r="Z101" i="2"/>
  <c r="Z103" i="2"/>
  <c r="Z105" i="2"/>
  <c r="Z107" i="2"/>
  <c r="Z109" i="2"/>
  <c r="Z111" i="2"/>
  <c r="Z113" i="2"/>
  <c r="Z115" i="2"/>
  <c r="Z117" i="2"/>
  <c r="Z119" i="2"/>
  <c r="Z121" i="2"/>
  <c r="Z123" i="2"/>
  <c r="Z125" i="2"/>
  <c r="Z127" i="2"/>
  <c r="Z129" i="2"/>
  <c r="Z131" i="2"/>
  <c r="Z133" i="2"/>
  <c r="Z135" i="2"/>
  <c r="Z137" i="2"/>
  <c r="Z139" i="2"/>
  <c r="AC140" i="2"/>
  <c r="AA140" i="2"/>
  <c r="Y140" i="2"/>
  <c r="Q140" i="2"/>
  <c r="AB140" i="2"/>
  <c r="Z141" i="2"/>
  <c r="Z143" i="2"/>
  <c r="Z145" i="2"/>
  <c r="Z147" i="2"/>
  <c r="Z149" i="2"/>
  <c r="Z151" i="2"/>
  <c r="Z153" i="2"/>
  <c r="Z155" i="2"/>
  <c r="Z157" i="2"/>
  <c r="AC160" i="2"/>
  <c r="AA160" i="2"/>
  <c r="Y160" i="2"/>
  <c r="Q160" i="2"/>
  <c r="AB160" i="2"/>
  <c r="AC162" i="2"/>
  <c r="AA162" i="2"/>
  <c r="Y162" i="2"/>
  <c r="Q162" i="2"/>
  <c r="AB162" i="2"/>
  <c r="AC164" i="2"/>
  <c r="AA164" i="2"/>
  <c r="Y164" i="2"/>
  <c r="Q164" i="2"/>
  <c r="AB164" i="2"/>
  <c r="AC166" i="2"/>
  <c r="AA166" i="2"/>
  <c r="Y166" i="2"/>
  <c r="Q166" i="2"/>
  <c r="AB166" i="2"/>
  <c r="AC168" i="2"/>
  <c r="AA168" i="2"/>
  <c r="Y168" i="2"/>
  <c r="Q168" i="2"/>
  <c r="AB168" i="2"/>
  <c r="AC170" i="2"/>
  <c r="AA170" i="2"/>
  <c r="Y170" i="2"/>
  <c r="Q170" i="2"/>
  <c r="AB170" i="2"/>
  <c r="AC172" i="2"/>
  <c r="AA172" i="2"/>
  <c r="Y172" i="2"/>
  <c r="Q172" i="2"/>
  <c r="AB172" i="2"/>
  <c r="AC174" i="2"/>
  <c r="AA174" i="2"/>
  <c r="Y174" i="2"/>
  <c r="Q174" i="2"/>
  <c r="AB174" i="2"/>
  <c r="Z177" i="2"/>
  <c r="Z179" i="2"/>
  <c r="Z181" i="2"/>
  <c r="Z183" i="2"/>
  <c r="Z185" i="2"/>
  <c r="Z187" i="2"/>
  <c r="Z189" i="2"/>
  <c r="AC190" i="2"/>
  <c r="AA190" i="2"/>
  <c r="Y190" i="2"/>
  <c r="Q190" i="2"/>
  <c r="AB190" i="2"/>
  <c r="AC192" i="2"/>
  <c r="AA192" i="2"/>
  <c r="Y192" i="2"/>
  <c r="AB192" i="2"/>
  <c r="Z193" i="2"/>
  <c r="Z196" i="2"/>
  <c r="Z198" i="2"/>
  <c r="AC199" i="2"/>
  <c r="AA199" i="2"/>
  <c r="Y199" i="2"/>
  <c r="Q199" i="2"/>
  <c r="AB199" i="2"/>
  <c r="Z200" i="2"/>
  <c r="Z202" i="2"/>
  <c r="Z204" i="2"/>
  <c r="Z206" i="2"/>
  <c r="Z208" i="2"/>
  <c r="Z210" i="2"/>
  <c r="Z213" i="2"/>
  <c r="AC216" i="2"/>
  <c r="AA216" i="2"/>
  <c r="Y216" i="2"/>
  <c r="Q216" i="2"/>
  <c r="AB216" i="2"/>
  <c r="AC218" i="2"/>
  <c r="AA218" i="2"/>
  <c r="Y218" i="2"/>
  <c r="Q218" i="2"/>
  <c r="AB218" i="2"/>
  <c r="AC220" i="2"/>
  <c r="AA220" i="2"/>
  <c r="Y220" i="2"/>
  <c r="Q220" i="2"/>
  <c r="AB220" i="2"/>
  <c r="AC222" i="2"/>
  <c r="AA222" i="2"/>
  <c r="Y222" i="2"/>
  <c r="Q222" i="2"/>
  <c r="AB222" i="2"/>
  <c r="AC224" i="2"/>
  <c r="AA224" i="2"/>
  <c r="Y224" i="2"/>
  <c r="Q224" i="2"/>
  <c r="AB224" i="2"/>
  <c r="AC226" i="2"/>
  <c r="AA226" i="2"/>
  <c r="Y226" i="2"/>
  <c r="Q226" i="2"/>
  <c r="AB226" i="2"/>
  <c r="AC228" i="2"/>
  <c r="AA228" i="2"/>
  <c r="Y228" i="2"/>
  <c r="Q228" i="2"/>
  <c r="AB228" i="2"/>
  <c r="AC230" i="2"/>
  <c r="AA230" i="2"/>
  <c r="Y230" i="2"/>
  <c r="Q230" i="2"/>
  <c r="AB230" i="2"/>
  <c r="AC232" i="2"/>
  <c r="AA232" i="2"/>
  <c r="Y232" i="2"/>
  <c r="Q232" i="2"/>
  <c r="AB232" i="2"/>
  <c r="AC234" i="2"/>
  <c r="AA234" i="2"/>
  <c r="Y234" i="2"/>
  <c r="Q234" i="2"/>
  <c r="AB234" i="2"/>
  <c r="AC236" i="2"/>
  <c r="AA236" i="2"/>
  <c r="Y236" i="2"/>
  <c r="Q236" i="2"/>
  <c r="AB236" i="2"/>
  <c r="AC238" i="2"/>
  <c r="AA238" i="2"/>
  <c r="Y238" i="2"/>
  <c r="Q238" i="2"/>
  <c r="AB238" i="2"/>
  <c r="AC240" i="2"/>
  <c r="AA240" i="2"/>
  <c r="Y240" i="2"/>
  <c r="Q240" i="2"/>
  <c r="AB240" i="2"/>
  <c r="AC242" i="2"/>
  <c r="AA242" i="2"/>
  <c r="Y242" i="2"/>
  <c r="Q242" i="2"/>
  <c r="AB242" i="2"/>
  <c r="AC244" i="2"/>
  <c r="AA244" i="2"/>
  <c r="Y244" i="2"/>
  <c r="Q244" i="2"/>
  <c r="AB244" i="2"/>
  <c r="AC246" i="2"/>
  <c r="AA246" i="2"/>
  <c r="Y246" i="2"/>
  <c r="Q246" i="2"/>
  <c r="AB246" i="2"/>
  <c r="AC248" i="2"/>
  <c r="AA248" i="2"/>
  <c r="Y248" i="2"/>
  <c r="Q248" i="2"/>
  <c r="AB248" i="2"/>
  <c r="AC250" i="2"/>
  <c r="AA250" i="2"/>
  <c r="Y250" i="2"/>
  <c r="Q250" i="2"/>
  <c r="AB250" i="2"/>
  <c r="AC252" i="2"/>
  <c r="AA252" i="2"/>
  <c r="Y252" i="2"/>
  <c r="Q252" i="2"/>
  <c r="AB252" i="2"/>
  <c r="AC254" i="2"/>
  <c r="AA254" i="2"/>
  <c r="Y254" i="2"/>
  <c r="Q254" i="2"/>
  <c r="AB254" i="2"/>
  <c r="AC256" i="2"/>
  <c r="AA256" i="2"/>
  <c r="Y256" i="2"/>
  <c r="Q256" i="2"/>
  <c r="AB256" i="2"/>
  <c r="AC258" i="2"/>
  <c r="AA258" i="2"/>
  <c r="Y258" i="2"/>
  <c r="Q258" i="2"/>
  <c r="AB258" i="2"/>
  <c r="AC260" i="2"/>
  <c r="AA260" i="2"/>
  <c r="Y260" i="2"/>
  <c r="Q260" i="2"/>
  <c r="AB260" i="2"/>
  <c r="AC263" i="2"/>
  <c r="AA263" i="2"/>
  <c r="Y263" i="2"/>
  <c r="Q263" i="2"/>
  <c r="AB263" i="2"/>
  <c r="AC265" i="2"/>
  <c r="AA265" i="2"/>
  <c r="Y265" i="2"/>
  <c r="Q265" i="2"/>
  <c r="AB265" i="2"/>
  <c r="Z268" i="2"/>
  <c r="Z270" i="2"/>
  <c r="Z272" i="2"/>
  <c r="AC276" i="2"/>
  <c r="AA276" i="2"/>
  <c r="Y276" i="2"/>
  <c r="Q276" i="2"/>
  <c r="AB276" i="2"/>
  <c r="AC278" i="2"/>
  <c r="AA278" i="2"/>
  <c r="Y278" i="2"/>
  <c r="Q278" i="2"/>
  <c r="AB278" i="2"/>
  <c r="AC280" i="2"/>
  <c r="AA280" i="2"/>
  <c r="Y280" i="2"/>
  <c r="Q280" i="2"/>
  <c r="AB280" i="2"/>
  <c r="Z281" i="2"/>
  <c r="AC282" i="2"/>
  <c r="AA282" i="2"/>
  <c r="Y282" i="2"/>
  <c r="Q282" i="2"/>
  <c r="AB282" i="2"/>
  <c r="Z283" i="2"/>
  <c r="AC284" i="2"/>
  <c r="AA284" i="2"/>
  <c r="Y284" i="2"/>
  <c r="Q284" i="2"/>
  <c r="AB284" i="2"/>
  <c r="Z285" i="2"/>
  <c r="AC286" i="2"/>
  <c r="AA286" i="2"/>
  <c r="Y286" i="2"/>
  <c r="Q286" i="2"/>
  <c r="AB286" i="2"/>
  <c r="AC288" i="2"/>
  <c r="AA288" i="2"/>
  <c r="Y288" i="2"/>
  <c r="Q288" i="2"/>
  <c r="AB288" i="2"/>
  <c r="Q96" i="2"/>
  <c r="Z96" i="2"/>
  <c r="Q98" i="2"/>
  <c r="Z98" i="2"/>
  <c r="Q100" i="2"/>
  <c r="Z100" i="2"/>
  <c r="Q102" i="2"/>
  <c r="Z102" i="2"/>
  <c r="Q104" i="2"/>
  <c r="Z104" i="2"/>
  <c r="Q106" i="2"/>
  <c r="Z106" i="2"/>
  <c r="Q108" i="2"/>
  <c r="Z108" i="2"/>
  <c r="Q110" i="2"/>
  <c r="Z110" i="2"/>
  <c r="Q112" i="2"/>
  <c r="Z112" i="2"/>
  <c r="Q114" i="2"/>
  <c r="Z114" i="2"/>
  <c r="Q116" i="2"/>
  <c r="Z116" i="2"/>
  <c r="Q118" i="2"/>
  <c r="Z118" i="2"/>
  <c r="Q120" i="2"/>
  <c r="Z120" i="2"/>
  <c r="Q122" i="2"/>
  <c r="Z122" i="2"/>
  <c r="Q124" i="2"/>
  <c r="Z124" i="2"/>
  <c r="Q126" i="2"/>
  <c r="Z126" i="2"/>
  <c r="Q128" i="2"/>
  <c r="Z128" i="2"/>
  <c r="Q130" i="2"/>
  <c r="Z130" i="2"/>
  <c r="Q132" i="2"/>
  <c r="Z132" i="2"/>
  <c r="Q134" i="2"/>
  <c r="Z134" i="2"/>
  <c r="Q136" i="2"/>
  <c r="Z136" i="2"/>
  <c r="Q138" i="2"/>
  <c r="Z138" i="2"/>
  <c r="Q142" i="2"/>
  <c r="Z142" i="2"/>
  <c r="Q144" i="2"/>
  <c r="Z144" i="2"/>
  <c r="Q146" i="2"/>
  <c r="Z146" i="2"/>
  <c r="Q148" i="2"/>
  <c r="Z148" i="2"/>
  <c r="Q150" i="2"/>
  <c r="Z150" i="2"/>
  <c r="Q152" i="2"/>
  <c r="Z152" i="2"/>
  <c r="Q154" i="2"/>
  <c r="Z154" i="2"/>
  <c r="Q156" i="2"/>
  <c r="Z156" i="2"/>
  <c r="Q158" i="2"/>
  <c r="Z158" i="2"/>
  <c r="Q159" i="2"/>
  <c r="Z159" i="2"/>
  <c r="Q161" i="2"/>
  <c r="Z161" i="2"/>
  <c r="Q163" i="2"/>
  <c r="Z163" i="2"/>
  <c r="Q165" i="2"/>
  <c r="Z165" i="2"/>
  <c r="Q167" i="2"/>
  <c r="Z167" i="2"/>
  <c r="Q169" i="2"/>
  <c r="Z169" i="2"/>
  <c r="Q171" i="2"/>
  <c r="Z171" i="2"/>
  <c r="Q173" i="2"/>
  <c r="Z173" i="2"/>
  <c r="Q175" i="2"/>
  <c r="Z175" i="2"/>
  <c r="Q178" i="2"/>
  <c r="Z178" i="2"/>
  <c r="Q180" i="2"/>
  <c r="Z180" i="2"/>
  <c r="Q182" i="2"/>
  <c r="Z182" i="2"/>
  <c r="Q184" i="2"/>
  <c r="Z184" i="2"/>
  <c r="Q186" i="2"/>
  <c r="Z186" i="2"/>
  <c r="Q188" i="2"/>
  <c r="Z188" i="2"/>
  <c r="Q191" i="2"/>
  <c r="Z191" i="2"/>
  <c r="Q194" i="2"/>
  <c r="Z194" i="2"/>
  <c r="Q197" i="2"/>
  <c r="Z197" i="2"/>
  <c r="Q201" i="2"/>
  <c r="Z201" i="2"/>
  <c r="Q203" i="2"/>
  <c r="Z203" i="2"/>
  <c r="Q205" i="2"/>
  <c r="Z205" i="2"/>
  <c r="Q207" i="2"/>
  <c r="Z207" i="2"/>
  <c r="Q209" i="2"/>
  <c r="Z209" i="2"/>
  <c r="Q212" i="2"/>
  <c r="Z212" i="2"/>
  <c r="Y214" i="2"/>
  <c r="AA214" i="2"/>
  <c r="Q215" i="2"/>
  <c r="Z215" i="2"/>
  <c r="Q217" i="2"/>
  <c r="Z217" i="2"/>
  <c r="Q219" i="2"/>
  <c r="Z219" i="2"/>
  <c r="Q221" i="2"/>
  <c r="Z221" i="2"/>
  <c r="Q223" i="2"/>
  <c r="Z223" i="2"/>
  <c r="Q225" i="2"/>
  <c r="Z225" i="2"/>
  <c r="Q227" i="2"/>
  <c r="Z227" i="2"/>
  <c r="Q229" i="2"/>
  <c r="Z229" i="2"/>
  <c r="Q231" i="2"/>
  <c r="Z231" i="2"/>
  <c r="Q233" i="2"/>
  <c r="Z233" i="2"/>
  <c r="Q235" i="2"/>
  <c r="Z235" i="2"/>
  <c r="Q237" i="2"/>
  <c r="Z237" i="2"/>
  <c r="Q239" i="2"/>
  <c r="Z239" i="2"/>
  <c r="Q241" i="2"/>
  <c r="Z241" i="2"/>
  <c r="Q243" i="2"/>
  <c r="Z243" i="2"/>
  <c r="Q245" i="2"/>
  <c r="Z245" i="2"/>
  <c r="Q247" i="2"/>
  <c r="Z247" i="2"/>
  <c r="Q249" i="2"/>
  <c r="Z249" i="2"/>
  <c r="Q251" i="2"/>
  <c r="Z251" i="2"/>
  <c r="Q253" i="2"/>
  <c r="Z253" i="2"/>
  <c r="Q255" i="2"/>
  <c r="Z255" i="2"/>
  <c r="Q257" i="2"/>
  <c r="Z257" i="2"/>
  <c r="Q259" i="2"/>
  <c r="Z259" i="2"/>
  <c r="Q262" i="2"/>
  <c r="Z262" i="2"/>
  <c r="Q264" i="2"/>
  <c r="Z264" i="2"/>
  <c r="Y266" i="2"/>
  <c r="AA266" i="2"/>
  <c r="Q267" i="2"/>
  <c r="Z267" i="2"/>
  <c r="Q269" i="2"/>
  <c r="Z269" i="2"/>
  <c r="Q271" i="2"/>
  <c r="Z271" i="2"/>
  <c r="Q273" i="2"/>
  <c r="Z273" i="2"/>
  <c r="Q275" i="2"/>
  <c r="Z275" i="2"/>
  <c r="Q277" i="2"/>
  <c r="Z277" i="2"/>
  <c r="Q279" i="2"/>
  <c r="Z279" i="2"/>
  <c r="Q287" i="2"/>
  <c r="Z287" i="2"/>
  <c r="AB289" i="2"/>
  <c r="Z289" i="2"/>
  <c r="Q289" i="2"/>
  <c r="Y289" i="2"/>
  <c r="AC289" i="2"/>
  <c r="AC290" i="2"/>
  <c r="AA290" i="2"/>
  <c r="Y290" i="2"/>
  <c r="Q290" i="2"/>
  <c r="AB290" i="2"/>
  <c r="AC292" i="2"/>
  <c r="AA292" i="2"/>
  <c r="Y292" i="2"/>
  <c r="Q292" i="2"/>
  <c r="AB292" i="2"/>
  <c r="AC294" i="2"/>
  <c r="AA294" i="2"/>
  <c r="Y294" i="2"/>
  <c r="Q294" i="2"/>
  <c r="AB294" i="2"/>
  <c r="AC296" i="2"/>
  <c r="AA296" i="2"/>
  <c r="Y296" i="2"/>
  <c r="Q296" i="2"/>
  <c r="AB296" i="2"/>
  <c r="AC298" i="2"/>
  <c r="AA298" i="2"/>
  <c r="Y298" i="2"/>
  <c r="Q298" i="2"/>
  <c r="AB298" i="2"/>
  <c r="AC300" i="2"/>
  <c r="AA300" i="2"/>
  <c r="Y300" i="2"/>
  <c r="Q300" i="2"/>
  <c r="AB300" i="2"/>
  <c r="AC302" i="2"/>
  <c r="AA302" i="2"/>
  <c r="Y302" i="2"/>
  <c r="Q302" i="2"/>
  <c r="AB302" i="2"/>
  <c r="AC304" i="2"/>
  <c r="AA304" i="2"/>
  <c r="Y304" i="2"/>
  <c r="Q304" i="2"/>
  <c r="AB304" i="2"/>
  <c r="AC306" i="2"/>
  <c r="AA306" i="2"/>
  <c r="Y306" i="2"/>
  <c r="Q306" i="2"/>
  <c r="AB306" i="2"/>
  <c r="AC308" i="2"/>
  <c r="AA308" i="2"/>
  <c r="Y308" i="2"/>
  <c r="Q308" i="2"/>
  <c r="AB308" i="2"/>
  <c r="AC310" i="2"/>
  <c r="AA310" i="2"/>
  <c r="Y310" i="2"/>
  <c r="Q310" i="2"/>
  <c r="AB310" i="2"/>
  <c r="AC312" i="2"/>
  <c r="AA312" i="2"/>
  <c r="Y312" i="2"/>
  <c r="Q312" i="2"/>
  <c r="AB312" i="2"/>
  <c r="AC314" i="2"/>
  <c r="AA314" i="2"/>
  <c r="Y314" i="2"/>
  <c r="Q314" i="2"/>
  <c r="AB314" i="2"/>
  <c r="AC316" i="2"/>
  <c r="AA316" i="2"/>
  <c r="Y316" i="2"/>
  <c r="Q316" i="2"/>
  <c r="AB316" i="2"/>
  <c r="AC318" i="2"/>
  <c r="AA318" i="2"/>
  <c r="Y318" i="2"/>
  <c r="Q318" i="2"/>
  <c r="AB318" i="2"/>
  <c r="AC320" i="2"/>
  <c r="AA320" i="2"/>
  <c r="Y320" i="2"/>
  <c r="Q320" i="2"/>
  <c r="AB320" i="2"/>
  <c r="AC322" i="2"/>
  <c r="AA322" i="2"/>
  <c r="Y322" i="2"/>
  <c r="Q322" i="2"/>
  <c r="AB322" i="2"/>
  <c r="AC324" i="2"/>
  <c r="AA324" i="2"/>
  <c r="Y324" i="2"/>
  <c r="Q324" i="2"/>
  <c r="AB324" i="2"/>
  <c r="AC326" i="2"/>
  <c r="AA326" i="2"/>
  <c r="Y326" i="2"/>
  <c r="Q326" i="2"/>
  <c r="AB326" i="2"/>
  <c r="AC328" i="2"/>
  <c r="AA328" i="2"/>
  <c r="Y328" i="2"/>
  <c r="Q328" i="2"/>
  <c r="AB328" i="2"/>
  <c r="AC330" i="2"/>
  <c r="AA330" i="2"/>
  <c r="Y330" i="2"/>
  <c r="Q330" i="2"/>
  <c r="AB330" i="2"/>
  <c r="AC332" i="2"/>
  <c r="AA332" i="2"/>
  <c r="Y332" i="2"/>
  <c r="Q332" i="2"/>
  <c r="AB332" i="2"/>
  <c r="AC334" i="2"/>
  <c r="AA334" i="2"/>
  <c r="Y334" i="2"/>
  <c r="Q334" i="2"/>
  <c r="AB334" i="2"/>
  <c r="AC336" i="2"/>
  <c r="AA336" i="2"/>
  <c r="Y336" i="2"/>
  <c r="Q336" i="2"/>
  <c r="AB336" i="2"/>
  <c r="AC338" i="2"/>
  <c r="AA338" i="2"/>
  <c r="Y338" i="2"/>
  <c r="Q338" i="2"/>
  <c r="AB338" i="2"/>
  <c r="AC340" i="2"/>
  <c r="AA340" i="2"/>
  <c r="Y340" i="2"/>
  <c r="Q340" i="2"/>
  <c r="AB340" i="2"/>
  <c r="AC342" i="2"/>
  <c r="AA342" i="2"/>
  <c r="Y342" i="2"/>
  <c r="Q342" i="2"/>
  <c r="AB342" i="2"/>
  <c r="AC344" i="2"/>
  <c r="AA344" i="2"/>
  <c r="Y344" i="2"/>
  <c r="Q344" i="2"/>
  <c r="AB344" i="2"/>
  <c r="AC346" i="2"/>
  <c r="AA346" i="2"/>
  <c r="Y346" i="2"/>
  <c r="Q346" i="2"/>
  <c r="AB346" i="2"/>
  <c r="AC348" i="2"/>
  <c r="AA348" i="2"/>
  <c r="Y348" i="2"/>
  <c r="Q348" i="2"/>
  <c r="AB348" i="2"/>
  <c r="AC350" i="2"/>
  <c r="AA350" i="2"/>
  <c r="Y350" i="2"/>
  <c r="Q350" i="2"/>
  <c r="AB350" i="2"/>
  <c r="AC352" i="2"/>
  <c r="AA352" i="2"/>
  <c r="Y352" i="2"/>
  <c r="Q352" i="2"/>
  <c r="AB352" i="2"/>
  <c r="AC354" i="2"/>
  <c r="AA354" i="2"/>
  <c r="Y354" i="2"/>
  <c r="Q354" i="2"/>
  <c r="AB354" i="2"/>
  <c r="AC356" i="2"/>
  <c r="AA356" i="2"/>
  <c r="Y356" i="2"/>
  <c r="Q356" i="2"/>
  <c r="AB356" i="2"/>
  <c r="AC358" i="2"/>
  <c r="AA358" i="2"/>
  <c r="Y358" i="2"/>
  <c r="Q358" i="2"/>
  <c r="AB358" i="2"/>
  <c r="AC360" i="2"/>
  <c r="AA360" i="2"/>
  <c r="Y360" i="2"/>
  <c r="Q360" i="2"/>
  <c r="AB360" i="2"/>
  <c r="AC362" i="2"/>
  <c r="AA362" i="2"/>
  <c r="Y362" i="2"/>
  <c r="Q362" i="2"/>
  <c r="AB362" i="2"/>
  <c r="AC364" i="2"/>
  <c r="AA364" i="2"/>
  <c r="Y364" i="2"/>
  <c r="Q364" i="2"/>
  <c r="AB364" i="2"/>
  <c r="AC366" i="2"/>
  <c r="AA366" i="2"/>
  <c r="Y366" i="2"/>
  <c r="Q366" i="2"/>
  <c r="AB366" i="2"/>
  <c r="AC368" i="2"/>
  <c r="AA368" i="2"/>
  <c r="Y368" i="2"/>
  <c r="Q368" i="2"/>
  <c r="AB368" i="2"/>
  <c r="AC370" i="2"/>
  <c r="AA370" i="2"/>
  <c r="Y370" i="2"/>
  <c r="Q370" i="2"/>
  <c r="AB370" i="2"/>
  <c r="AC372" i="2"/>
  <c r="AA372" i="2"/>
  <c r="Y372" i="2"/>
  <c r="Q372" i="2"/>
  <c r="AB372" i="2"/>
  <c r="AC374" i="2"/>
  <c r="AA374" i="2"/>
  <c r="Y374" i="2"/>
  <c r="Q374" i="2"/>
  <c r="AB374" i="2"/>
  <c r="AC376" i="2"/>
  <c r="AA376" i="2"/>
  <c r="Y376" i="2"/>
  <c r="Q376" i="2"/>
  <c r="AB376" i="2"/>
  <c r="AC378" i="2"/>
  <c r="AA378" i="2"/>
  <c r="Y378" i="2"/>
  <c r="Q378" i="2"/>
  <c r="AB378" i="2"/>
  <c r="AC380" i="2"/>
  <c r="AA380" i="2"/>
  <c r="Y380" i="2"/>
  <c r="Q380" i="2"/>
  <c r="AB380" i="2"/>
  <c r="AC382" i="2"/>
  <c r="AA382" i="2"/>
  <c r="Y382" i="2"/>
  <c r="Q382" i="2"/>
  <c r="AB382" i="2"/>
  <c r="Q291" i="2"/>
  <c r="Z291" i="2"/>
  <c r="Q293" i="2"/>
  <c r="Z293" i="2"/>
  <c r="Q295" i="2"/>
  <c r="Z295" i="2"/>
  <c r="Q297" i="2"/>
  <c r="Z297" i="2"/>
  <c r="Q299" i="2"/>
  <c r="Z299" i="2"/>
  <c r="Q301" i="2"/>
  <c r="Z301" i="2"/>
  <c r="Q303" i="2"/>
  <c r="Z303" i="2"/>
  <c r="Q305" i="2"/>
  <c r="Z305" i="2"/>
  <c r="Q307" i="2"/>
  <c r="Z307" i="2"/>
  <c r="Q309" i="2"/>
  <c r="Z309" i="2"/>
  <c r="Q311" i="2"/>
  <c r="Z311" i="2"/>
  <c r="Q313" i="2"/>
  <c r="Z313" i="2"/>
  <c r="Q315" i="2"/>
  <c r="Z315" i="2"/>
  <c r="Q317" i="2"/>
  <c r="Z317" i="2"/>
  <c r="Q319" i="2"/>
  <c r="Z319" i="2"/>
  <c r="Q321" i="2"/>
  <c r="Z321" i="2"/>
  <c r="Q323" i="2"/>
  <c r="Z323" i="2"/>
  <c r="Q325" i="2"/>
  <c r="Z325" i="2"/>
  <c r="Q327" i="2"/>
  <c r="Z327" i="2"/>
  <c r="Q329" i="2"/>
  <c r="Z329" i="2"/>
  <c r="Q331" i="2"/>
  <c r="Z331" i="2"/>
  <c r="Q333" i="2"/>
  <c r="Z333" i="2"/>
  <c r="Q335" i="2"/>
  <c r="Z335" i="2"/>
  <c r="Q337" i="2"/>
  <c r="Z337" i="2"/>
  <c r="Q339" i="2"/>
  <c r="Z339" i="2"/>
  <c r="Q341" i="2"/>
  <c r="Z341" i="2"/>
  <c r="Q343" i="2"/>
  <c r="Z343" i="2"/>
  <c r="Q345" i="2"/>
  <c r="Z345" i="2"/>
  <c r="Q347" i="2"/>
  <c r="Z347" i="2"/>
  <c r="Q349" i="2"/>
  <c r="Z349" i="2"/>
  <c r="Q351" i="2"/>
  <c r="Z351" i="2"/>
  <c r="Q353" i="2"/>
  <c r="Z353" i="2"/>
  <c r="Q355" i="2"/>
  <c r="Z355" i="2"/>
  <c r="Q357" i="2"/>
  <c r="Z357" i="2"/>
  <c r="Q359" i="2"/>
  <c r="Z359" i="2"/>
  <c r="Q361" i="2"/>
  <c r="Z361" i="2"/>
  <c r="Q363" i="2"/>
  <c r="Z363" i="2"/>
  <c r="Q365" i="2"/>
  <c r="Z365" i="2"/>
  <c r="Q367" i="2"/>
  <c r="Z367" i="2"/>
  <c r="Q369" i="2"/>
  <c r="Z369" i="2"/>
  <c r="Q371" i="2"/>
  <c r="Z371" i="2"/>
  <c r="Q373" i="2"/>
  <c r="Z373" i="2"/>
  <c r="Q375" i="2"/>
  <c r="Z375" i="2"/>
  <c r="Q377" i="2"/>
  <c r="Z377" i="2"/>
  <c r="Q379" i="2"/>
  <c r="Z379" i="2"/>
  <c r="Q381" i="2"/>
  <c r="Z381" i="2"/>
  <c r="AB383" i="2"/>
  <c r="Z383" i="2"/>
  <c r="Q383" i="2"/>
  <c r="Y383" i="2"/>
  <c r="AC383" i="2"/>
  <c r="AC384" i="2"/>
  <c r="AA384" i="2"/>
  <c r="Y384" i="2"/>
  <c r="Q384" i="2"/>
  <c r="AB384" i="2"/>
  <c r="AC386" i="2"/>
  <c r="AA386" i="2"/>
  <c r="Y386" i="2"/>
  <c r="Q386" i="2"/>
  <c r="AB386" i="2"/>
  <c r="AC388" i="2"/>
  <c r="AA388" i="2"/>
  <c r="Y388" i="2"/>
  <c r="Q388" i="2"/>
  <c r="AB388" i="2"/>
  <c r="AC390" i="2"/>
  <c r="AA390" i="2"/>
  <c r="Y390" i="2"/>
  <c r="Q390" i="2"/>
  <c r="AB390" i="2"/>
  <c r="AC392" i="2"/>
  <c r="AA392" i="2"/>
  <c r="Y392" i="2"/>
  <c r="Q392" i="2"/>
  <c r="AB392" i="2"/>
  <c r="AC394" i="2"/>
  <c r="AA394" i="2"/>
  <c r="Y394" i="2"/>
  <c r="Q394" i="2"/>
  <c r="AB394" i="2"/>
  <c r="AC396" i="2"/>
  <c r="AA396" i="2"/>
  <c r="Y396" i="2"/>
  <c r="Q396" i="2"/>
  <c r="AB396" i="2"/>
  <c r="AC398" i="2"/>
  <c r="AA398" i="2"/>
  <c r="Y398" i="2"/>
  <c r="Q398" i="2"/>
  <c r="AB398" i="2"/>
  <c r="AC400" i="2"/>
  <c r="AA400" i="2"/>
  <c r="Y400" i="2"/>
  <c r="Q400" i="2"/>
  <c r="AB400" i="2"/>
  <c r="AC402" i="2"/>
  <c r="AA402" i="2"/>
  <c r="Y402" i="2"/>
  <c r="Q402" i="2"/>
  <c r="AB402" i="2"/>
  <c r="AC404" i="2"/>
  <c r="AA404" i="2"/>
  <c r="Y404" i="2"/>
  <c r="Q404" i="2"/>
  <c r="AB404" i="2"/>
  <c r="AC406" i="2"/>
  <c r="AA406" i="2"/>
  <c r="Y406" i="2"/>
  <c r="Q406" i="2"/>
  <c r="AB406" i="2"/>
  <c r="AC408" i="2"/>
  <c r="AA408" i="2"/>
  <c r="Y408" i="2"/>
  <c r="Q408" i="2"/>
  <c r="AB408" i="2"/>
  <c r="AC410" i="2"/>
  <c r="AA410" i="2"/>
  <c r="Y410" i="2"/>
  <c r="Q410" i="2"/>
  <c r="AB410" i="2"/>
  <c r="AC412" i="2"/>
  <c r="AA412" i="2"/>
  <c r="Y412" i="2"/>
  <c r="Q412" i="2"/>
  <c r="AB412" i="2"/>
  <c r="AC414" i="2"/>
  <c r="AA414" i="2"/>
  <c r="Y414" i="2"/>
  <c r="Q414" i="2"/>
  <c r="AB414" i="2"/>
  <c r="AC416" i="2"/>
  <c r="AA416" i="2"/>
  <c r="Y416" i="2"/>
  <c r="Q416" i="2"/>
  <c r="AB416" i="2"/>
  <c r="AC418" i="2"/>
  <c r="AA418" i="2"/>
  <c r="Y418" i="2"/>
  <c r="Q418" i="2"/>
  <c r="AB418" i="2"/>
  <c r="AC420" i="2"/>
  <c r="AA420" i="2"/>
  <c r="Y420" i="2"/>
  <c r="Q420" i="2"/>
  <c r="AB420" i="2"/>
  <c r="AC422" i="2"/>
  <c r="AA422" i="2"/>
  <c r="Y422" i="2"/>
  <c r="Q422" i="2"/>
  <c r="AB422" i="2"/>
  <c r="AC424" i="2"/>
  <c r="AA424" i="2"/>
  <c r="Y424" i="2"/>
  <c r="Q424" i="2"/>
  <c r="AB424" i="2"/>
  <c r="AC426" i="2"/>
  <c r="AA426" i="2"/>
  <c r="Y426" i="2"/>
  <c r="Q426" i="2"/>
  <c r="AB426" i="2"/>
  <c r="AC428" i="2"/>
  <c r="AA428" i="2"/>
  <c r="Y428" i="2"/>
  <c r="Q428" i="2"/>
  <c r="AB428" i="2"/>
  <c r="AC451" i="2"/>
  <c r="AA451" i="2"/>
  <c r="Y451" i="2"/>
  <c r="Z451" i="2"/>
  <c r="AB451" i="2"/>
  <c r="Q451" i="2"/>
  <c r="AC455" i="2"/>
  <c r="AA455" i="2"/>
  <c r="Y455" i="2"/>
  <c r="Z455" i="2"/>
  <c r="AB455" i="2"/>
  <c r="AC459" i="2"/>
  <c r="AA459" i="2"/>
  <c r="Y459" i="2"/>
  <c r="Z459" i="2"/>
  <c r="AB459" i="2"/>
  <c r="Q459" i="2"/>
  <c r="Q385" i="2"/>
  <c r="Z385" i="2"/>
  <c r="Q387" i="2"/>
  <c r="Z387" i="2"/>
  <c r="Q389" i="2"/>
  <c r="Z389" i="2"/>
  <c r="Q391" i="2"/>
  <c r="Z391" i="2"/>
  <c r="Q393" i="2"/>
  <c r="Z393" i="2"/>
  <c r="Q395" i="2"/>
  <c r="Z395" i="2"/>
  <c r="Q397" i="2"/>
  <c r="Z397" i="2"/>
  <c r="Q399" i="2"/>
  <c r="Z399" i="2"/>
  <c r="Q401" i="2"/>
  <c r="Z401" i="2"/>
  <c r="Q403" i="2"/>
  <c r="Z403" i="2"/>
  <c r="Q405" i="2"/>
  <c r="Z405" i="2"/>
  <c r="Q407" i="2"/>
  <c r="Z407" i="2"/>
  <c r="Q409" i="2"/>
  <c r="Z409" i="2"/>
  <c r="Q411" i="2"/>
  <c r="Z411" i="2"/>
  <c r="Q413" i="2"/>
  <c r="Z413" i="2"/>
  <c r="Q415" i="2"/>
  <c r="Z415" i="2"/>
  <c r="Q417" i="2"/>
  <c r="Z417" i="2"/>
  <c r="Q419" i="2"/>
  <c r="Z419" i="2"/>
  <c r="Q421" i="2"/>
  <c r="Z421" i="2"/>
  <c r="Q423" i="2"/>
  <c r="Z423" i="2"/>
  <c r="Q425" i="2"/>
  <c r="Z425" i="2"/>
  <c r="Q427" i="2"/>
  <c r="Z427" i="2"/>
  <c r="AB429" i="2"/>
  <c r="Z429" i="2"/>
  <c r="Q429" i="2"/>
  <c r="Y429" i="2"/>
  <c r="AC429" i="2"/>
  <c r="AC430" i="2"/>
  <c r="AA430" i="2"/>
  <c r="Y430" i="2"/>
  <c r="Q430" i="2"/>
  <c r="AB430" i="2"/>
  <c r="AC432" i="2"/>
  <c r="AA432" i="2"/>
  <c r="Y432" i="2"/>
  <c r="Q432" i="2"/>
  <c r="AB432" i="2"/>
  <c r="AC434" i="2"/>
  <c r="AA434" i="2"/>
  <c r="Y434" i="2"/>
  <c r="Q434" i="2"/>
  <c r="AB434" i="2"/>
  <c r="AC436" i="2"/>
  <c r="AA436" i="2"/>
  <c r="Y436" i="2"/>
  <c r="Q436" i="2"/>
  <c r="AB436" i="2"/>
  <c r="AC438" i="2"/>
  <c r="AA438" i="2"/>
  <c r="Y438" i="2"/>
  <c r="Q438" i="2"/>
  <c r="AB438" i="2"/>
  <c r="AC440" i="2"/>
  <c r="AA440" i="2"/>
  <c r="Y440" i="2"/>
  <c r="Q440" i="2"/>
  <c r="AB440" i="2"/>
  <c r="AC442" i="2"/>
  <c r="AA442" i="2"/>
  <c r="Y442" i="2"/>
  <c r="Q442" i="2"/>
  <c r="AB442" i="2"/>
  <c r="AC444" i="2"/>
  <c r="AA444" i="2"/>
  <c r="Y444" i="2"/>
  <c r="Q444" i="2"/>
  <c r="AB444" i="2"/>
  <c r="AC446" i="2"/>
  <c r="AA446" i="2"/>
  <c r="Y446" i="2"/>
  <c r="Q446" i="2"/>
  <c r="AB446" i="2"/>
  <c r="AB448" i="2"/>
  <c r="AA448" i="2"/>
  <c r="Y448" i="2"/>
  <c r="Q448" i="2"/>
  <c r="AC448" i="2"/>
  <c r="AC449" i="2"/>
  <c r="AA449" i="2"/>
  <c r="Y449" i="2"/>
  <c r="Z449" i="2"/>
  <c r="Q449" i="2"/>
  <c r="AC453" i="2"/>
  <c r="AA453" i="2"/>
  <c r="Y453" i="2"/>
  <c r="Z453" i="2"/>
  <c r="Q453" i="2"/>
  <c r="AC457" i="2"/>
  <c r="AA457" i="2"/>
  <c r="Y457" i="2"/>
  <c r="Z457" i="2"/>
  <c r="Q457" i="2"/>
  <c r="Q431" i="2"/>
  <c r="Z431" i="2"/>
  <c r="Q433" i="2"/>
  <c r="Z433" i="2"/>
  <c r="Q435" i="2"/>
  <c r="Z435" i="2"/>
  <c r="Q437" i="2"/>
  <c r="Z437" i="2"/>
  <c r="Q439" i="2"/>
  <c r="Z439" i="2"/>
  <c r="Q441" i="2"/>
  <c r="Z441" i="2"/>
  <c r="Q443" i="2"/>
  <c r="Z443" i="2"/>
  <c r="Q445" i="2"/>
  <c r="Z445" i="2"/>
  <c r="Q447" i="2"/>
  <c r="Z447" i="2"/>
  <c r="AC460" i="2"/>
  <c r="AA460" i="2"/>
  <c r="Y460" i="2"/>
  <c r="Q460" i="2"/>
  <c r="AB460" i="2"/>
  <c r="AC462" i="2"/>
  <c r="AA462" i="2"/>
  <c r="Y462" i="2"/>
  <c r="Q462" i="2"/>
  <c r="AB462" i="2"/>
  <c r="AC464" i="2"/>
  <c r="AA464" i="2"/>
  <c r="Y464" i="2"/>
  <c r="Q464" i="2"/>
  <c r="AB464" i="2"/>
  <c r="AC466" i="2"/>
  <c r="AA466" i="2"/>
  <c r="Y466" i="2"/>
  <c r="Q466" i="2"/>
  <c r="AB466" i="2"/>
  <c r="AC468" i="2"/>
  <c r="AA468" i="2"/>
  <c r="Y468" i="2"/>
  <c r="Q468" i="2"/>
  <c r="AB468" i="2"/>
  <c r="AC470" i="2"/>
  <c r="AA470" i="2"/>
  <c r="Y470" i="2"/>
  <c r="Q470" i="2"/>
  <c r="AB470" i="2"/>
  <c r="AC472" i="2"/>
  <c r="AA472" i="2"/>
  <c r="Y472" i="2"/>
  <c r="Q472" i="2"/>
  <c r="AB472" i="2"/>
  <c r="AC479" i="2"/>
  <c r="AA479" i="2"/>
  <c r="Y479" i="2"/>
  <c r="Q479" i="2"/>
  <c r="AB479" i="2"/>
  <c r="AB1" i="3"/>
  <c r="AC1" i="3"/>
  <c r="AA1" i="3"/>
  <c r="Y1" i="3"/>
  <c r="Q1" i="3"/>
  <c r="Q450" i="2"/>
  <c r="Z450" i="2"/>
  <c r="Q452" i="2"/>
  <c r="Z452" i="2"/>
  <c r="Q454" i="2"/>
  <c r="Z454" i="2"/>
  <c r="Q456" i="2"/>
  <c r="Z456" i="2"/>
  <c r="Q458" i="2"/>
  <c r="Z458" i="2"/>
  <c r="Q461" i="2"/>
  <c r="Z461" i="2"/>
  <c r="Q463" i="2"/>
  <c r="Z463" i="2"/>
  <c r="Q465" i="2"/>
  <c r="Z465" i="2"/>
  <c r="Q467" i="2"/>
  <c r="Z467" i="2"/>
  <c r="Q469" i="2"/>
  <c r="Z469" i="2"/>
  <c r="Q471" i="2"/>
  <c r="Z471" i="2"/>
  <c r="Q478" i="2"/>
  <c r="Z478" i="2"/>
  <c r="Q480" i="2"/>
  <c r="Z480" i="2"/>
</calcChain>
</file>

<file path=xl/sharedStrings.xml><?xml version="1.0" encoding="utf-8"?>
<sst xmlns="http://schemas.openxmlformats.org/spreadsheetml/2006/main" count="2153" uniqueCount="994">
  <si>
    <t>10 PO NHD RSUD TUANKU IMAM BONJOL - 324BMHP-BLUDVIII2026</t>
  </si>
  <si>
    <t>JUMLAH LOAD KIRIMAN VS COST RATIO BIAYA KIRIM</t>
  </si>
  <si>
    <t>NO</t>
  </si>
  <si>
    <t>NO ITEM</t>
  </si>
  <si>
    <t>ITEM DESCRIPTION</t>
  </si>
  <si>
    <t>QTY</t>
  </si>
  <si>
    <t xml:space="preserve">UoM </t>
  </si>
  <si>
    <t>BERAT (KG)</t>
  </si>
  <si>
    <t>VOLUMETRIC (KG)</t>
  </si>
  <si>
    <t>Berat Volumetrik Darat/laut (KG)</t>
  </si>
  <si>
    <t>Berat Volumetrik Udara (KG)</t>
  </si>
  <si>
    <t>Kubikasi M3</t>
  </si>
  <si>
    <t>Koli</t>
  </si>
  <si>
    <t>Stock Cabang</t>
  </si>
  <si>
    <t>Update Stock Tanggal :</t>
  </si>
  <si>
    <t>TOTAL</t>
  </si>
  <si>
    <t>DS01T2613R-N</t>
  </si>
  <si>
    <t>DS10L2138R-N</t>
  </si>
  <si>
    <t>DS20LSR-N</t>
  </si>
  <si>
    <t>DS03L2332R-N</t>
  </si>
  <si>
    <t>7022V PDM-13-BLUE</t>
  </si>
  <si>
    <t>7022v PDM-12-PINK</t>
  </si>
  <si>
    <t>NIC1832-N-E</t>
  </si>
  <si>
    <t>NIC2032-N-E</t>
  </si>
  <si>
    <t>NIC2225-N-E</t>
  </si>
  <si>
    <t>NIC2420-N-E</t>
  </si>
  <si>
    <t>Nilai DO</t>
  </si>
  <si>
    <t>Biaya Kirim External</t>
  </si>
  <si>
    <t>** TRANSPORTER : INDAH LOGISTIK, DESTINASI : LUBUK SIKAPING,                                LEADTIME : 2 - 3 HARI</t>
  </si>
  <si>
    <t>Total Biaya Kirim</t>
  </si>
  <si>
    <t>Cost Ratio</t>
  </si>
  <si>
    <t>LINK :</t>
  </si>
  <si>
    <t>HARGA INDAH LOGISTIK</t>
  </si>
  <si>
    <t>No</t>
  </si>
  <si>
    <t>P (cm) - Inner</t>
  </si>
  <si>
    <t>L(cm) - Inner</t>
  </si>
  <si>
    <t>T(cm) - Inner</t>
  </si>
  <si>
    <t>P (cm) - Outer</t>
  </si>
  <si>
    <t>L(cm) - Outer</t>
  </si>
  <si>
    <t>T(cm) - Outer</t>
  </si>
  <si>
    <t>Kubik - Outer Box</t>
  </si>
  <si>
    <t>Pcs / 1 Inner Box</t>
  </si>
  <si>
    <t>Inner Box / 1 Outer Box</t>
  </si>
  <si>
    <t xml:space="preserve">Pcs / 1 Outer Box </t>
  </si>
  <si>
    <t>Outer Box /  1 Layer</t>
  </si>
  <si>
    <t>Jumlah Tumpukan</t>
  </si>
  <si>
    <t>Outer Box /  1 Pallet</t>
  </si>
  <si>
    <t>Pcs / 1 Pallet</t>
  </si>
  <si>
    <t>Berat (Kg)</t>
  </si>
  <si>
    <t>Aktif / Non Aktif</t>
  </si>
  <si>
    <t>Berat dus luar</t>
  </si>
  <si>
    <t>Berat Volumetrik Darat/laut (kg)</t>
  </si>
  <si>
    <t>Berat Volumetrik Udara (kg)</t>
  </si>
  <si>
    <t>Kubikasi</t>
  </si>
  <si>
    <t>HD / NHD</t>
  </si>
  <si>
    <t>DS01N100</t>
  </si>
  <si>
    <t>DISP.SYRINGE 1ML insulin 100 unit</t>
  </si>
  <si>
    <t>Aktif</t>
  </si>
  <si>
    <t>pcs</t>
  </si>
  <si>
    <t>NHD</t>
  </si>
  <si>
    <t>DS01T2613</t>
  </si>
  <si>
    <t>DISP.SYRINGE 1ML TB</t>
  </si>
  <si>
    <t>DS01T2613-N</t>
  </si>
  <si>
    <t>DISP.SYRINGE 1ML TB 26GX1/2"/2613 LUER SLIP -N</t>
  </si>
  <si>
    <t>DISP.SYRINGE 1ML TB 26GX1/2"/2613 LUER SLIP R-N</t>
  </si>
  <si>
    <t>DS03L2332</t>
  </si>
  <si>
    <t>DISP.SYRINGE 3ML (23G X 1 1/4) - E - PACK"</t>
  </si>
  <si>
    <t>DS03L2332-N</t>
  </si>
  <si>
    <t>DISP.SYRINGE 3ML LUER LOCK with NEEDLE 23GX1 1/4"</t>
  </si>
  <si>
    <t>DS03L2425</t>
  </si>
  <si>
    <t>DISP.SYRINGE 3ML(24GX1)"</t>
  </si>
  <si>
    <t>DS03L2425-N</t>
  </si>
  <si>
    <t>DISP.SYRINGE 3ML LUER LOCK with NEEDLE 24GX1"</t>
  </si>
  <si>
    <t>DS03L2425R-N</t>
  </si>
  <si>
    <t>DS03L2432</t>
  </si>
  <si>
    <t>DISP.SYRINGE 3ML(24GX1 1/4)"</t>
  </si>
  <si>
    <t>DS03L2432-N</t>
  </si>
  <si>
    <t>DISP.SYRINGE 3ML LUER LOCK with NEEDLE 24GX1 1/4"</t>
  </si>
  <si>
    <t>DS03L-C</t>
  </si>
  <si>
    <t>DISP.SYRINGE 3ML W.NEEDLE - G - PACK</t>
  </si>
  <si>
    <t>Non Aktif</t>
  </si>
  <si>
    <t>DS05L2238</t>
  </si>
  <si>
    <t>DISP.SYRINGE 5ML W.NEEDLE - E - PACK</t>
  </si>
  <si>
    <t>DS05L2238-N</t>
  </si>
  <si>
    <t>DISP.SYRINGE 5ML LUER LOCK with NEEDLE 22Gx1 1/2"</t>
  </si>
  <si>
    <t>DS05L2238R-N</t>
  </si>
  <si>
    <t>DS05L-B</t>
  </si>
  <si>
    <t>DISP. SYRINGE 5ML W.NEEDLE - G - PACK</t>
  </si>
  <si>
    <t>DS10L2138</t>
  </si>
  <si>
    <t>DISP.SYRINGE 10ML W.NEEDLE - E - PACK</t>
  </si>
  <si>
    <t>DS10L2138-N</t>
  </si>
  <si>
    <t>DISP.SYRINGE 10ML LUER LOCK with NEEDLE 21Gx1 1/2"</t>
  </si>
  <si>
    <t>7023Stc PDM-12-PINK</t>
  </si>
  <si>
    <t>Thermal Wristband 7023S-12-PDM PINK</t>
  </si>
  <si>
    <t>DS10L-B</t>
  </si>
  <si>
    <t>DISP.SYRINGE 10ML W.NEEDLE - G - PACK</t>
  </si>
  <si>
    <t>DS20LS</t>
  </si>
  <si>
    <t>DISP.SYRINGE 20ML W/O NEEDLE</t>
  </si>
  <si>
    <t>15,6</t>
  </si>
  <si>
    <t>DS20LS-N</t>
  </si>
  <si>
    <t>DISP.SYRINGE 20ML without NEEDLE LUER SLIP -N</t>
  </si>
  <si>
    <t>DISP.SYRINGE 20ML without NEEDLE LUER SLIP R-N</t>
  </si>
  <si>
    <t>DS30LS</t>
  </si>
  <si>
    <t>DISP.SYR.30ML W/O.NEEDLE(LS)</t>
  </si>
  <si>
    <t>DS50CT-R-N</t>
  </si>
  <si>
    <t>DISP.SYRINGE 50ML without NEEDLE Catheter Tip -N</t>
  </si>
  <si>
    <t>DS50CT-N</t>
  </si>
  <si>
    <t>DS50LS-B</t>
  </si>
  <si>
    <t>DISP.SYRINGE 50ML-B</t>
  </si>
  <si>
    <t>DS50LS-N</t>
  </si>
  <si>
    <t>DISP.SYRINGE 50ML without NEEDLE LUER SLIP-N</t>
  </si>
  <si>
    <t>DS50LS-R-N</t>
  </si>
  <si>
    <t>DISP.SYRINGE.50ML W/O.NEEDLE(LS) BLS E-BEAM</t>
  </si>
  <si>
    <t>DS01T2613-K</t>
  </si>
  <si>
    <t>DISP.SYRINGE 1ML LUER SLIP W/ NEEDLE 26GX1/2" KAN</t>
  </si>
  <si>
    <t>DS03L2332-K</t>
  </si>
  <si>
    <t>DISP.SYRINGE 3ML LUER LOCK W/NEEDLE 23GX1-1/4" KAN</t>
  </si>
  <si>
    <t>DS05L2238-K</t>
  </si>
  <si>
    <t>DISP.SYRINGE 5ml Luer Lock W/Needle 22GX1-1/2" KAN</t>
  </si>
  <si>
    <t>SP-60</t>
  </si>
  <si>
    <t>SYRINGE PUMP SP-60</t>
  </si>
  <si>
    <t>SP-SMART</t>
  </si>
  <si>
    <t>SYRINGE PUMP SMARTFUSION SP-SMART</t>
  </si>
  <si>
    <t>NIC1650</t>
  </si>
  <si>
    <t>I.V CATHETER 16GX2"/1650</t>
  </si>
  <si>
    <t>NIC1650-N-E</t>
  </si>
  <si>
    <t>I.V CATHETER 16GX2"/1650-N-PU</t>
  </si>
  <si>
    <t>NIC1650-N</t>
  </si>
  <si>
    <t>I.V CATHETER 16GX2"/1650-N-ETFE</t>
  </si>
  <si>
    <t>NIC1832</t>
  </si>
  <si>
    <t>I.V CATHETER 18GX1 1/4"/1832</t>
  </si>
  <si>
    <t>NIC1832-N</t>
  </si>
  <si>
    <t>I.V CATHETER 18GX1 1/4"/1832-N-PU</t>
  </si>
  <si>
    <t>o</t>
  </si>
  <si>
    <t>I.V CATHETER 18GX1 1/4"/1832 ETFE</t>
  </si>
  <si>
    <t>NIC1850</t>
  </si>
  <si>
    <t>I.V CATHETER 18GX2"/1850</t>
  </si>
  <si>
    <t>NIC1850-N</t>
  </si>
  <si>
    <t>I.V CATHETER 18GX2"/1850-N-PU</t>
  </si>
  <si>
    <t>NIC1850-N-E</t>
  </si>
  <si>
    <t>I.V CATHETER 18GX2"/1850 ETFE</t>
  </si>
  <si>
    <t>NIC2025</t>
  </si>
  <si>
    <t>I.V CATHETER 20GX1"/2025</t>
  </si>
  <si>
    <t>NIC2025-N</t>
  </si>
  <si>
    <t>I.V CATHETER 20GX1"/2025-N-PU</t>
  </si>
  <si>
    <t>NIC2025-N-E</t>
  </si>
  <si>
    <t>I.V CATHETER 20GX1"/2025 ETFE</t>
  </si>
  <si>
    <t>NIC2032</t>
  </si>
  <si>
    <t>I.V CATHETER 20GX1 1/4"/2032</t>
  </si>
  <si>
    <t>I.V CATHETER 20GX1 1/4"/2032-N-PU</t>
  </si>
  <si>
    <t>NIC2032-N</t>
  </si>
  <si>
    <t>I.V CATHETER 20GX1 1/4"/2032 ETFE</t>
  </si>
  <si>
    <t>NIC2050</t>
  </si>
  <si>
    <t>I.V CATHETER 20GX2"/2050</t>
  </si>
  <si>
    <t>NIC2050-N</t>
  </si>
  <si>
    <t>I.V CATHETER 20GX2"/2050-N-PU</t>
  </si>
  <si>
    <t>NIC2225</t>
  </si>
  <si>
    <t>I.V CATHETER 22GX1"/2225</t>
  </si>
  <si>
    <t>NIC2225-N</t>
  </si>
  <si>
    <t>I.V CATHETER 22GX1"/2225-N-PU</t>
  </si>
  <si>
    <t>I.V CATHETER 22GX1"/2225 ETFE</t>
  </si>
  <si>
    <t>NIC2420</t>
  </si>
  <si>
    <t>I.V CATHETER 24GX3/4"/2420</t>
  </si>
  <si>
    <t>NIC2420-N</t>
  </si>
  <si>
    <t>I.V CATHETER 24GX3/4"/2420-N-PU</t>
  </si>
  <si>
    <t>I.V CATHETER 24GX3/4"/2420 ETFE</t>
  </si>
  <si>
    <t>NIC2425</t>
  </si>
  <si>
    <t>I.V CATHETER 24GX1"/2425</t>
  </si>
  <si>
    <t>NIC2425-N</t>
  </si>
  <si>
    <t>I.V CATHETER 24GX1"/2425-N-PU</t>
  </si>
  <si>
    <t>NIC2425-N-E</t>
  </si>
  <si>
    <t>I.V CATHETER 24GX1"/2425 ETFE</t>
  </si>
  <si>
    <t>W-CATH-1832</t>
  </si>
  <si>
    <t>WING CATHETER 18GX1 1/4"/1832</t>
  </si>
  <si>
    <t>W-CATH-1832-N</t>
  </si>
  <si>
    <t>WING CATHETER 18GX1 1/4"/1832-N-PU</t>
  </si>
  <si>
    <t>W-CATH-1832-N-E</t>
  </si>
  <si>
    <t>WING CATHETER 18GX1 1/4"/1832 ETFE</t>
  </si>
  <si>
    <t>W-CATH-2032</t>
  </si>
  <si>
    <t>WING CATHETER 20GX1 1/4"/2032</t>
  </si>
  <si>
    <t>W-CATH-2032-N</t>
  </si>
  <si>
    <t>W-CATH-2032-N-E</t>
  </si>
  <si>
    <t>WING CATHETER 20GX1 1/4"/2032 ETFE</t>
  </si>
  <si>
    <t>W-CATH-2225</t>
  </si>
  <si>
    <t>WING CATHETER 22GX1"/2225</t>
  </si>
  <si>
    <t>W-CATH-2225-N</t>
  </si>
  <si>
    <t>WING CATHETER 22G x 1"</t>
  </si>
  <si>
    <t>W-CATH-2225-N-E</t>
  </si>
  <si>
    <t>WING CATHETER 22G x 1 ETFE"</t>
  </si>
  <si>
    <t>W-CATH-2420</t>
  </si>
  <si>
    <t>WING CATHETER 24G x 3/4"</t>
  </si>
  <si>
    <t>W-CATH-2425-N</t>
  </si>
  <si>
    <t>WING CATHETER 24G x 1" N</t>
  </si>
  <si>
    <t>W-CATH-2425-N-E</t>
  </si>
  <si>
    <t>WING CATHETER 24G x 1 ETFE"</t>
  </si>
  <si>
    <t>PD225W-DT-PDA</t>
  </si>
  <si>
    <t>Direct Thermal Printer PD225W-DT-PDA 6.5 INCH</t>
  </si>
  <si>
    <t>Unit</t>
  </si>
  <si>
    <t>IA-N-3500</t>
  </si>
  <si>
    <t>IDENT ALERT IA-N-3500 ALLERGY RED</t>
  </si>
  <si>
    <t xml:space="preserve">Stok tidak ada per Carton </t>
  </si>
  <si>
    <t>roll</t>
  </si>
  <si>
    <t>7023Stc PDM-13-BLUE</t>
  </si>
  <si>
    <t>Thermal Wristband 7023S-13-PDM BLUE</t>
  </si>
  <si>
    <t>IA-N-3503</t>
  </si>
  <si>
    <t>IDENT ALERT IA-N-3503 FALL RISK YELLOW</t>
  </si>
  <si>
    <t>IA-N-3504</t>
  </si>
  <si>
    <t>IDENT ALERT - GREEN</t>
  </si>
  <si>
    <t>IA-N-3505</t>
  </si>
  <si>
    <t>IDENT ALERT IA-N-3505 LIMB ALERT PINK</t>
  </si>
  <si>
    <t>AVF1625-HC-N</t>
  </si>
  <si>
    <t>A.V.FISTULA 16G X 1"/1625-HC-30W-N</t>
  </si>
  <si>
    <t>HD</t>
  </si>
  <si>
    <t>AVF1632-HC-N</t>
  </si>
  <si>
    <t>A.V.FISTULA 16G X 1 1/4"/1632-HC-30W-N</t>
  </si>
  <si>
    <t>LDT-2.1W</t>
  </si>
  <si>
    <t>LABEL DIRECT THERMAL 2 x 1" WHITE</t>
  </si>
  <si>
    <t>LDT-2.2-3-8B</t>
  </si>
  <si>
    <t>LABEL DIRECT THERMAL 2 x 2-3/8" BLUE</t>
  </si>
  <si>
    <t>LDT-2.2-3-8W</t>
  </si>
  <si>
    <t>LABEL DIRECT THERMAL 2 x 2-3/8" WHITE</t>
  </si>
  <si>
    <t>LDT-2.4W</t>
  </si>
  <si>
    <t>LABEL DIRECT THERMAL 2 x 4" WHITE</t>
  </si>
  <si>
    <t>7022 PDM-11-WHITE</t>
  </si>
  <si>
    <t>Gelang Pasien/Thermal Wristband 7022 PDM-11 white</t>
  </si>
  <si>
    <t>7022 PDM-12-PINK</t>
  </si>
  <si>
    <t>Thermal Wristband 7022-12-PDM PINK</t>
  </si>
  <si>
    <t>7022 PDM-13-BLUE</t>
  </si>
  <si>
    <t>Thermal Wristband 7022-13-PDM BLUE</t>
  </si>
  <si>
    <t>7022 PDM-14-YELLOW</t>
  </si>
  <si>
    <t>Gelang Pasien/Thermal Wristband 7022 PDM-14 yellow</t>
  </si>
  <si>
    <t>7022V PDM-12-PINK</t>
  </si>
  <si>
    <t>Thermal Wristband 7022V-12-PDM PINK</t>
  </si>
  <si>
    <t>Thermal Wristband 7022V-13-PDM BLUE</t>
  </si>
  <si>
    <t>7023S PDM-11-WHITE</t>
  </si>
  <si>
    <t>Gelang Pasien/Thermal Wristband 7023S PDM-11 white</t>
  </si>
  <si>
    <t>ELISIO1-15H</t>
  </si>
  <si>
    <t>ELISIO-15H (HOLLOW FIBER/DIALYZER ELISIO-15H)</t>
  </si>
  <si>
    <t>ELISIO-15HX</t>
  </si>
  <si>
    <t>ELISIO-15HX (HOLLOW FIBER/DIALYZER ELISIO-15HX)</t>
  </si>
  <si>
    <t>7023S PDM-16-RED</t>
  </si>
  <si>
    <t>Thermal Wristband 7023S-16-PDM RED</t>
  </si>
  <si>
    <t>7041S PDM-11-WHITE</t>
  </si>
  <si>
    <t>Gelang Pasien/Thermal Wristband 7041S PDM-11 white</t>
  </si>
  <si>
    <t>7041S PDM-13-BLUE</t>
  </si>
  <si>
    <t>Gelang Pasien/Thermal Wristband 7041S PDM-13 blue</t>
  </si>
  <si>
    <t>7041S PDM-16-RED</t>
  </si>
  <si>
    <t>Gelang Pasien/Thermal Wristband 7041S PDM-16 red</t>
  </si>
  <si>
    <t>7042 PDM-11-WHITE</t>
  </si>
  <si>
    <t>Gelang Pasien/Thermal Wristband 7042 PDM-11 white</t>
  </si>
  <si>
    <t>7042 PDM-13-BLUE</t>
  </si>
  <si>
    <t>Gelang Pasien/Thermal Wristband 7042 PDM-13 blue</t>
  </si>
  <si>
    <t>7081 PDL-12-PINK</t>
  </si>
  <si>
    <t>Thermal Wristband 7081-12-PDL PINK</t>
  </si>
  <si>
    <t>7081 PDL-13-BLUE</t>
  </si>
  <si>
    <t>Thermal Wristband 7081-13-PDL BLUE</t>
  </si>
  <si>
    <t>7081 PDM-11-WHITE</t>
  </si>
  <si>
    <t>Gelang Pasien/Thermal Wristband 7081 PDM-11 white</t>
  </si>
  <si>
    <t>7081 PDM-12-PINK</t>
  </si>
  <si>
    <t>Gelang Pasien/Thermal Wristband 7081 PDM-12 pink</t>
  </si>
  <si>
    <t>7701 PDL-11-WHITE</t>
  </si>
  <si>
    <t>Thermal Wristband 7701-11-PDL WHITE</t>
  </si>
  <si>
    <t>7701-49 PDL-PBLUE</t>
  </si>
  <si>
    <t>Thermal Wristband 7701-49-PDL PANDA BLUE</t>
  </si>
  <si>
    <t>7702-49 PDL-PPINK</t>
  </si>
  <si>
    <t>Thermal Wristband 7702-49-PDL PANDA PINK</t>
  </si>
  <si>
    <t>7751-12-PDO-PINK</t>
  </si>
  <si>
    <t>TenderCare Maternal Child Thermal 7751-12-PDO-PINK</t>
  </si>
  <si>
    <t>7751-13-PDO-BLUE</t>
  </si>
  <si>
    <t>TenderCare Maternal Child Thermal 7751-13-PDO-BLUE</t>
  </si>
  <si>
    <t>7751T-PDO-13-BLUE</t>
  </si>
  <si>
    <t>Tendercare 2 Part Maternal Child Thermal BLUE</t>
  </si>
  <si>
    <t>8620A-16-PDO</t>
  </si>
  <si>
    <t>ALERT COLORED SNAPS 8620A-16-PDO ALLERGY RED</t>
  </si>
  <si>
    <t>8620D-33-PDO</t>
  </si>
  <si>
    <t>ALERT COLORED SNAPS 8620D-33-PDO DNR PURPLE</t>
  </si>
  <si>
    <t>8620F-14-PDO</t>
  </si>
  <si>
    <t>ALERT COLORED SNAPS 8620F-14-PDO FALL RISK YELLOW</t>
  </si>
  <si>
    <t>8620L-37-PDO</t>
  </si>
  <si>
    <t>ALERT COLORED SNAPS 8620L-37-PDO LIMB ALERT PINK</t>
  </si>
  <si>
    <t>8620LT-22-PDO</t>
  </si>
  <si>
    <t>ALERT COLORED SNAPS 8620LT-22-PDO NO LATEX-GREEN</t>
  </si>
  <si>
    <t>8620T-22-PDO</t>
  </si>
  <si>
    <t>ALERT COLORED SNAPS 8620T-22-PDO NO LATEX GREEN</t>
  </si>
  <si>
    <t>IF110-11</t>
  </si>
  <si>
    <t>INFANT SERIES IF110-11 WHITE</t>
  </si>
  <si>
    <t>IF110-12</t>
  </si>
  <si>
    <t>INFANT SERIES IF110-12 PINK</t>
  </si>
  <si>
    <t>IF110-18</t>
  </si>
  <si>
    <t>INFANT SERIES IF110-18 BLUE</t>
  </si>
  <si>
    <t>IF110T-11</t>
  </si>
  <si>
    <t>INFANT SERIES IF110T-11 WHITE</t>
  </si>
  <si>
    <t>IF110T-12</t>
  </si>
  <si>
    <t>INFANT SERIES IF110T-12 PINK</t>
  </si>
  <si>
    <t>IF110T-12-RSAM</t>
  </si>
  <si>
    <t>INFANT SERIES 110T-12 (PINK) RS ABDOEL MOELOEK</t>
  </si>
  <si>
    <t>IF110T-12-RSFM</t>
  </si>
  <si>
    <t>INFANT SERIES 110T-12 (PINK) RS FATWAWATI</t>
  </si>
  <si>
    <t>IF110T-12-RSPC</t>
  </si>
  <si>
    <t>INFANT SERIES 110T-12 (PINK) RS PURI CINERE</t>
  </si>
  <si>
    <t>IF110T-18</t>
  </si>
  <si>
    <t>INFANT SERIES IF110T-18 BLUE</t>
  </si>
  <si>
    <t>IF110T-18-RSFM</t>
  </si>
  <si>
    <t>INFANT SERIES 110T-18 (BLUE) RS FATMAWATI</t>
  </si>
  <si>
    <t>IF110T-18-RSPC</t>
  </si>
  <si>
    <t>INFANT SERIES 110T-18 (BLUE) RS PURI CINERE</t>
  </si>
  <si>
    <t>IF510T-11</t>
  </si>
  <si>
    <t>INFANT SERIES IF510T-11 WHITE</t>
  </si>
  <si>
    <t>IF510T-12</t>
  </si>
  <si>
    <t>INFANT SERIES 510T-12 (PINK)</t>
  </si>
  <si>
    <t>IF510T-18</t>
  </si>
  <si>
    <t>INFANT SERIES IF510T-18 LIGHT BLUE</t>
  </si>
  <si>
    <t>130A-84-PDM</t>
  </si>
  <si>
    <t>CLEAR IMAGE ALERT BAND 84-PDM (ALLERGY)</t>
  </si>
  <si>
    <t>130A-93-PDM</t>
  </si>
  <si>
    <t>CLEAR IMAGE ALERT BAND 93-PDM (FALL RISK)</t>
  </si>
  <si>
    <t>130A-96-PDM</t>
  </si>
  <si>
    <t>CLEAR IMAGE ALERT BAND 96-PDM (DNR)</t>
  </si>
  <si>
    <t>AP 520T-11</t>
  </si>
  <si>
    <t>ADULT PEDIATRIC A520T-11 WHITE</t>
  </si>
  <si>
    <t>AP 520T-12</t>
  </si>
  <si>
    <t>ADULT PEDIATRIC AP520T-12 PINK</t>
  </si>
  <si>
    <t>AP 520T-13</t>
  </si>
  <si>
    <t>ADULT PEDIATRIC AP520T-13 DARK BLUE</t>
  </si>
  <si>
    <t>AP 520T-14</t>
  </si>
  <si>
    <t>ADULT PEDIATRIC AP520T-14 YELLOW</t>
  </si>
  <si>
    <t>AP 520T-16</t>
  </si>
  <si>
    <t>ADULT PEDIATRIC AP520T-16 RED</t>
  </si>
  <si>
    <t>AP120-11</t>
  </si>
  <si>
    <t>ADULT PEDIATRIC AP120-11 WHITE</t>
  </si>
  <si>
    <t>AP120-12</t>
  </si>
  <si>
    <t>ADULT PEDIATRIC AP120-12 PINK</t>
  </si>
  <si>
    <t>AP120-15</t>
  </si>
  <si>
    <t>ADULT PEDIATRIC 120-15(GREEN)</t>
  </si>
  <si>
    <t>AP120-16</t>
  </si>
  <si>
    <t>ADULT PEDIATRIC AP120-16 RED</t>
  </si>
  <si>
    <t>AP120-18</t>
  </si>
  <si>
    <t>ADULT PEDIATRIC AP120-18 BLUE</t>
  </si>
  <si>
    <t>AP120T-11</t>
  </si>
  <si>
    <t>ADULT PEDIATRIC AP120T-11 WHITE</t>
  </si>
  <si>
    <t>AP120T-12</t>
  </si>
  <si>
    <t>ADULT PEDIATRIC AP120T-12 PINK</t>
  </si>
  <si>
    <t>AP120T-12-RSAM</t>
  </si>
  <si>
    <t>ADULT PEDIATRIC AP120T-12 PINK RSAM</t>
  </si>
  <si>
    <t>AP120T-12-RSFM</t>
  </si>
  <si>
    <t>ADULT PEDIATRIC AP120T-12 PINK RSFM</t>
  </si>
  <si>
    <t>AP120T-12-RSPC</t>
  </si>
  <si>
    <t>ADULT PEDIATRIC AP120T-12 PINK RSPC</t>
  </si>
  <si>
    <t>AP120T-16</t>
  </si>
  <si>
    <t>ADULT PEDIATRIC AP120T-16 RED</t>
  </si>
  <si>
    <t>AP120T-18</t>
  </si>
  <si>
    <t>ADULT PEDIATRIC AP120T-18 BLUE</t>
  </si>
  <si>
    <t>AP120T-18-RSAM</t>
  </si>
  <si>
    <t>ADULT PEDIATRIC AP120T-18 BLUE RSAM</t>
  </si>
  <si>
    <t>AP120T-18-RSFM</t>
  </si>
  <si>
    <t>ADULT PEDIATRIC AP120T-18 BLUE RSFM</t>
  </si>
  <si>
    <t>AP120T-18-RSPC</t>
  </si>
  <si>
    <t>ADULT PEDIATRIC AP120T-18 BLUE RSPC</t>
  </si>
  <si>
    <t>DB220-12</t>
  </si>
  <si>
    <t>DUOBAND SERIES DB220-12 PINK</t>
  </si>
  <si>
    <t>DB220-18</t>
  </si>
  <si>
    <t>DUOBAND SERIES DB220-18 BLUE</t>
  </si>
  <si>
    <t>SEN5065-14</t>
  </si>
  <si>
    <t>SENTRY SUPERBAND SEN5065-14 FALL RISK YELLOW</t>
  </si>
  <si>
    <t>SEN5065-16</t>
  </si>
  <si>
    <t>SENTRY SUPERBAND SEN5065-13 ALLERGY RED</t>
  </si>
  <si>
    <t>SEN5070-13</t>
  </si>
  <si>
    <t>SENTRY SEN5070-13 BLUE</t>
  </si>
  <si>
    <t>SEN5080-13</t>
  </si>
  <si>
    <t>SENTRY LABEL BAND SEN5080-13 BLUE</t>
  </si>
  <si>
    <t>SEN5080-16</t>
  </si>
  <si>
    <t>SENTRY LABEL BAND SEN5080-16 RED</t>
  </si>
  <si>
    <t>SEN5090-12</t>
  </si>
  <si>
    <t>SENTRY LABEL BAND SEN5090-12 PINK</t>
  </si>
  <si>
    <t>SEN5090-13</t>
  </si>
  <si>
    <t>SENTRY LABEL BAND SEN5090-13 BLUE</t>
  </si>
  <si>
    <t>SEN5090-16</t>
  </si>
  <si>
    <t>SENTRY LABEL BAND SEN5090-16 RED</t>
  </si>
  <si>
    <t>SEN5090-26</t>
  </si>
  <si>
    <t>SENTRY LABEL BAND SEN5090-26 GREY</t>
  </si>
  <si>
    <t>SENTRY-13</t>
  </si>
  <si>
    <t>SENTRY ADULT PEDIATRIC SENTRY5000 SERIES-13 BLUE</t>
  </si>
  <si>
    <t>SENTRY-14</t>
  </si>
  <si>
    <t>SENTRY ADULT PEDIATRIC SENTRY5000 SERIES-14 YELLOW</t>
  </si>
  <si>
    <t>SENTRY-16</t>
  </si>
  <si>
    <t>SENTRY ADULT PEDIATRIC SENTRY5000 SERIES-16 RED</t>
  </si>
  <si>
    <t>TB320-12</t>
  </si>
  <si>
    <t>TRIBAND SERIES TB320-12 PINK</t>
  </si>
  <si>
    <t>TB320-18</t>
  </si>
  <si>
    <t>TRIBAND SERIES TB320-18 LIGHT BLUE</t>
  </si>
  <si>
    <t>VB420P-11</t>
  </si>
  <si>
    <t>VINYL BAND WHITE 420P-11</t>
  </si>
  <si>
    <t>VB420P-20</t>
  </si>
  <si>
    <t>VISABAND P420-20/BLACK</t>
  </si>
  <si>
    <t>VB420P-27</t>
  </si>
  <si>
    <t>VISA BAND VB420P-27 HOT PINK</t>
  </si>
  <si>
    <t>VB420P-28</t>
  </si>
  <si>
    <t>VISA BAND VB420P-28 WILD LEMON</t>
  </si>
  <si>
    <t>VB420P-32</t>
  </si>
  <si>
    <t>VISA BAND VB420P-32 ELECTRIC BLUE</t>
  </si>
  <si>
    <t>VB420P-33</t>
  </si>
  <si>
    <t>VISA BAND VB420P-33 AMAZING GRAPE</t>
  </si>
  <si>
    <t>VB420P-40</t>
  </si>
  <si>
    <t>VISA BAND VBP420-40 ROCKET RED</t>
  </si>
  <si>
    <t>VB420P-41</t>
  </si>
  <si>
    <t>VISA BAND VB420P-41 LIVELY LIME</t>
  </si>
  <si>
    <t>VB430P-27</t>
  </si>
  <si>
    <t>VISA BAND VB430P-27 HOT PINK</t>
  </si>
  <si>
    <t>VB430P-28</t>
  </si>
  <si>
    <t>VISA BAND VB430P-28 WILD LEMON</t>
  </si>
  <si>
    <t>VB430P-33</t>
  </si>
  <si>
    <t>VISA BAND VB430P-33 AMAZING GRAPE</t>
  </si>
  <si>
    <t>VB430P-41</t>
  </si>
  <si>
    <t>VISA BAND VBP430-41 LIVELY LIME</t>
  </si>
  <si>
    <t>VB430P-50</t>
  </si>
  <si>
    <t>VISA NARROW BAND VB430P-50 SILVER PLAIN</t>
  </si>
  <si>
    <t>VB4480-50</t>
  </si>
  <si>
    <t>VISA BAND VB4480-50 GLITTER SILVER</t>
  </si>
  <si>
    <t>VB4480-51</t>
  </si>
  <si>
    <t>VISA BAND VB4480-51 GLITTER GOLD</t>
  </si>
  <si>
    <t>VB470P-22</t>
  </si>
  <si>
    <t>VISA SUPER WIDE BAND VB470P-22 KELLY GREEN</t>
  </si>
  <si>
    <t>VB-VIP20</t>
  </si>
  <si>
    <t>VISABAND VIP-20 (BLACK)</t>
  </si>
  <si>
    <t>AVF1625 DULL</t>
  </si>
  <si>
    <t>AVF1625-HC</t>
  </si>
  <si>
    <t>A.V.FISTULA 16G X 1"/1625-HC</t>
  </si>
  <si>
    <t>FG-SC-002</t>
  </si>
  <si>
    <t>JAYAMEKSICART 720 G</t>
  </si>
  <si>
    <t>AVF1632 DULL</t>
  </si>
  <si>
    <t>A.V.FISTULA 16 X 1"- DULL</t>
  </si>
  <si>
    <t>AVF1632-HC</t>
  </si>
  <si>
    <t>A.V.FISTULA 16G X 1 1/4"/1632-HC</t>
  </si>
  <si>
    <t>HD PACK-2B</t>
  </si>
  <si>
    <t>PAKET 2B-HD PACK-1-10-20-INFUSION SET</t>
  </si>
  <si>
    <t>AVF1632-HTC</t>
  </si>
  <si>
    <t>A.V.FISTULA 16G X 1 1/4"/1632-HTC</t>
  </si>
  <si>
    <t>AVF1632-TC</t>
  </si>
  <si>
    <t>A.V.FISTULA 16G X 1 1/4"/1632-TC</t>
  </si>
  <si>
    <t>AVF1732-HC</t>
  </si>
  <si>
    <t>A.V.FISTULA 17G X 1 1/4"/1732-HC</t>
  </si>
  <si>
    <t>AVF1732-HC-N</t>
  </si>
  <si>
    <t>A.V.FISTULA 17G X 1 1/4"/1732-HC-30W-N</t>
  </si>
  <si>
    <t>AVF1732-TC</t>
  </si>
  <si>
    <t>A.V.FISTULA 17G X 1 1/4"/1732-TC</t>
  </si>
  <si>
    <t>DLC-NADLC 16-C</t>
  </si>
  <si>
    <t>Double Lumen Catheter 12x16 - Curved</t>
  </si>
  <si>
    <t>DLC-NADLC 16-S</t>
  </si>
  <si>
    <t>Double Lumen Catheter 12x16 - Straight</t>
  </si>
  <si>
    <t>A016-R-V604R</t>
  </si>
  <si>
    <t>BLOOD TUBING SET A016+R/V604R-N</t>
  </si>
  <si>
    <t>A057-V657</t>
  </si>
  <si>
    <t>BLOOD LINE A057/V657</t>
  </si>
  <si>
    <t>A060-V658</t>
  </si>
  <si>
    <t>BLOOD TUBING SET A060/V658</t>
  </si>
  <si>
    <t>A107</t>
  </si>
  <si>
    <t>BLOOD TUBING SET A107</t>
  </si>
  <si>
    <t>A133-V702</t>
  </si>
  <si>
    <t>BLOOD TUBING SET PEDIATRIC A133/V702</t>
  </si>
  <si>
    <t>A268-V778</t>
  </si>
  <si>
    <t>BLOOD TUBING SET A268 / V 778</t>
  </si>
  <si>
    <t>NS6050-A16-N</t>
  </si>
  <si>
    <t>BLOODLINE A016/V604 (NS6050-A16-N)</t>
  </si>
  <si>
    <t>NS6050-A16-V604-N</t>
  </si>
  <si>
    <t>BLOOD TUBING SET A016+V604 (NS6050-A16+V604-N)</t>
  </si>
  <si>
    <t>HD PACK-2C</t>
  </si>
  <si>
    <t>PAKET 2C-HD PACK-3-5-20 INFUSION SET</t>
  </si>
  <si>
    <t>BL28G-NPR</t>
  </si>
  <si>
    <t>Blood Lancets 28G Nipro</t>
  </si>
  <si>
    <t>IA-N-3502</t>
  </si>
  <si>
    <t>IDENT ALERT IA-N-3502 DNR PURPLE</t>
  </si>
  <si>
    <t>IS01A</t>
  </si>
  <si>
    <t>INFUSION SET MACRO</t>
  </si>
  <si>
    <t>aktif</t>
  </si>
  <si>
    <t>IS01A-21G</t>
  </si>
  <si>
    <t>INFUSION SET/Y-INJECTIONSITE</t>
  </si>
  <si>
    <t>FPC15DCDU</t>
  </si>
  <si>
    <t>INFUSION SET FPC15DCDU-70</t>
  </si>
  <si>
    <t>FP960</t>
  </si>
  <si>
    <t>INFUSION PUMP FP960</t>
  </si>
  <si>
    <t>SUREFUSION</t>
  </si>
  <si>
    <t>SUREFUSION (INFUSION PUMP)</t>
  </si>
  <si>
    <t>NS1838</t>
  </si>
  <si>
    <t>NEEDLE 18GX1 1/2"/1838</t>
  </si>
  <si>
    <t>NS2038</t>
  </si>
  <si>
    <t>NEEDLE 20G X 1 1/2"</t>
  </si>
  <si>
    <t>NS2138</t>
  </si>
  <si>
    <t>NEEDLE 21GX1 1/2"/2138</t>
  </si>
  <si>
    <t>NS2238</t>
  </si>
  <si>
    <t>NEEDLE 22GX1 1/2"/2238</t>
  </si>
  <si>
    <t>NS2332</t>
  </si>
  <si>
    <t>NEEDLE 23GX1 1/4"/2332</t>
  </si>
  <si>
    <t>NS2425</t>
  </si>
  <si>
    <t>NEEDLE 24GX1"/2425</t>
  </si>
  <si>
    <t>NS2525</t>
  </si>
  <si>
    <t>NEEDLE 25G X 1"</t>
  </si>
  <si>
    <t>NS2613</t>
  </si>
  <si>
    <t>NEEDLE 26GX1/2"/2613</t>
  </si>
  <si>
    <t>NS2713</t>
  </si>
  <si>
    <t>NEEDLE 27GX1/2"/2713</t>
  </si>
  <si>
    <t>NS-TER19G</t>
  </si>
  <si>
    <t>NEEDLE TERUMO 19 G"</t>
  </si>
  <si>
    <t>NS-TER20G</t>
  </si>
  <si>
    <t>NEEDLE TERUMO 20 G</t>
  </si>
  <si>
    <t>NS-TER21G</t>
  </si>
  <si>
    <t>NEEDLE TERUMO 21 G</t>
  </si>
  <si>
    <t>SN2390</t>
  </si>
  <si>
    <t>SPINAL NEEDLE 23G X 3 1/2"</t>
  </si>
  <si>
    <t>SN2590</t>
  </si>
  <si>
    <t>SPINAL NEEDLE 25G X 3 1/2""</t>
  </si>
  <si>
    <t>SFS-1001DP</t>
  </si>
  <si>
    <t>SUREFUSER PLUS 100ML SFS-1001DP</t>
  </si>
  <si>
    <t>SFS-1002DP</t>
  </si>
  <si>
    <t>SUREFUSER PLUS 100ML SFS-1002DP</t>
  </si>
  <si>
    <t>PSV21</t>
  </si>
  <si>
    <t>PSV NEEDLE 21GX3/4"</t>
  </si>
  <si>
    <t>PSV23</t>
  </si>
  <si>
    <t>PSV NEEDLE 23GX3/4"</t>
  </si>
  <si>
    <t>PSV25</t>
  </si>
  <si>
    <t>PSV NEEDLE 25GX3/4"</t>
  </si>
  <si>
    <t>PSV27</t>
  </si>
  <si>
    <t>PSV NEEDLE 27GX3/4"</t>
  </si>
  <si>
    <t>AQ 35150 AR</t>
  </si>
  <si>
    <t>Aqualiner Guidewire 35150 Angled Regular</t>
  </si>
  <si>
    <t>AQ 35180 AR</t>
  </si>
  <si>
    <t>Aqualiner Guidewire 35180 Angled Regular</t>
  </si>
  <si>
    <t>AQ 35260 AR</t>
  </si>
  <si>
    <t>Aqualiner Guidewire 35260 Angled Regular</t>
  </si>
  <si>
    <t>PTMC-24</t>
  </si>
  <si>
    <t>PTMC-24 (PTMC-24 INOUE BALLOON)</t>
  </si>
  <si>
    <t>PTMC-26</t>
  </si>
  <si>
    <t>PTMC-26 (PTMC-26 INOUE BALLOON)</t>
  </si>
  <si>
    <t>PTMC-28</t>
  </si>
  <si>
    <t>PTMC-28 (PTMC-28 INOUE BALLOON)</t>
  </si>
  <si>
    <t>SMS-1</t>
  </si>
  <si>
    <t>SMS-1 (STYLETE - INOUE BALLOON SMS-1)</t>
  </si>
  <si>
    <t>GMS-1</t>
  </si>
  <si>
    <t>GMS-1 (GUIDEWIRE PTMC 0,035" INOUE BALLOON)</t>
  </si>
  <si>
    <t>IMS-24</t>
  </si>
  <si>
    <t>IMS-24 INOUE BALLOON</t>
  </si>
  <si>
    <t>IMS-26</t>
  </si>
  <si>
    <t>IMS-26 INOUE BALLOON</t>
  </si>
  <si>
    <t>IMS-28</t>
  </si>
  <si>
    <t>IMS-28 INOUE BALLOON</t>
  </si>
  <si>
    <t>AMPOULE01</t>
  </si>
  <si>
    <t>Ampoule 1 ml</t>
  </si>
  <si>
    <t>AMPOULE02</t>
  </si>
  <si>
    <t>Ampoule 2 ml</t>
  </si>
  <si>
    <t>AMPOULE05</t>
  </si>
  <si>
    <t>Ampoule 5 ml</t>
  </si>
  <si>
    <t>AMPOULE10</t>
  </si>
  <si>
    <t>Ampoule 10 ml</t>
  </si>
  <si>
    <t>SCL-HD</t>
  </si>
  <si>
    <t>SCL-HD (SURCLEANSE HD)</t>
  </si>
  <si>
    <t>AK05L</t>
  </si>
  <si>
    <t>CONCENTRATE TYPE AK @5 LTR</t>
  </si>
  <si>
    <t>AK05-P</t>
  </si>
  <si>
    <t>CONCENTRATE TYPE AK5LTR-P</t>
  </si>
  <si>
    <t>AK10L</t>
  </si>
  <si>
    <t>ACID CONCENTRATE TYPE AK @10 LTR</t>
  </si>
  <si>
    <t>AK10L-MA1</t>
  </si>
  <si>
    <t>RENAL ACID CONCENTRATE TYPE A1 @10 LTR</t>
  </si>
  <si>
    <t>AK1-10L</t>
  </si>
  <si>
    <t>ACID CONCENTRATE TYPE AK1 @10 LTR</t>
  </si>
  <si>
    <t>cub</t>
  </si>
  <si>
    <t>AK1-10LMA23</t>
  </si>
  <si>
    <t>HD RENAL ACID CONCENTRATE TYPE A23 @10 LTR</t>
  </si>
  <si>
    <t>AK1-5L</t>
  </si>
  <si>
    <t>CONCENTRATE TYPE AK1 @5 LTR</t>
  </si>
  <si>
    <t>AT07L</t>
  </si>
  <si>
    <t>CONCENTRAT TYPE AT@07LTR</t>
  </si>
  <si>
    <t>AT08L</t>
  </si>
  <si>
    <t>CONCENTRAT TYPE AT@08LTR</t>
  </si>
  <si>
    <t>AT10L</t>
  </si>
  <si>
    <t>BICARBONATE CONCENTRATE TYPE AT @10 LTR</t>
  </si>
  <si>
    <t>AT10L-MB1</t>
  </si>
  <si>
    <t>RENAL BICARBONATE CONCENTRATE TYPE B1@10 LTR</t>
  </si>
  <si>
    <t>NIPROCART A2F 760</t>
  </si>
  <si>
    <t>NIPROCART BICARBONATE POWDER A2F 760gr</t>
  </si>
  <si>
    <t>ELISIO1-13H</t>
  </si>
  <si>
    <t>HOLLOW FIBER/DIALYZER ELISIO1-13H</t>
  </si>
  <si>
    <t>ELISIO1-15M</t>
  </si>
  <si>
    <t>ELISIO1-15H (HOLLOW FIBER/DIALYZER ELISIO1-15H)</t>
  </si>
  <si>
    <t>ELISIO2-11H</t>
  </si>
  <si>
    <t>ELISIO-11H (HOLLOW FIBER/DIALYZER ELISIO-11H)</t>
  </si>
  <si>
    <t>ELISIO-11H</t>
  </si>
  <si>
    <t>ELISIO-130H</t>
  </si>
  <si>
    <t>ELISIO-H HOLLOW FIBER DIALYZER 130H</t>
  </si>
  <si>
    <t>ELISIO-13H</t>
  </si>
  <si>
    <t>ELISIO-13H (HOLLOW FIBER/DIALYZER ELISIO-13H)</t>
  </si>
  <si>
    <t>ELISIO-150H</t>
  </si>
  <si>
    <t>ELISIO-H HOLLOW FIBER DIALYZER 150H</t>
  </si>
  <si>
    <t>IS-001A-NIJ</t>
  </si>
  <si>
    <t>NIPRO Infusion Set - IS-001A-NIJ</t>
  </si>
  <si>
    <t>ELISIO-17M</t>
  </si>
  <si>
    <t>ELISIO-17H (HOLLOW FIBER/DIALYZER ELISIO-17H)</t>
  </si>
  <si>
    <t>ELISIO-17HX</t>
  </si>
  <si>
    <t>ELISIO-17HX (HOLLOW FIBER/DIALYZER ELISIO-17HX)</t>
  </si>
  <si>
    <t>ELISIO1-17H</t>
  </si>
  <si>
    <t>ELISIO1-17H (HOLLOW FIBER/DIALYZER ELISIO1-17H)</t>
  </si>
  <si>
    <t>ELISIO-190H</t>
  </si>
  <si>
    <t>ELISIO-H HOLLOW FIBER DIALYZER 190H</t>
  </si>
  <si>
    <t>ELISIO-210H</t>
  </si>
  <si>
    <t>ELISIO-H HOLLOW FIBER DIALYZER 210H</t>
  </si>
  <si>
    <t>ELISIO-21H</t>
  </si>
  <si>
    <t>ELISIO-21H (HOLLOW FIBER/DIALYZER ELISIO-21H)</t>
  </si>
  <si>
    <t>FB110T</t>
  </si>
  <si>
    <t>HOLLOW FIBER 110 T</t>
  </si>
  <si>
    <t>FB130T</t>
  </si>
  <si>
    <t>HOLLOW FIBER 130 T</t>
  </si>
  <si>
    <t>FB13G</t>
  </si>
  <si>
    <t>HOLLOW FIBER SUREFLUX 13 G</t>
  </si>
  <si>
    <t>FB150G</t>
  </si>
  <si>
    <t>HOLLOW FIBER SURFLUX 150 G</t>
  </si>
  <si>
    <t>FB150T</t>
  </si>
  <si>
    <t>HOLLOW FIBER 150 T</t>
  </si>
  <si>
    <t>FB170T</t>
  </si>
  <si>
    <t>HOLLOW FIBER DIALYZER 170 T</t>
  </si>
  <si>
    <t>FB50G</t>
  </si>
  <si>
    <t>SUREFLUX-50G (HOLLOW FIBER/DIALYZER SUREFLUX-50G)</t>
  </si>
  <si>
    <t>FB50T</t>
  </si>
  <si>
    <t>HOLLOW FIBER DIALYZER 50 T</t>
  </si>
  <si>
    <t>FB70G</t>
  </si>
  <si>
    <t>SUREFLUX-70G (HOLLOW FIBER/DIALYZER SUREFLUX-70G)</t>
  </si>
  <si>
    <t>FB70T</t>
  </si>
  <si>
    <t>HOLLOW FIBER DIALYZER 70 T</t>
  </si>
  <si>
    <t>FB90G</t>
  </si>
  <si>
    <t>SUREFLUX-90G (HOLLOW FIBER/DIALYZER SUREFLUX-90G)</t>
  </si>
  <si>
    <t>FB90T</t>
  </si>
  <si>
    <t>HOLLOW FIBER DIALYZER 90 T</t>
  </si>
  <si>
    <t>AHMOB</t>
  </si>
  <si>
    <t>HEMAPO Inj 3000 Iu/Ml</t>
  </si>
  <si>
    <t>JM-ACSWAB-ETH70</t>
  </si>
  <si>
    <t>JAYAMEKSI Alcohol Swab - Ethyl 70%</t>
  </si>
  <si>
    <t>box kecil</t>
  </si>
  <si>
    <t>JM-ACSWAB-ISOPRO70</t>
  </si>
  <si>
    <t>JAYAMEKSI Alcohol Swab - Isopropyl 70%</t>
  </si>
  <si>
    <t>ALKOHOL PAD</t>
  </si>
  <si>
    <t>CHLOR-CLEAN-TABLETS</t>
  </si>
  <si>
    <t>CHLOR CLEAN TABLETS</t>
  </si>
  <si>
    <t>COTTON BALL</t>
  </si>
  <si>
    <t>CT-F1</t>
  </si>
  <si>
    <t>SMIC OVAL CLINICAL THERMOMETER</t>
  </si>
  <si>
    <t>DISPDRESSCEPTS</t>
  </si>
  <si>
    <t>DISPOSABLE DRESSING FORCEPS</t>
  </si>
  <si>
    <t>DISPLASBAG</t>
  </si>
  <si>
    <t>DISPOSABLE PLASTIC BAG</t>
  </si>
  <si>
    <t>DRESSING TRAY</t>
  </si>
  <si>
    <t>EXAM-L</t>
  </si>
  <si>
    <t>EXAMINATION GLOVES-L</t>
  </si>
  <si>
    <t>EXAM-M</t>
  </si>
  <si>
    <t>EXAMINATION GLOVES-M</t>
  </si>
  <si>
    <t>EXAM-XL</t>
  </si>
  <si>
    <t>EXAMINATION GLOVES-XL</t>
  </si>
  <si>
    <t>GAUZE SWABS 75</t>
  </si>
  <si>
    <t>GAUZE SWABS 7,5 X 7,5 CM</t>
  </si>
  <si>
    <t>GLOVE M</t>
  </si>
  <si>
    <t>GLOVE SIZE M</t>
  </si>
  <si>
    <t>GLOVES POWDER</t>
  </si>
  <si>
    <t>HAND TOWEL</t>
  </si>
  <si>
    <t>HEPHARIN 5000</t>
  </si>
  <si>
    <t>HEPHARIN 5000 Iu/Ml</t>
  </si>
  <si>
    <t>MSKR</t>
  </si>
  <si>
    <t>MASKER</t>
  </si>
  <si>
    <t>MSKR3</t>
  </si>
  <si>
    <t>MASKER @3PLY</t>
  </si>
  <si>
    <t>STANDART PLESTER</t>
  </si>
  <si>
    <t>STERILE FIELD</t>
  </si>
  <si>
    <t>ULTRAFIX</t>
  </si>
  <si>
    <t>ACSWAB</t>
  </si>
  <si>
    <t>ACSWAB (Alkohol Swab)</t>
  </si>
  <si>
    <t>ANFRA</t>
  </si>
  <si>
    <t>ANFRA (Nefrofer 5ml @ 5 Ampul)</t>
  </si>
  <si>
    <t>APRN</t>
  </si>
  <si>
    <t>APRN (Apron)</t>
  </si>
  <si>
    <t>EKEXTI2</t>
  </si>
  <si>
    <t>EKEXTI2 (EXTRACE Inj 200mg / 6)</t>
  </si>
  <si>
    <t>EPODION 2000 IU</t>
  </si>
  <si>
    <t>EPO 2000 (EPODION 2000 IU)</t>
  </si>
  <si>
    <t>GLV-S</t>
  </si>
  <si>
    <t>GLOVE-M (Glove ukuran M)</t>
  </si>
  <si>
    <t>HYPX 10X5</t>
  </si>
  <si>
    <t>HYPX 10x5 (Hypafix 10 x 5)</t>
  </si>
  <si>
    <t>INFUS NACL 500 ML</t>
  </si>
  <si>
    <t>INFUS NaCl 500 ML</t>
  </si>
  <si>
    <t>MCNE5000IN</t>
  </si>
  <si>
    <t>MCNE 5000 IN (Neurobion 5000 Dual Ampoule 20 s)</t>
  </si>
  <si>
    <t>POVIODINE</t>
  </si>
  <si>
    <t>POVIODINE (Povidon Iodine 1 liter)</t>
  </si>
  <si>
    <t>WIDA NS 500 M</t>
  </si>
  <si>
    <t>Wida Ns 500 m</t>
  </si>
  <si>
    <t>HLB2L</t>
  </si>
  <si>
    <t>HLB2L (HAVOX 2 LTR)</t>
  </si>
  <si>
    <t>TVAC-6FR</t>
  </si>
  <si>
    <t>TVAC THROMBECTOMY CATHETER 6FR</t>
  </si>
  <si>
    <t>NST16-C</t>
  </si>
  <si>
    <t>DISP. THORACIC CATHETER 36FR</t>
  </si>
  <si>
    <t>NST18-C</t>
  </si>
  <si>
    <t>DISP.SUCTION CATHETER 18 FR</t>
  </si>
  <si>
    <t>NTH28</t>
  </si>
  <si>
    <t>DISP. TROCAR CATHETER 12 FR</t>
  </si>
  <si>
    <t>NTH32</t>
  </si>
  <si>
    <t>DISP. TROCAR CATHETER 16 FR</t>
  </si>
  <si>
    <t>NTR20</t>
  </si>
  <si>
    <t>DISP. TROCAR CATHETER 20 FR</t>
  </si>
  <si>
    <t>A-GUIDEPLUSK-E</t>
  </si>
  <si>
    <t>GUIDE EXTENSION CATHETER</t>
  </si>
  <si>
    <t>NFT-0501</t>
  </si>
  <si>
    <t>DISP.FEEDING TUBE 5 FR-40CM</t>
  </si>
  <si>
    <t>NFT-0502</t>
  </si>
  <si>
    <t>DISP.FEEDING TUBE 5 FR-100CM</t>
  </si>
  <si>
    <t>NFT-0802</t>
  </si>
  <si>
    <t>DISP.FEEDING TUBE 8 FR-100CM</t>
  </si>
  <si>
    <t>NFT-1002</t>
  </si>
  <si>
    <t>DISP.FEEDING TUBE 10FR-100CM</t>
  </si>
  <si>
    <t>SS-525</t>
  </si>
  <si>
    <t>SENSITIVE STETHOSCOPE SS-525</t>
  </si>
  <si>
    <t>PS-530</t>
  </si>
  <si>
    <t>PRECISE STETHOSCOPE PS-530</t>
  </si>
  <si>
    <t>S-540</t>
  </si>
  <si>
    <t>ERKAPHONE FINESSE (S-540)</t>
  </si>
  <si>
    <t>S-542</t>
  </si>
  <si>
    <t>ERKAPHON D.CHEST PIECE ALM.</t>
  </si>
  <si>
    <t>S-545</t>
  </si>
  <si>
    <t>ERKAPHONE PAEDIATRIC D.C.PIECE</t>
  </si>
  <si>
    <t>S-548</t>
  </si>
  <si>
    <t>ERKAPHONE FINESSE FOR CHILDREN</t>
  </si>
  <si>
    <t>S-560</t>
  </si>
  <si>
    <t>ERKA WITH TIGHT CHEST PIECE</t>
  </si>
  <si>
    <t>AB-SD-2518</t>
  </si>
  <si>
    <t>AB-SD-2518 (ABRAX DRUG ELUTING STENT)</t>
  </si>
  <si>
    <t>AB-SD-2538</t>
  </si>
  <si>
    <t>AB-SD-2538 (ABRAX DRUG ELUTING STENT)</t>
  </si>
  <si>
    <t>AB-SD-2718</t>
  </si>
  <si>
    <t>AB-SD-2718 (ABRAX DRUG ELUTING STENT)</t>
  </si>
  <si>
    <t>AB-SD-2724</t>
  </si>
  <si>
    <t>AB-SD-2724 (ABRAX DRUG ELUTING STENT)</t>
  </si>
  <si>
    <t>AB-SD-2728</t>
  </si>
  <si>
    <t>AB-SD-2728 (ABRAX DRUG ELUTING STENT)</t>
  </si>
  <si>
    <t>AB-SD-2738</t>
  </si>
  <si>
    <t>AB-SD-2738 (ABRAX DRUG ELUTING STENT)</t>
  </si>
  <si>
    <t>AB-SD-3018</t>
  </si>
  <si>
    <t>AB-SD-3018 (ABRAX DRUG ELUTING STENT)</t>
  </si>
  <si>
    <t>AB-SD-3024</t>
  </si>
  <si>
    <t>AB-SD-3024 (ABRAX DRUG ELUTING STENT)</t>
  </si>
  <si>
    <t>AB-SD-3028</t>
  </si>
  <si>
    <t>AB-SD-3028 (ABRAX DRUG ELUTING STENT)</t>
  </si>
  <si>
    <t>AB-SD-3038</t>
  </si>
  <si>
    <t>AB-SD-3038 (ABRAX DRUG ELUTING STENT)</t>
  </si>
  <si>
    <t>AB-SD-3518</t>
  </si>
  <si>
    <t>AB-SD-3518 (ABRAX DRUG ELUTING STENT)</t>
  </si>
  <si>
    <t>AB-SD-3524</t>
  </si>
  <si>
    <t>AB-SD-3524 (ABRAX DRUG ELUTING STENT)</t>
  </si>
  <si>
    <t>BP-109</t>
  </si>
  <si>
    <t>ERKA METER DESK MODEL / BP-109</t>
  </si>
  <si>
    <t>BP-203003</t>
  </si>
  <si>
    <t>PERFECT ANEROID-56mm /BP203003</t>
  </si>
  <si>
    <t>BP-204001</t>
  </si>
  <si>
    <t>PERFECT-ANEROID 56mm/BP-204001</t>
  </si>
  <si>
    <t>BP-204003</t>
  </si>
  <si>
    <t>P.ANEROID W/AUTOMATIC VALVE</t>
  </si>
  <si>
    <t>BP-223055</t>
  </si>
  <si>
    <t>KOBOLD TB W/VELCRO (BP-223055)</t>
  </si>
  <si>
    <t>BP-223555</t>
  </si>
  <si>
    <t>KOBOLD,1-TUBE,BLACK/BP223555</t>
  </si>
  <si>
    <t>BP-224555</t>
  </si>
  <si>
    <t>KOBOLD 1-TUBE /BP-224555</t>
  </si>
  <si>
    <t>BP-228555</t>
  </si>
  <si>
    <t>PROFI - 48mm / BP-228555</t>
  </si>
  <si>
    <t>BP-229555</t>
  </si>
  <si>
    <t>PROFI - 56mm, BLACK/BP-229555</t>
  </si>
  <si>
    <t>BP-266555</t>
  </si>
  <si>
    <t>JUNIOR TWINTUBE,BLACK/BP266555</t>
  </si>
  <si>
    <t>BP-268555</t>
  </si>
  <si>
    <t>JUNIOR TWINTUBE-LEFT/BP268555</t>
  </si>
  <si>
    <t>BP-2850301</t>
  </si>
  <si>
    <t>VARIO DESK MODEL/BP-2850301</t>
  </si>
  <si>
    <t>BP-2860301</t>
  </si>
  <si>
    <t>VARIO WALL MODEL/BP-2860301</t>
  </si>
  <si>
    <t>BP-291203</t>
  </si>
  <si>
    <t>ERKA SWITCH ANEROID/BP-291203</t>
  </si>
  <si>
    <t>BP-3000</t>
  </si>
  <si>
    <t>ERKAMETER 3000 AUTOMATIC</t>
  </si>
  <si>
    <t>BPS-344</t>
  </si>
  <si>
    <t>ERKATEST W.AUTOMATIC AIR</t>
  </si>
  <si>
    <t>BPS-345</t>
  </si>
  <si>
    <t>SIMPLITEST W/STETHOSCOPE</t>
  </si>
  <si>
    <t>CITRICACID</t>
  </si>
  <si>
    <t>THERM-C</t>
  </si>
  <si>
    <t>THERMOMETER CELCIUS [CR.W23]</t>
  </si>
  <si>
    <t>THERM-L</t>
  </si>
  <si>
    <t>THERMOMETER CELCIUS (LARGE)</t>
  </si>
  <si>
    <t>CTF-2026</t>
  </si>
  <si>
    <t>CLINICAL THERMOMETER (C-F)</t>
  </si>
  <si>
    <t>CTP-2004</t>
  </si>
  <si>
    <t>CLINICAL THERMOMETER PRISMATIC</t>
  </si>
  <si>
    <t>EL-2015</t>
  </si>
  <si>
    <t>EL-2015 (EUROPA ULTRA SEMI COMPLIANCE - 20/15)</t>
  </si>
  <si>
    <t>EL-2020</t>
  </si>
  <si>
    <t>EL-2020 (EUROPA ULTRA SEMI COMPLIANCE - 20/20)</t>
  </si>
  <si>
    <t>EL-2515</t>
  </si>
  <si>
    <t>EL-2515 (EUROPA ULTRA SEMI COMPLIANCE - 25/15)</t>
  </si>
  <si>
    <t>EL-2520</t>
  </si>
  <si>
    <t>EL-2520 (EUROPA ULTRA SEMI COMPLIANCE - 25/20)</t>
  </si>
  <si>
    <t>EL-3015</t>
  </si>
  <si>
    <t>EL-3015 (EUROPA ULTRA SEMI COMPLIANCE - 30/15)</t>
  </si>
  <si>
    <t>EU-CTO-ETFEC1008</t>
  </si>
  <si>
    <t>EU-CTO-ETFEC1008 (EUROPA ULTRA CTO - EC 10/08)</t>
  </si>
  <si>
    <t>EU-CTO-ETFEC1016</t>
  </si>
  <si>
    <t>EU-CTO-ETFEC1016 (EUROPA ULTRA CTO - EC 10/16)</t>
  </si>
  <si>
    <t>EU-CTO-ETFEC1020</t>
  </si>
  <si>
    <t>EU-CTO-ETFEC1020 (EUROPA ULTRA CTO - EC 10/20)</t>
  </si>
  <si>
    <t>EU-CTO-ETFEC1210</t>
  </si>
  <si>
    <t>EU-CTO-ETFEC1210 (EUROPA ULTRA CTO - EC 12/10)</t>
  </si>
  <si>
    <t>EU-CTO-ETFEC1215</t>
  </si>
  <si>
    <t>EU-CTO-ETFEC1215 (EUROPA ULTRA CTO - EC 12/15)</t>
  </si>
  <si>
    <t>EU-CTO-ETFEC1515</t>
  </si>
  <si>
    <t>EU-CTO-ETFEC1515 (EUROPA ULTRA CTO - EC 15/15)</t>
  </si>
  <si>
    <t>EU-CTO-ETFEC1520</t>
  </si>
  <si>
    <t>EU-CTO-ETFEC1520 (EUROPA ULTRA CTO - EC 15/20)</t>
  </si>
  <si>
    <t>EU-CTO-ETFEO1012</t>
  </si>
  <si>
    <t>EU-CTO-ETFEO1012 (EUROPA ULTRA CTO - EO 10/12)</t>
  </si>
  <si>
    <t>EU-CTO-ETFEO1020</t>
  </si>
  <si>
    <t>EU-CTO-ETFEO1020 (EUROPA ULTRA CTO - EO 10/20)</t>
  </si>
  <si>
    <t>EU-CTO-ETFEO1210</t>
  </si>
  <si>
    <t>EU-CTO-ETFEO1210 (EUROPA ULTRA CTO - EO 12/10)</t>
  </si>
  <si>
    <t>EU-CTO-ETFEO1215</t>
  </si>
  <si>
    <t>EU-CTO-ETFEO1215 (EUROPA ULTRA CTO - EO 12/15)</t>
  </si>
  <si>
    <t>EU-CTO-ETFEO1220</t>
  </si>
  <si>
    <t>EU-CTO-ETFEO1220 (EUROPA ULTRA CTO - EO 12/20)</t>
  </si>
  <si>
    <t>EU-CTO-ETFEO1510</t>
  </si>
  <si>
    <t>EU-CTO-ETFEO1510 (EUROPA ULTRA CTO - EO 15/10)</t>
  </si>
  <si>
    <t>EU-CTO-ETFEO1515</t>
  </si>
  <si>
    <t>EU-CTO-ETFEO1515 (EUROPA ULTRA CTO - EO 15/15)</t>
  </si>
  <si>
    <t>FBC16FR30</t>
  </si>
  <si>
    <t>FOLEY BALLOON CATH. 16FR 30CC</t>
  </si>
  <si>
    <t>K-E3172-25FD-TS</t>
  </si>
  <si>
    <t>TRUERESULT BLOOD GLUCOSE TEST STRIPS-25</t>
  </si>
  <si>
    <t>K-E3172-82FD-TS</t>
  </si>
  <si>
    <t>TRUERESULT BLOOD GLUCOSE TEST STRIPS-50</t>
  </si>
  <si>
    <t>K-E4172-81FD-BGM</t>
  </si>
  <si>
    <t>TRUERESULT BLOOD GLUCOSE MONITORING SYSTEM</t>
  </si>
  <si>
    <t>LT-19530-NS</t>
  </si>
  <si>
    <t>LT-19530-NS (LOTUS II-195/30-NS)</t>
  </si>
  <si>
    <t>LT-19545-NS</t>
  </si>
  <si>
    <t>LT-19545-NS (LOTUS II-195/45-NS)</t>
  </si>
  <si>
    <t>LT-19560-NJ</t>
  </si>
  <si>
    <t>LT-19560-NJ (LOTUS II-195/60-NJ)</t>
  </si>
  <si>
    <t>LT-19560-NS</t>
  </si>
  <si>
    <t>LT-19560-NS (LOTUS II-195/60-NS)</t>
  </si>
  <si>
    <t>LX-195-30WS</t>
  </si>
  <si>
    <t>LX-195-30WS (LOTUS XP-LX 195/30WS)</t>
  </si>
  <si>
    <t>LX-195-45WS</t>
  </si>
  <si>
    <t>LX-195-45WS (LOTUS XP-LX 195/45WS)</t>
  </si>
  <si>
    <t>LX-195-60DS</t>
  </si>
  <si>
    <t>LX-195-60DS (LOTUS XP-LX 195/60DS)</t>
  </si>
  <si>
    <t>LX-195-60WS</t>
  </si>
  <si>
    <t>LX-195-60WS (LOTUS XP-LX 195/60WS)</t>
  </si>
  <si>
    <t>LX-195-90WS</t>
  </si>
  <si>
    <t>LX-195-90WS (LOTUS XP-LX 195/90WS)</t>
  </si>
  <si>
    <t>LX-300-120WS</t>
  </si>
  <si>
    <t>LX-300-120WS (LOTUS XP-LX 300/120WS)</t>
  </si>
  <si>
    <t>LX-300-30DS</t>
  </si>
  <si>
    <t>LX-300-30DS (LOTUS XP-LX 300/30DS)</t>
  </si>
  <si>
    <t>LX-300-30WS</t>
  </si>
  <si>
    <t>LX-300-30WS (LOTUS XP-LX 300/30WS)</t>
  </si>
  <si>
    <t>LX-300-45DS</t>
  </si>
  <si>
    <t>LX-300-45DS (LOTUS XP-LX 300/45DS)</t>
  </si>
  <si>
    <t>LX-300-45WS</t>
  </si>
  <si>
    <t>LX-300-45WS (LOTUS XP-LX 300/45WS)</t>
  </si>
  <si>
    <t>LX-300-60DS</t>
  </si>
  <si>
    <t>LX-300-60DS (LOTUS XP-LX 300/60DS)</t>
  </si>
  <si>
    <t>LX-300-90WS</t>
  </si>
  <si>
    <t>LX-300-90WS (LOTUS XP-LX 300/90WS)</t>
  </si>
  <si>
    <t>TR-BTK-TO35120</t>
  </si>
  <si>
    <t>TR-BTK-TO35120 (TRITON BTK-TO 35/120)</t>
  </si>
  <si>
    <t>TR-BTK-TO35210</t>
  </si>
  <si>
    <t>TR-BTK-TO35210 (TRITON BTK-TO 35/210)</t>
  </si>
  <si>
    <t>TR-BTK-TO40120</t>
  </si>
  <si>
    <t>TR-BTK-TO40120 (TRITON BTK-TO 40/120)</t>
  </si>
  <si>
    <t>TR-BTK-TO40210</t>
  </si>
  <si>
    <t>TR-BTK-TO40210 (TRITON BTK-TO 40/210)</t>
  </si>
  <si>
    <t>TR-BTK-TO45120</t>
  </si>
  <si>
    <t>TR-BTK-TO45120 (TRITON BTK-TO 45/120)</t>
  </si>
  <si>
    <t>TR-BTK-TO45210</t>
  </si>
  <si>
    <t>TR-BTK-TO45210 (TRITON BTK-TO 45/210)</t>
  </si>
  <si>
    <t>B-CDD38</t>
  </si>
  <si>
    <t>Brizio Disposable Set w/ Bypass and</t>
  </si>
  <si>
    <t>ZX 6120-120</t>
  </si>
  <si>
    <t>ZX 6120-120 (ZEUS SX-6120/120)</t>
  </si>
  <si>
    <t>ZX 7120-120</t>
  </si>
  <si>
    <t>ZX 7120-120 (ZEUS SX-7120/120)</t>
  </si>
  <si>
    <t>UB2</t>
  </si>
  <si>
    <t>URINE BAG 2 L WITH HANGER</t>
  </si>
  <si>
    <t>VIAL02</t>
  </si>
  <si>
    <t>Vial 2 ml</t>
  </si>
  <si>
    <t>VIAL05</t>
  </si>
  <si>
    <t>Vial 5 ml</t>
  </si>
  <si>
    <t>VIAL10-CH</t>
  </si>
  <si>
    <t>Vial 10 ml (CH)</t>
  </si>
  <si>
    <t>VIAL20</t>
  </si>
  <si>
    <t>Vial 20 ml</t>
  </si>
  <si>
    <t>SURDIAL-55 PLUS</t>
  </si>
  <si>
    <t>MESIN HD SURDIAL-55 PLUS</t>
  </si>
  <si>
    <t>SURDIAL-55 PLUSB</t>
  </si>
  <si>
    <t>SURDIAL 55 PLUS+NIBP+CF</t>
  </si>
  <si>
    <t>DS03L2425-K</t>
  </si>
  <si>
    <t>DISP.SYRINGE 3ml Luer Lock W/Needle 24GX1" KAN</t>
  </si>
  <si>
    <t>SFL09</t>
  </si>
  <si>
    <t>SUREFLUX-09L</t>
  </si>
  <si>
    <t>PR-325570-CS</t>
  </si>
  <si>
    <t>NIPRO PREMIER GLUCOSE CONTROL SOLUTION</t>
  </si>
  <si>
    <t>HD SET BLBDG003</t>
  </si>
  <si>
    <t>HEMODIALISA SET BPJS LENGKAP</t>
  </si>
  <si>
    <t>HD SET BLJKT011</t>
  </si>
  <si>
    <t>HD SET BLSTD</t>
  </si>
  <si>
    <t>HD SET BRBDG003</t>
  </si>
  <si>
    <t>HEMODIALISA SET BPJS REUSE</t>
  </si>
  <si>
    <t>HD SET BRJKT011</t>
  </si>
  <si>
    <t>HD SET BRSTD</t>
  </si>
  <si>
    <t>HD SET ULJKT012</t>
  </si>
  <si>
    <t>HEMODIALISA SET UMUM LENGKAP</t>
  </si>
  <si>
    <t>HD SET URJKT046</t>
  </si>
  <si>
    <t>HEMODIALISA SET UMUM REUSE</t>
  </si>
  <si>
    <t>A073-V650</t>
  </si>
  <si>
    <t>BLOOD TUBING SET A073/V650 (G3D) Without Scale</t>
  </si>
  <si>
    <t>AXEON R1-2140 SS</t>
  </si>
  <si>
    <t>C-BTA408V892WB25ECE</t>
  </si>
  <si>
    <t>BLOOD TUBING SET A408 (WB-25)/V892 (WB-25)</t>
  </si>
  <si>
    <t>HD PACK 11020BS</t>
  </si>
  <si>
    <t>HD Pack A-1-10-20 with Blood Transfusion Set</t>
  </si>
  <si>
    <t>HD PACK 11020IS</t>
  </si>
  <si>
    <t>HD Pack B-1-10-20 with Infusion Set</t>
  </si>
  <si>
    <t>HD PACK 13520BS</t>
  </si>
  <si>
    <t>HD Pack E-1-3-5-20 with Blood Transfusion Set</t>
  </si>
  <si>
    <t>HD PACK 3520IS</t>
  </si>
  <si>
    <t>HD Pack D-3-5-20 with Infusion Set</t>
  </si>
  <si>
    <t>HD PACK 3520IS-WO GL</t>
  </si>
  <si>
    <t>HD PACK H-3-5-20 INFUSION SET W/O GL</t>
  </si>
  <si>
    <t>HD PACK NBS</t>
  </si>
  <si>
    <t>HD Pack F-Nipro Basic Set</t>
  </si>
  <si>
    <t>HD-INTEGRA-DR-1</t>
  </si>
  <si>
    <t>HD INTEGRA DR-1 Automatic Dialyzer Reprocessor</t>
  </si>
  <si>
    <t>HEMAPO 2000 IU</t>
  </si>
  <si>
    <t>HEMAPO Inj 2000 Iu/MI</t>
  </si>
  <si>
    <t>NCU-18</t>
  </si>
  <si>
    <t>MESIN HD NCU-18</t>
  </si>
  <si>
    <t>PR-325278-KIT</t>
  </si>
  <si>
    <t>NIPRO Premier Blood Glucose Test Strip - 50T</t>
  </si>
  <si>
    <t>PRINTER-DR-1</t>
  </si>
  <si>
    <t>PRINTER DR-1</t>
  </si>
  <si>
    <t>PR-325104-50ST</t>
  </si>
  <si>
    <t>NIPRO Premier Blood Glucose Test Strip</t>
  </si>
  <si>
    <t>botol</t>
  </si>
  <si>
    <t>UF-CF-609-N</t>
  </si>
  <si>
    <t>ULTRA FILTER CF 609 N</t>
  </si>
  <si>
    <t>BGM SET</t>
  </si>
  <si>
    <t>PAKET BGM PREMIER S. NIPRO</t>
  </si>
  <si>
    <t>XR-700B</t>
  </si>
  <si>
    <t>XR-700B (X-RAY ULTRA LIGHT 700B - METALLIC BLUE)</t>
  </si>
  <si>
    <t>PR-325100-10 ST</t>
  </si>
  <si>
    <t>NIPRO PREMIER BLOOD GLUCOSE TEST STRIP (10T)</t>
  </si>
  <si>
    <t>FG-SC-001</t>
  </si>
  <si>
    <t>JAYAMEKSICART 760 G</t>
  </si>
  <si>
    <t>SCL-HD 409+</t>
  </si>
  <si>
    <t>SURCLEANSE HD 409+</t>
  </si>
  <si>
    <t>SCL-HD 409 PLUS</t>
  </si>
  <si>
    <t>DS01T-B</t>
  </si>
  <si>
    <t>ISO1A</t>
  </si>
  <si>
    <t>ISO1A(21G)</t>
  </si>
  <si>
    <t>ISO1A(21G)-N</t>
  </si>
  <si>
    <t>LDT-2.1-1-4B</t>
  </si>
  <si>
    <t>LABEL DIRECT THERMAL 2 x 1-1/4" BLUE</t>
  </si>
  <si>
    <t>HD PACK 3F</t>
  </si>
  <si>
    <t>HD PACK-1C</t>
  </si>
  <si>
    <t>HD PACK-1B</t>
  </si>
  <si>
    <t>PAKET 1B-HD PACK-1-10-20 INFUSION SET</t>
  </si>
  <si>
    <t>HD PACK-1A</t>
  </si>
  <si>
    <t>LDT-2.1-1-4W</t>
  </si>
  <si>
    <t>LABEL DIRECT THERMAL 2 x 1-1/4" WHITE</t>
  </si>
  <si>
    <t>TF4D2</t>
  </si>
  <si>
    <t>BLOOD TRANSFUSION SET</t>
  </si>
  <si>
    <t>INFUS NACL 1000 ML</t>
  </si>
  <si>
    <t>INFUS NaCl 1000 ML</t>
  </si>
  <si>
    <t>SXQ-1F</t>
  </si>
  <si>
    <t>NIPRO Blood Tranfusion Set</t>
  </si>
  <si>
    <t>CSR-MDN-BAJUAPD-66</t>
  </si>
  <si>
    <t>CSR-MDN-BAJUAPD-75</t>
  </si>
  <si>
    <t>7751-13-PDO-B</t>
  </si>
  <si>
    <t>SFE07</t>
  </si>
  <si>
    <t>SUREFLUX-07E</t>
  </si>
  <si>
    <t>SFE05</t>
  </si>
  <si>
    <t>SUREFLUX-05E</t>
  </si>
  <si>
    <t>CONTROL SOLUTION BGM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</si>
</sst>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-* #,##0.00_-;\-* #,##0.00_-;_-* &quot;-&quot;??.00_-;_-@_-"/>
    <numFmt numFmtId="166" formatCode="_ * #,##0.00_ ;_ * \-#,##0.00_ ;_ * &quot;-&quot;??_ ;_ @_ "/>
    <numFmt numFmtId="167" formatCode="dd/mm/yyyy;@"/>
    <numFmt numFmtId="168" formatCode="_(* #,##0.0_);_(* \(#,##0.0\);_(* &quot;-&quot;??_);_(@_)"/>
    <numFmt numFmtId="170" formatCode="_ * #,##0_ ;_ * \-#,##0_ ;_ * &quot;-&quot;_ ;_ @_ "/>
    <numFmt numFmtId="171" formatCode="_(* #,##0_);_(* \(#,##0\);_(* &quot;-&quot;??_);_(@_)"/>
    <numFmt numFmtId="172" formatCode="_-* #,##0_-;\-* #,##0_-;_-* &quot;-&quot;??_-;_-@_-"/>
    <numFmt numFmtId="173" formatCode="_(* #,##0.0000_);_(* \(#,##0.0000\);_(* &quot;-&quot;??.000_);_(@_)"/>
    <numFmt numFmtId="174" formatCode="_ * #,##0_ ;_ * \-#,##0_ ;_ * &quot;-&quot;??_ ;_ @_ "/>
    <numFmt numFmtId="175" formatCode="0.0%"/>
    <numFmt numFmtId="176" formatCode="_(* #,##0.00_);_(* \(#,##0.00\);_(* &quot;-&quot;??.00_);_(@_)"/>
    <numFmt numFmtId="177" formatCode="_(* #,##0.00_);_(* \(#,##0.00\);_(* &quot;-&quot;??.0_);_(@_)"/>
    <numFmt numFmtId="178" formatCode="#,000_);[Red]\(#,000\)"/>
    <numFmt numFmtId="179" formatCode="_(* #,##0.0_);_(* \(#,##0.0\);_(* &quot;-&quot;??.0_);_(@_)"/>
    <numFmt numFmtId="180" formatCode="#,##0.0000"/>
    <numFmt numFmtId="181" formatCode="_ * #,##0.0_ ;_ * \-#,##0.0_ ;_ * &quot;-&quot;??_ ;_ @_ "/>
    <numFmt numFmtId="182" formatCode="0.00_ "/>
    <numFmt numFmtId="183" formatCode="_ * #,##0.00_ ;_ * \-#,##0.00_ ;_ * &quot;-&quot;??.0_ ;_ @_ "/>
    <numFmt numFmtId="184" formatCode="_ * #,##0.00_ ;_ * \-#,##0.00_ ;_ * &quot;-&quot;??.00_ ;_ @_ "/>
  </numFmts>
  <fonts count="22">
    <font>
      <sz val="10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Trebuchet MS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"/>
      <color rgb="FF000000"/>
      <name val="Tahoma"/>
      <family val="2"/>
    </font>
    <font>
      <b/>
      <sz val="11"/>
      <color theme="0"/>
      <name val="Tahoma"/>
      <family val="2"/>
    </font>
    <font>
      <b/>
      <u/>
      <sz val="14"/>
      <color rgb="FF800080"/>
      <name val="Calibri"/>
      <family val="2"/>
      <scheme val="minor"/>
    </font>
    <font>
      <b/>
      <sz val="11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theme="6"/>
      </patternFill>
    </fill>
    <fill>
      <patternFill patternType="solid">
        <fgColor rgb="FF0070C0"/>
        <bgColor theme="6"/>
      </patternFill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6" fontId="20" fillId="0" borderId="0" applyFont="0" applyFill="0" applyBorder="0" applyAlignment="0" applyProtection="0">
      <alignment vertical="center"/>
    </xf>
    <xf numFmtId="170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8" fontId="1" fillId="0" borderId="1" xfId="1" applyNumberFormat="1" applyFont="1" applyFill="1" applyBorder="1" applyAlignment="1">
      <alignment vertical="center"/>
    </xf>
    <xf numFmtId="43" fontId="1" fillId="0" borderId="1" xfId="1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1" fontId="1" fillId="0" borderId="1" xfId="1" applyNumberFormat="1" applyFont="1" applyFill="1" applyBorder="1" applyAlignment="1">
      <alignment vertical="center"/>
    </xf>
    <xf numFmtId="172" fontId="1" fillId="0" borderId="1" xfId="1" applyNumberFormat="1" applyFont="1" applyFill="1" applyBorder="1" applyAlignment="1">
      <alignment vertical="center"/>
    </xf>
    <xf numFmtId="171" fontId="1" fillId="0" borderId="1" xfId="0" applyNumberFormat="1" applyFont="1" applyFill="1" applyBorder="1" applyAlignment="1">
      <alignment horizontal="center" vertical="center"/>
    </xf>
    <xf numFmtId="168" fontId="1" fillId="0" borderId="1" xfId="0" applyNumberFormat="1" applyFont="1" applyFill="1" applyBorder="1" applyAlignment="1">
      <alignment horizontal="center" vertical="center"/>
    </xf>
    <xf numFmtId="173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72" fontId="1" fillId="0" borderId="0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vertical="center"/>
    </xf>
    <xf numFmtId="41" fontId="2" fillId="2" borderId="1" xfId="2" applyNumberFormat="1" applyFont="1" applyFill="1" applyBorder="1" applyAlignment="1">
      <alignment horizontal="center" vertical="center" wrapText="1"/>
    </xf>
    <xf numFmtId="171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justify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vertical="center"/>
    </xf>
    <xf numFmtId="168" fontId="1" fillId="0" borderId="1" xfId="0" applyNumberFormat="1" applyFont="1" applyFill="1" applyBorder="1" applyAlignment="1">
      <alignment vertical="center"/>
    </xf>
    <xf numFmtId="172" fontId="1" fillId="0" borderId="1" xfId="1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justify" vertical="center"/>
    </xf>
    <xf numFmtId="171" fontId="1" fillId="0" borderId="0" xfId="0" applyNumberFormat="1" applyFont="1" applyFill="1" applyAlignment="1">
      <alignment vertical="center"/>
    </xf>
    <xf numFmtId="0" fontId="6" fillId="0" borderId="3" xfId="0" applyFont="1" applyFill="1" applyBorder="1" applyAlignment="1">
      <alignment horizontal="left" vertical="center" wrapText="1"/>
    </xf>
    <xf numFmtId="174" fontId="1" fillId="0" borderId="1" xfId="1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8" fillId="0" borderId="1" xfId="0" applyNumberFormat="1" applyFont="1" applyFill="1" applyBorder="1" applyAlignment="1">
      <alignment vertical="center" wrapText="1"/>
    </xf>
    <xf numFmtId="49" fontId="9" fillId="0" borderId="5" xfId="0" applyNumberFormat="1" applyFont="1" applyFill="1" applyBorder="1" applyAlignment="1"/>
    <xf numFmtId="49" fontId="9" fillId="5" borderId="5" xfId="0" applyNumberFormat="1" applyFont="1" applyFill="1" applyBorder="1" applyAlignment="1"/>
    <xf numFmtId="49" fontId="9" fillId="5" borderId="6" xfId="0" applyNumberFormat="1" applyFont="1" applyFill="1" applyBorder="1" applyAlignment="1"/>
    <xf numFmtId="172" fontId="1" fillId="0" borderId="0" xfId="1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73" fontId="1" fillId="0" borderId="0" xfId="0" applyNumberFormat="1" applyFont="1" applyFill="1" applyBorder="1" applyAlignment="1">
      <alignment vertical="center"/>
    </xf>
    <xf numFmtId="171" fontId="1" fillId="0" borderId="0" xfId="0" applyNumberFormat="1" applyFont="1" applyFill="1" applyBorder="1" applyAlignment="1">
      <alignment vertical="center"/>
    </xf>
    <xf numFmtId="171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173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5" fontId="1" fillId="6" borderId="0" xfId="3" applyNumberFormat="1" applyFont="1" applyFill="1" applyBorder="1" applyAlignment="1">
      <alignment vertical="center"/>
    </xf>
    <xf numFmtId="180" fontId="11" fillId="0" borderId="0" xfId="0" applyNumberFormat="1" applyFont="1" applyFill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42" fontId="1" fillId="0" borderId="0" xfId="3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12" fillId="0" borderId="0" xfId="0" applyFont="1" applyFill="1" applyAlignment="1"/>
    <xf numFmtId="0" fontId="14" fillId="0" borderId="0" xfId="0" applyFont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/>
    <xf numFmtId="0" fontId="12" fillId="7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4" fontId="13" fillId="0" borderId="1" xfId="1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81" fontId="14" fillId="0" borderId="1" xfId="1" applyNumberFormat="1" applyFont="1" applyFill="1" applyBorder="1" applyAlignment="1">
      <alignment horizontal="right" vertical="center"/>
    </xf>
    <xf numFmtId="174" fontId="14" fillId="0" borderId="1" xfId="1" applyNumberFormat="1" applyFont="1" applyFill="1" applyBorder="1" applyAlignment="1">
      <alignment horizontal="right" vertical="center"/>
    </xf>
    <xf numFmtId="182" fontId="14" fillId="0" borderId="1" xfId="0" applyNumberFormat="1" applyFont="1" applyFill="1" applyBorder="1" applyAlignment="1">
      <alignment horizontal="center" vertical="center"/>
    </xf>
    <xf numFmtId="171" fontId="13" fillId="0" borderId="0" xfId="0" applyNumberFormat="1" applyFont="1" applyFill="1" applyAlignment="1">
      <alignment horizontal="right" vertical="center"/>
    </xf>
    <xf numFmtId="0" fontId="13" fillId="0" borderId="0" xfId="0" applyFont="1" applyFill="1" applyAlignment="1">
      <alignment horizontal="center" vertical="center"/>
    </xf>
    <xf numFmtId="174" fontId="12" fillId="0" borderId="0" xfId="1" applyNumberFormat="1" applyFont="1" applyAlignment="1">
      <alignment vertical="center"/>
    </xf>
    <xf numFmtId="174" fontId="12" fillId="9" borderId="1" xfId="1" applyNumberFormat="1" applyFont="1" applyFill="1" applyBorder="1" applyAlignment="1">
      <alignment vertical="center"/>
    </xf>
    <xf numFmtId="175" fontId="12" fillId="0" borderId="1" xfId="3" applyNumberFormat="1" applyFont="1" applyFill="1" applyBorder="1" applyAlignment="1">
      <alignment vertical="center"/>
    </xf>
    <xf numFmtId="0" fontId="17" fillId="0" borderId="0" xfId="4" applyFont="1" applyFill="1" applyAlignment="1"/>
    <xf numFmtId="0" fontId="18" fillId="7" borderId="0" xfId="0" applyFont="1" applyFill="1" applyAlignment="1">
      <alignment horizontal="right" vertical="center"/>
    </xf>
    <xf numFmtId="164" fontId="13" fillId="4" borderId="1" xfId="1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/>
    </xf>
    <xf numFmtId="167" fontId="14" fillId="0" borderId="0" xfId="0" applyNumberFormat="1" applyFont="1" applyFill="1" applyAlignment="1">
      <alignment vertical="center"/>
    </xf>
    <xf numFmtId="166" fontId="14" fillId="0" borderId="1" xfId="1" applyFont="1" applyFill="1" applyBorder="1" applyAlignment="1">
      <alignment horizontal="right" vertical="center"/>
    </xf>
    <xf numFmtId="183" fontId="14" fillId="0" borderId="1" xfId="1" applyNumberFormat="1" applyFont="1" applyFill="1" applyBorder="1" applyAlignment="1">
      <alignment horizontal="right" vertical="center"/>
    </xf>
    <xf numFmtId="174" fontId="14" fillId="10" borderId="1" xfId="1" applyNumberFormat="1" applyFont="1" applyFill="1" applyBorder="1" applyAlignment="1">
      <alignment horizontal="right" vertical="center"/>
    </xf>
    <xf numFmtId="166" fontId="14" fillId="0" borderId="0" xfId="1" applyFont="1" applyFill="1" applyAlignment="1">
      <alignment vertical="center"/>
    </xf>
    <xf numFmtId="179" fontId="13" fillId="0" borderId="0" xfId="0" applyNumberFormat="1" applyFont="1" applyFill="1" applyAlignment="1">
      <alignment horizontal="right" vertical="center"/>
    </xf>
    <xf numFmtId="174" fontId="13" fillId="0" borderId="0" xfId="1" applyNumberFormat="1" applyFont="1" applyFill="1" applyAlignment="1">
      <alignment horizontal="right" vertical="center"/>
    </xf>
    <xf numFmtId="183" fontId="14" fillId="0" borderId="0" xfId="1" applyNumberFormat="1" applyFont="1" applyFill="1" applyAlignment="1">
      <alignment vertical="center"/>
    </xf>
    <xf numFmtId="184" fontId="14" fillId="0" borderId="0" xfId="1" applyNumberFormat="1" applyFont="1" applyFill="1" applyAlignment="1">
      <alignment vertical="center"/>
    </xf>
    <xf numFmtId="183" fontId="14" fillId="0" borderId="0" xfId="0" applyNumberFormat="1" applyFont="1" applyFill="1" applyAlignment="1">
      <alignment vertical="center"/>
    </xf>
    <xf numFmtId="184" fontId="1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/>
    <xf numFmtId="0" fontId="12" fillId="0" borderId="0" xfId="0" applyFont="1"/>
    <xf numFmtId="172" fontId="1" fillId="0" borderId="1" xfId="1" quotePrefix="1" applyNumberFormat="1" applyFont="1" applyFill="1" applyBorder="1" applyAlignment="1">
      <alignment horizontal="right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123</xdr:row>
      <xdr:rowOff>0</xdr:rowOff>
    </xdr:from>
    <xdr:to>
      <xdr:col>32</xdr:col>
      <xdr:colOff>304800</xdr:colOff>
      <xdr:row>124</xdr:row>
      <xdr:rowOff>88900</xdr:rowOff>
    </xdr:to>
    <xdr:sp macro="" textlink="">
      <xdr:nvSpPr>
        <xdr:cNvPr id="2" name="Picture 1"/>
        <xdr:cNvSpPr>
          <a:spLocks noChangeAspect="1"/>
        </xdr:cNvSpPr>
      </xdr:nvSpPr>
      <xdr:spPr>
        <a:xfrm>
          <a:off x="26896060" y="271653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32</xdr:col>
      <xdr:colOff>0</xdr:colOff>
      <xdr:row>127</xdr:row>
      <xdr:rowOff>0</xdr:rowOff>
    </xdr:from>
    <xdr:to>
      <xdr:col>32</xdr:col>
      <xdr:colOff>304800</xdr:colOff>
      <xdr:row>128</xdr:row>
      <xdr:rowOff>88900</xdr:rowOff>
    </xdr:to>
    <xdr:sp macro="" textlink="">
      <xdr:nvSpPr>
        <xdr:cNvPr id="3" name="Picture 2"/>
        <xdr:cNvSpPr>
          <a:spLocks noChangeAspect="1"/>
        </xdr:cNvSpPr>
      </xdr:nvSpPr>
      <xdr:spPr>
        <a:xfrm>
          <a:off x="26896060" y="280289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A/06%20Operation/Dashboard/Inbound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01%20CDAKB/06%20PENYALURAN%20(PENGIRIMAN)/05%20CROSSDOCKING/STOCK%20MD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SA/06%20Operation/Dashboard/DASBOARD%20-%20INBOUND%20-%20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"/>
      <sheetName val="TO HEADER"/>
      <sheetName val="TO DETAI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tockAvCabang (2)"/>
      <sheetName val="Sheet2"/>
    </sheetNames>
    <sheetDataSet>
      <sheetData sheetId="0">
        <row r="1">
          <cell r="A1">
            <v>46175</v>
          </cell>
        </row>
        <row r="5">
          <cell r="A5" t="str">
            <v>7022V PDM-12-PINK</v>
          </cell>
          <cell r="B5" t="str">
            <v>Thermal Wristband 7022V-12-PDM PINK</v>
          </cell>
          <cell r="C5">
            <v>37000</v>
          </cell>
        </row>
        <row r="6">
          <cell r="A6" t="str">
            <v>7022V PDM-13-BLUE</v>
          </cell>
          <cell r="B6" t="str">
            <v>Thermal Wristband 7022V-13-PDM BLUE</v>
          </cell>
          <cell r="C6">
            <v>21000</v>
          </cell>
        </row>
        <row r="7">
          <cell r="A7" t="str">
            <v>7701-49 PDL-PBLUE</v>
          </cell>
          <cell r="B7" t="str">
            <v>Thermal Wristband 7701-49-PDL PANDA BLUE</v>
          </cell>
          <cell r="C7">
            <v>9000</v>
          </cell>
        </row>
        <row r="8">
          <cell r="A8" t="str">
            <v>7702-49 PDL-PPINK</v>
          </cell>
          <cell r="B8" t="str">
            <v>Thermal Wristband 7702-49-PDL PANDA PINK</v>
          </cell>
          <cell r="C8">
            <v>9600</v>
          </cell>
        </row>
        <row r="9">
          <cell r="A9" t="str">
            <v>7751-12-PDO-PINK</v>
          </cell>
          <cell r="B9" t="str">
            <v>TenderCare Maternal Child Thermal 7751-12-PDO-PINK</v>
          </cell>
          <cell r="C9">
            <v>4920</v>
          </cell>
        </row>
        <row r="10">
          <cell r="A10" t="str">
            <v>7751-13-PDO-B</v>
          </cell>
          <cell r="B10" t="str">
            <v>TenderCare Maternal Child Thermal 7751-13-PDO-BLUE</v>
          </cell>
          <cell r="C10">
            <v>1440</v>
          </cell>
        </row>
        <row r="11">
          <cell r="A11" t="str">
            <v>8620D-33-PDO</v>
          </cell>
          <cell r="B11" t="str">
            <v>ALERT COLORED SNAPS 8620D-33-PDO DNR PURPLE</v>
          </cell>
          <cell r="C11">
            <v>240</v>
          </cell>
        </row>
        <row r="12">
          <cell r="A12" t="str">
            <v>8620F-14-PDO</v>
          </cell>
          <cell r="B12" t="str">
            <v>ALERT COLORED SNAPS 8620F-14-PDO FALL RISK YELLOW</v>
          </cell>
          <cell r="C12">
            <v>10320</v>
          </cell>
        </row>
        <row r="13">
          <cell r="A13" t="str">
            <v>8620L-37-PDO</v>
          </cell>
          <cell r="B13" t="str">
            <v>ALERT COLORED SNAPS 8620L-37-PDO LIMB ALERT PINK</v>
          </cell>
          <cell r="C13">
            <v>192</v>
          </cell>
        </row>
        <row r="14">
          <cell r="A14" t="str">
            <v>A016-R-V604R</v>
          </cell>
          <cell r="B14" t="str">
            <v>BLOOD TUBING SET A016+R/V604R-N</v>
          </cell>
          <cell r="C14">
            <v>38870</v>
          </cell>
        </row>
        <row r="15">
          <cell r="A15" t="str">
            <v>A133-V702</v>
          </cell>
          <cell r="B15" t="str">
            <v>BLOOD TUBING SET PEDIATRIC A133/V702</v>
          </cell>
          <cell r="C15">
            <v>154</v>
          </cell>
        </row>
        <row r="16">
          <cell r="A16" t="str">
            <v>AK10L</v>
          </cell>
          <cell r="B16" t="str">
            <v>ACID CONCENTRATE TYPE AK @10 LTR</v>
          </cell>
          <cell r="C16">
            <v>210</v>
          </cell>
        </row>
        <row r="17">
          <cell r="A17" t="str">
            <v>AK1-10L</v>
          </cell>
          <cell r="B17" t="str">
            <v>ACID CONCENTRATE TYPE AK1 @10 LTR</v>
          </cell>
          <cell r="C17">
            <v>9551</v>
          </cell>
        </row>
        <row r="18">
          <cell r="A18" t="str">
            <v>AP120T-12</v>
          </cell>
          <cell r="B18" t="str">
            <v>ADULT PEDIATRIC AP120T-12 PINK</v>
          </cell>
          <cell r="C18">
            <v>4750</v>
          </cell>
        </row>
        <row r="19">
          <cell r="A19" t="str">
            <v>AP120T-12-RSAM</v>
          </cell>
          <cell r="B19" t="str">
            <v>ADULT PEDIATRIC AP120T-12 PINK RSAM</v>
          </cell>
          <cell r="C19">
            <v>5000</v>
          </cell>
        </row>
        <row r="20">
          <cell r="A20" t="str">
            <v>AP120T-18</v>
          </cell>
          <cell r="B20" t="str">
            <v>ADULT PEDIATRIC AP120T-18 BLUE</v>
          </cell>
          <cell r="C20">
            <v>5250</v>
          </cell>
        </row>
        <row r="21">
          <cell r="A21" t="str">
            <v>AP120T-18-RSAM</v>
          </cell>
          <cell r="B21" t="str">
            <v>ADULT PEDIATRIC AP120T-18 BLUE RSAM</v>
          </cell>
          <cell r="C21">
            <v>4750</v>
          </cell>
        </row>
        <row r="22">
          <cell r="A22" t="str">
            <v>AT10L</v>
          </cell>
          <cell r="B22" t="str">
            <v>BICARBONATE CONCENTRATE TYPE AT @10 LTR</v>
          </cell>
          <cell r="C22">
            <v>420</v>
          </cell>
        </row>
        <row r="23">
          <cell r="A23" t="str">
            <v>AVF1625-HC-N</v>
          </cell>
          <cell r="B23" t="str">
            <v>A.V.FISTULA 16G X 1"/1625-HC-30W-N</v>
          </cell>
          <cell r="C23">
            <v>19994</v>
          </cell>
        </row>
        <row r="24">
          <cell r="A24" t="str">
            <v>AVF1632-HC-N</v>
          </cell>
          <cell r="B24" t="str">
            <v>A.V.FISTULA 16G X 1 1/4"/1632-HC-30W-N</v>
          </cell>
          <cell r="C24">
            <v>44042</v>
          </cell>
        </row>
        <row r="25">
          <cell r="A25" t="str">
            <v>BL28G-NPR</v>
          </cell>
          <cell r="B25" t="str">
            <v>Blood Lancets 28G Nipro</v>
          </cell>
          <cell r="C25">
            <v>380</v>
          </cell>
        </row>
        <row r="26">
          <cell r="A26" t="str">
            <v>CSR-MDN-BAJUAPD-66</v>
          </cell>
          <cell r="B26" t="str">
            <v>BAJU APD</v>
          </cell>
          <cell r="C26">
            <v>60</v>
          </cell>
        </row>
        <row r="27">
          <cell r="A27" t="str">
            <v>CSR-MDN-BAJUAPD-75</v>
          </cell>
          <cell r="B27" t="str">
            <v>BAJU APD</v>
          </cell>
          <cell r="C27">
            <v>48</v>
          </cell>
        </row>
        <row r="28">
          <cell r="A28" t="str">
            <v>DLC-NADLC 16-C</v>
          </cell>
          <cell r="B28" t="str">
            <v>Double Lumen Catheter 12x16 - Curved</v>
          </cell>
          <cell r="C28">
            <v>3</v>
          </cell>
        </row>
        <row r="29">
          <cell r="A29" t="str">
            <v>DS01T2613R-N</v>
          </cell>
          <cell r="B29" t="str">
            <v>DISP.SYRINGE 1ML TB 26GX1/2"/2613 LUER SLIP R-N</v>
          </cell>
          <cell r="C29">
            <v>72125</v>
          </cell>
        </row>
        <row r="30">
          <cell r="A30" t="str">
            <v>DS03L2332R-N</v>
          </cell>
          <cell r="B30" t="str">
            <v>DISP.SYRINGE 3ML LUER LOCK with NEEDLE 23GX1 1/4"R</v>
          </cell>
          <cell r="C30">
            <v>1430086</v>
          </cell>
        </row>
        <row r="31">
          <cell r="A31" t="str">
            <v>DS03L2425R-N</v>
          </cell>
          <cell r="B31" t="str">
            <v>DISP.SYRINGE 3ML LUER LOCK with NEEDLE 24GX1"R</v>
          </cell>
          <cell r="C31">
            <v>9635</v>
          </cell>
        </row>
        <row r="32">
          <cell r="A32" t="str">
            <v>DS05L2238R-N</v>
          </cell>
          <cell r="B32" t="str">
            <v>DISP.SYRINGE 5ML LUER LOCK with NEEDLE 22Gx1 1/2"R</v>
          </cell>
          <cell r="C32">
            <v>1151705</v>
          </cell>
        </row>
        <row r="33">
          <cell r="A33" t="str">
            <v>DS10L2138R-N</v>
          </cell>
          <cell r="B33" t="str">
            <v>DISP.SYRINGE 10ML LUER LOCK withNEEDLE 21Gx1 1/2"R</v>
          </cell>
          <cell r="C33">
            <v>767966</v>
          </cell>
        </row>
        <row r="34">
          <cell r="A34" t="str">
            <v>DS20LSR-N</v>
          </cell>
          <cell r="B34" t="str">
            <v>DISP.SYRINGE 20ML without NEEDLE LUER SLIP R-N</v>
          </cell>
          <cell r="C34">
            <v>44371</v>
          </cell>
        </row>
        <row r="35">
          <cell r="A35" t="str">
            <v>DS50CT-R-N</v>
          </cell>
          <cell r="B35" t="str">
            <v>DISP.SYRINGE 50ML without NEEDLE Catheter</v>
          </cell>
          <cell r="C35">
            <v>30222</v>
          </cell>
        </row>
        <row r="36">
          <cell r="A36" t="str">
            <v>DS50LS-R-N</v>
          </cell>
          <cell r="B36" t="str">
            <v>DISP.SYRINGE.50ML W/O.NEEDLE(LS) BLS E-BEAM</v>
          </cell>
          <cell r="C36">
            <v>55906</v>
          </cell>
        </row>
        <row r="37">
          <cell r="A37" t="str">
            <v>ELISIO1-13H</v>
          </cell>
          <cell r="B37" t="str">
            <v>HOLLOW FIBER/DIALYZER ELISIO1-13H</v>
          </cell>
          <cell r="C37">
            <v>2366</v>
          </cell>
        </row>
        <row r="38">
          <cell r="A38" t="str">
            <v>ELISIO1-15H</v>
          </cell>
          <cell r="B38" t="str">
            <v>ELISIO1-15H (HOLLOW FIBER/DIALYZER ELISIO1-15H)</v>
          </cell>
          <cell r="C38">
            <v>5902</v>
          </cell>
        </row>
        <row r="39">
          <cell r="A39" t="str">
            <v>ELISIO1-17H</v>
          </cell>
          <cell r="B39" t="str">
            <v>ELISIO1-17H (HOLLOW FIBER/DIALYZER ELISIO1-17H)</v>
          </cell>
          <cell r="C39">
            <v>741</v>
          </cell>
        </row>
        <row r="40">
          <cell r="A40" t="str">
            <v>ELISIO-11H</v>
          </cell>
          <cell r="B40" t="str">
            <v>ELISIO-11H (HOLLOW FIBER/DIALYZER ELISIO-11H)</v>
          </cell>
          <cell r="C40">
            <v>144</v>
          </cell>
        </row>
        <row r="41">
          <cell r="A41" t="str">
            <v>ELISIO-15HX</v>
          </cell>
          <cell r="B41" t="str">
            <v>ELISIO-15HX (HOLLOW FIBER/DIALYZER ELISIO-15HX)</v>
          </cell>
          <cell r="C41">
            <v>141</v>
          </cell>
        </row>
        <row r="42">
          <cell r="A42" t="str">
            <v>ELISIO-17HX</v>
          </cell>
          <cell r="B42" t="str">
            <v>ELISIO-17HX (HOLLOW FIBER/DIALYZER ELISIO-17HX)</v>
          </cell>
          <cell r="C42">
            <v>110</v>
          </cell>
        </row>
        <row r="43">
          <cell r="A43" t="str">
            <v>FG-SC-002</v>
          </cell>
          <cell r="B43" t="str">
            <v>JAYAMEKSICART 720 G</v>
          </cell>
          <cell r="C43">
            <v>6684</v>
          </cell>
        </row>
        <row r="44">
          <cell r="A44" t="str">
            <v>HD PACK 3F</v>
          </cell>
          <cell r="B44" t="str">
            <v>PAKET 3F-HD PACK-5-20 INFUSION SET</v>
          </cell>
          <cell r="C44">
            <v>1250</v>
          </cell>
        </row>
        <row r="45">
          <cell r="A45" t="str">
            <v>HD PACK-1B</v>
          </cell>
          <cell r="B45" t="str">
            <v>PAKET 1B-HD PACK-1-10-20 INFUSION SET</v>
          </cell>
          <cell r="C45">
            <v>1980</v>
          </cell>
        </row>
        <row r="46">
          <cell r="A46" t="str">
            <v>HD PACK-2B</v>
          </cell>
          <cell r="B46" t="str">
            <v>PAKET 2B-HD PACK-1-10-20-INFUSION SET</v>
          </cell>
          <cell r="C46">
            <v>1157</v>
          </cell>
        </row>
        <row r="47">
          <cell r="A47" t="str">
            <v>HD PACK-2C</v>
          </cell>
          <cell r="B47" t="str">
            <v>PAKET 2C-HD PACK-3-5-20 INFUSION SET</v>
          </cell>
          <cell r="C47">
            <v>1224</v>
          </cell>
        </row>
        <row r="48">
          <cell r="A48" t="str">
            <v>IA-N-3500</v>
          </cell>
          <cell r="B48" t="str">
            <v>IDENT ALERT IA-N-3500 ALLERGY RED</v>
          </cell>
          <cell r="C48">
            <v>39</v>
          </cell>
        </row>
        <row r="49">
          <cell r="A49" t="str">
            <v>IA-N-3502</v>
          </cell>
          <cell r="B49" t="str">
            <v>IDENT ALERT IA-N-3502 DNR PURPLE</v>
          </cell>
          <cell r="C49">
            <v>12</v>
          </cell>
        </row>
        <row r="50">
          <cell r="A50" t="str">
            <v>IA-N-3504</v>
          </cell>
          <cell r="B50" t="str">
            <v>IDENT ALERT - GREEN</v>
          </cell>
          <cell r="C50">
            <v>3</v>
          </cell>
        </row>
        <row r="51">
          <cell r="A51" t="str">
            <v>IA-N-3505</v>
          </cell>
          <cell r="B51" t="str">
            <v>IDENT ALERT IA-N-3505 LIMB ALERT PINK</v>
          </cell>
          <cell r="C51">
            <v>3</v>
          </cell>
        </row>
        <row r="52">
          <cell r="A52" t="str">
            <v>IF110-18</v>
          </cell>
          <cell r="B52" t="str">
            <v>INFANT SERIES IF110-18 BLUE</v>
          </cell>
          <cell r="C52">
            <v>5000</v>
          </cell>
        </row>
        <row r="53">
          <cell r="A53" t="str">
            <v>IF110T-12</v>
          </cell>
          <cell r="B53" t="str">
            <v>INFANT SERIES IF110T-12 PINK</v>
          </cell>
          <cell r="C53">
            <v>750</v>
          </cell>
        </row>
        <row r="54">
          <cell r="A54" t="str">
            <v>IF110T-12-RSAM</v>
          </cell>
          <cell r="B54" t="str">
            <v>INFANT SERIES 110T-12 (PINK) RS ABDOEL MOELOEK</v>
          </cell>
          <cell r="C54">
            <v>998</v>
          </cell>
        </row>
        <row r="55">
          <cell r="A55" t="str">
            <v>IS-001A-NIJ</v>
          </cell>
          <cell r="B55" t="str">
            <v>NIPRO Infusion Set</v>
          </cell>
          <cell r="C55">
            <v>82235</v>
          </cell>
        </row>
        <row r="56">
          <cell r="A56" t="str">
            <v>JM-ACSWAB-ISOPRO70</v>
          </cell>
          <cell r="B56" t="str">
            <v>JAYAMEKSI Alcohol Swab - Isopropyl 70%</v>
          </cell>
          <cell r="C56">
            <v>845</v>
          </cell>
        </row>
        <row r="57">
          <cell r="A57" t="str">
            <v>LDT-2.1-1-4B</v>
          </cell>
          <cell r="B57" t="str">
            <v>LABEL DIRECT THERMAL 2 x 1-1/4" BLUE</v>
          </cell>
          <cell r="C57">
            <v>16</v>
          </cell>
        </row>
        <row r="58">
          <cell r="A58" t="str">
            <v>LDT-2.1-1-4W</v>
          </cell>
          <cell r="B58" t="str">
            <v>LABEL DIRECT THERMAL 2 x 1-1/4" WHITE</v>
          </cell>
          <cell r="C58">
            <v>263</v>
          </cell>
        </row>
        <row r="59">
          <cell r="A59" t="str">
            <v>LDT-2.1W</v>
          </cell>
          <cell r="B59" t="str">
            <v>LABEL DIRECT THERMAL 2 x 1" WHITE</v>
          </cell>
          <cell r="C59">
            <v>64</v>
          </cell>
        </row>
        <row r="60">
          <cell r="A60" t="str">
            <v>LDT-2.2-3-8B</v>
          </cell>
          <cell r="B60" t="str">
            <v>LABEL DIRECT THERMAL 2 x 2-3/8" BLUE</v>
          </cell>
          <cell r="C60">
            <v>89</v>
          </cell>
        </row>
        <row r="61">
          <cell r="A61" t="str">
            <v>LDT-2.2-3-8W</v>
          </cell>
          <cell r="B61" t="str">
            <v>LABEL DIRECT THERMAL 2 x 2-3/8" WHITE</v>
          </cell>
          <cell r="C61">
            <v>83</v>
          </cell>
        </row>
        <row r="62">
          <cell r="A62" t="str">
            <v>NIC1650-N</v>
          </cell>
          <cell r="B62" t="str">
            <v>I.V CATHETER 16GX2"/1650-N-PU</v>
          </cell>
          <cell r="C62">
            <v>11900</v>
          </cell>
        </row>
        <row r="63">
          <cell r="A63" t="str">
            <v>NIC1832-N</v>
          </cell>
          <cell r="B63" t="str">
            <v>I.V CATHETER 18GX1 1/4"/1832-N-PU</v>
          </cell>
          <cell r="C63">
            <v>14400</v>
          </cell>
        </row>
        <row r="64">
          <cell r="A64" t="str">
            <v>NIC1832-N-E</v>
          </cell>
          <cell r="B64" t="str">
            <v>I.V CATHETER 18GX1 1/4"/1832 ETFE</v>
          </cell>
          <cell r="C64">
            <v>12383</v>
          </cell>
        </row>
        <row r="65">
          <cell r="A65" t="str">
            <v>NIC1850-N</v>
          </cell>
          <cell r="B65" t="str">
            <v>I.V CATHETER 18GX2"/1850-N-PU</v>
          </cell>
          <cell r="C65">
            <v>7995</v>
          </cell>
        </row>
        <row r="66">
          <cell r="A66" t="str">
            <v>NIC1850-N-E</v>
          </cell>
          <cell r="B66" t="str">
            <v>I.V CATHETER 18GX2"/1850 ETFE</v>
          </cell>
          <cell r="C66">
            <v>3650</v>
          </cell>
        </row>
        <row r="67">
          <cell r="A67" t="str">
            <v>NIC2025-N</v>
          </cell>
          <cell r="B67" t="str">
            <v>I.V CATHETER 20GX1"/2025-N-PU</v>
          </cell>
          <cell r="C67">
            <v>20033</v>
          </cell>
        </row>
        <row r="68">
          <cell r="A68" t="str">
            <v>NIC2025-N-E</v>
          </cell>
          <cell r="B68" t="str">
            <v>I.V CATHETER 20GX1"/2025 ETFE</v>
          </cell>
          <cell r="C68">
            <v>2828</v>
          </cell>
        </row>
        <row r="69">
          <cell r="A69" t="str">
            <v>NIC2032-N</v>
          </cell>
          <cell r="B69" t="str">
            <v>I.V CATHETER 20GX1 1/4"/2032-N-PU</v>
          </cell>
          <cell r="C69">
            <v>52023</v>
          </cell>
        </row>
        <row r="70">
          <cell r="A70" t="str">
            <v>NIC2032-N-E</v>
          </cell>
          <cell r="B70" t="str">
            <v>I.V CATHETER 20GX1 1/4"/2032 ETFE</v>
          </cell>
          <cell r="C70">
            <v>37710</v>
          </cell>
        </row>
        <row r="71">
          <cell r="A71" t="str">
            <v>NIC2225-N</v>
          </cell>
          <cell r="B71" t="str">
            <v>I.V CATHETER 22GX1"/2225-N-PU</v>
          </cell>
          <cell r="C71">
            <v>22635</v>
          </cell>
        </row>
        <row r="72">
          <cell r="A72" t="str">
            <v>NIC2225-N-E</v>
          </cell>
          <cell r="B72" t="str">
            <v>I.V CATHETER 22GX1"/2225 ETFE</v>
          </cell>
          <cell r="C72">
            <v>63777</v>
          </cell>
        </row>
        <row r="73">
          <cell r="A73" t="str">
            <v>NIC2420-N</v>
          </cell>
          <cell r="B73" t="str">
            <v>I.V CATHETER 24GX3/4"/2420-N-PU</v>
          </cell>
          <cell r="C73">
            <v>8876</v>
          </cell>
        </row>
        <row r="74">
          <cell r="A74" t="str">
            <v>NIC2420-N-E</v>
          </cell>
          <cell r="B74" t="str">
            <v>I.V CATHETER 24GX3/4"/2420 ETFE</v>
          </cell>
          <cell r="C74">
            <v>45508</v>
          </cell>
        </row>
        <row r="75">
          <cell r="A75" t="str">
            <v>NIC2425-N</v>
          </cell>
          <cell r="B75" t="str">
            <v>I.V CATHETER 24GX1"/2425-N-PU</v>
          </cell>
          <cell r="C75">
            <v>9460</v>
          </cell>
        </row>
        <row r="76">
          <cell r="A76" t="str">
            <v>NIC2425-N-E</v>
          </cell>
          <cell r="B76" t="str">
            <v>I.V CATHETER 24GX1"/2425 ETFE</v>
          </cell>
          <cell r="C76">
            <v>6250</v>
          </cell>
        </row>
        <row r="77">
          <cell r="A77" t="str">
            <v>PD225W-DT-PDA</v>
          </cell>
          <cell r="B77" t="str">
            <v>Direct Thermal Printer PD225W-DT-PDA 6.5 INCH</v>
          </cell>
          <cell r="C77">
            <v>4</v>
          </cell>
        </row>
        <row r="78">
          <cell r="A78" t="str">
            <v>PR-325104-50ST</v>
          </cell>
          <cell r="B78" t="str">
            <v>NIPRO Premier Blood Glucose Test Strip - 50T</v>
          </cell>
          <cell r="C78">
            <v>830</v>
          </cell>
        </row>
        <row r="79">
          <cell r="A79" t="str">
            <v>SCL-HD</v>
          </cell>
          <cell r="B79" t="str">
            <v>SCL-HD (SURCLEANSE HD)</v>
          </cell>
          <cell r="C79">
            <v>10</v>
          </cell>
        </row>
        <row r="80">
          <cell r="A80" t="str">
            <v>SFE05</v>
          </cell>
          <cell r="B80" t="str">
            <v>SUREFLUX-05E</v>
          </cell>
          <cell r="C80">
            <v>8</v>
          </cell>
        </row>
        <row r="81">
          <cell r="A81" t="str">
            <v>SFE07</v>
          </cell>
          <cell r="B81" t="str">
            <v>SUREFLUX-07E</v>
          </cell>
          <cell r="C81">
            <v>13</v>
          </cell>
        </row>
        <row r="82">
          <cell r="A82" t="str">
            <v>SFL09</v>
          </cell>
          <cell r="B82" t="str">
            <v>SUREFLUX-09L</v>
          </cell>
          <cell r="C82">
            <v>20</v>
          </cell>
        </row>
        <row r="83">
          <cell r="A83" t="str">
            <v>SXQ-1F</v>
          </cell>
          <cell r="B83" t="str">
            <v>NIPRO Blood Tranfusion Set</v>
          </cell>
          <cell r="C83">
            <v>2122</v>
          </cell>
        </row>
        <row r="84">
          <cell r="A84" t="str">
            <v>W-CATH-1832-N-E</v>
          </cell>
          <cell r="B84" t="str">
            <v>WING CATHETER 18GX1 1/4"/1832 ETFE</v>
          </cell>
          <cell r="C84">
            <v>3514</v>
          </cell>
        </row>
        <row r="85">
          <cell r="A85" t="str">
            <v>W-CATH-2032-N-E</v>
          </cell>
          <cell r="B85" t="str">
            <v>WING CATHETER 20GX1 1/4"/2032 ETFE</v>
          </cell>
          <cell r="C85">
            <v>31549</v>
          </cell>
        </row>
        <row r="86">
          <cell r="A86" t="str">
            <v>W-CATH-2225-N-E</v>
          </cell>
          <cell r="B86" t="str">
            <v>WING CATHETER 22G x 1 ETFE"</v>
          </cell>
          <cell r="C86">
            <v>8559</v>
          </cell>
        </row>
        <row r="87">
          <cell r="A87" t="str">
            <v>W-CATH-2425-N-E</v>
          </cell>
          <cell r="B87" t="str">
            <v>WING CATHETER 24G x 1 ETFE"</v>
          </cell>
          <cell r="C87">
            <v>10273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"/>
    </sheetNames>
    <sheetDataSet>
      <sheetData sheetId="0" refreshError="1">
        <row r="2">
          <cell r="A2" t="str">
            <v>0-000-060</v>
          </cell>
          <cell r="B2" t="str">
            <v>PACKING B</v>
          </cell>
          <cell r="C2" t="str">
            <v>NHD</v>
          </cell>
        </row>
        <row r="3">
          <cell r="A3" t="str">
            <v>0-000-075</v>
          </cell>
          <cell r="B3" t="str">
            <v>Nuts</v>
          </cell>
          <cell r="C3" t="str">
            <v>NHD</v>
          </cell>
        </row>
        <row r="4">
          <cell r="A4" t="str">
            <v>0-101-023</v>
          </cell>
          <cell r="B4" t="str">
            <v>Acetate Connector</v>
          </cell>
          <cell r="C4" t="str">
            <v>NHD</v>
          </cell>
        </row>
        <row r="5">
          <cell r="A5" t="str">
            <v>0-101-104</v>
          </cell>
          <cell r="B5" t="str">
            <v>RELIEF VALVE ASSY (RV) AC-3200-63H-PA</v>
          </cell>
          <cell r="C5" t="str">
            <v>NHD</v>
          </cell>
        </row>
        <row r="6">
          <cell r="A6" t="str">
            <v>0-101-105</v>
          </cell>
          <cell r="B6" t="str">
            <v>VALVE BODY</v>
          </cell>
          <cell r="C6" t="str">
            <v>NHD</v>
          </cell>
        </row>
        <row r="7">
          <cell r="A7" t="str">
            <v>0-101-107</v>
          </cell>
          <cell r="B7" t="str">
            <v>PACKING</v>
          </cell>
          <cell r="C7" t="str">
            <v>NHD</v>
          </cell>
        </row>
        <row r="8">
          <cell r="A8" t="str">
            <v>0-101-109</v>
          </cell>
          <cell r="B8" t="str">
            <v>SPRING</v>
          </cell>
          <cell r="C8" t="str">
            <v>NHD</v>
          </cell>
        </row>
        <row r="9">
          <cell r="A9" t="str">
            <v>0-101-120</v>
          </cell>
          <cell r="B9" t="str">
            <v>GROMMET</v>
          </cell>
          <cell r="C9" t="str">
            <v>NHD</v>
          </cell>
        </row>
        <row r="10">
          <cell r="A10" t="str">
            <v>0-201-001</v>
          </cell>
          <cell r="B10" t="str">
            <v>Conductivity Cell Assy (CD) Type A</v>
          </cell>
          <cell r="C10" t="str">
            <v>NHD</v>
          </cell>
        </row>
        <row r="11">
          <cell r="A11" t="str">
            <v>0-201-009</v>
          </cell>
          <cell r="B11" t="str">
            <v>Deaeration Bath Assy (AS1)</v>
          </cell>
          <cell r="C11" t="str">
            <v>NHD</v>
          </cell>
        </row>
        <row r="12">
          <cell r="A12" t="str">
            <v>0-201-010</v>
          </cell>
          <cell r="B12" t="str">
            <v>CASE 1</v>
          </cell>
          <cell r="C12" t="str">
            <v>NHD</v>
          </cell>
        </row>
        <row r="13">
          <cell r="A13" t="str">
            <v>0-201-011</v>
          </cell>
          <cell r="B13" t="str">
            <v>CASE 2 (L)</v>
          </cell>
          <cell r="C13" t="str">
            <v>NHD</v>
          </cell>
        </row>
        <row r="14">
          <cell r="A14" t="str">
            <v>0-201-012</v>
          </cell>
          <cell r="B14" t="str">
            <v>FLOAT</v>
          </cell>
          <cell r="C14" t="str">
            <v>NHD</v>
          </cell>
        </row>
        <row r="15">
          <cell r="A15" t="str">
            <v>0-201-013</v>
          </cell>
          <cell r="B15" t="str">
            <v>WIRE NET</v>
          </cell>
          <cell r="C15" t="str">
            <v>NHD</v>
          </cell>
        </row>
        <row r="16">
          <cell r="A16" t="str">
            <v>0-201-014</v>
          </cell>
          <cell r="B16" t="str">
            <v>DEAERATION BATH AS2 ASSY</v>
          </cell>
          <cell r="C16" t="str">
            <v>NHD</v>
          </cell>
        </row>
        <row r="17">
          <cell r="A17" t="str">
            <v>0-201-015</v>
          </cell>
          <cell r="B17" t="str">
            <v>CASE</v>
          </cell>
          <cell r="C17" t="str">
            <v>NHD</v>
          </cell>
        </row>
        <row r="18">
          <cell r="A18" t="str">
            <v>0-201-016</v>
          </cell>
          <cell r="B18" t="str">
            <v>PACKING</v>
          </cell>
          <cell r="C18" t="str">
            <v>NHD</v>
          </cell>
        </row>
        <row r="19">
          <cell r="A19" t="str">
            <v>0-201-017</v>
          </cell>
          <cell r="B19" t="str">
            <v>PLATE</v>
          </cell>
          <cell r="C19" t="str">
            <v>NHD</v>
          </cell>
        </row>
        <row r="20">
          <cell r="A20" t="str">
            <v>0-201-018</v>
          </cell>
          <cell r="B20" t="str">
            <v>FLOAT SWITCH ASSY</v>
          </cell>
          <cell r="C20" t="str">
            <v>NHD</v>
          </cell>
        </row>
        <row r="21">
          <cell r="A21" t="str">
            <v>0-201-023</v>
          </cell>
          <cell r="B21" t="str">
            <v>Buffer Tank</v>
          </cell>
          <cell r="C21" t="str">
            <v>NHD</v>
          </cell>
        </row>
        <row r="22">
          <cell r="A22" t="str">
            <v>0-201-034</v>
          </cell>
          <cell r="B22" t="str">
            <v>Flange</v>
          </cell>
          <cell r="C22" t="str">
            <v>NHD</v>
          </cell>
        </row>
        <row r="23">
          <cell r="A23" t="str">
            <v>0-201-036</v>
          </cell>
          <cell r="B23" t="str">
            <v>Hose connector</v>
          </cell>
          <cell r="C23" t="str">
            <v>NHD</v>
          </cell>
        </row>
        <row r="24">
          <cell r="A24" t="str">
            <v>0-201-040</v>
          </cell>
          <cell r="B24" t="str">
            <v>PACKING</v>
          </cell>
          <cell r="C24" t="str">
            <v>NHD</v>
          </cell>
        </row>
        <row r="25">
          <cell r="A25" t="str">
            <v>0-201-042</v>
          </cell>
          <cell r="B25" t="str">
            <v>SYRINGE HOLDER</v>
          </cell>
          <cell r="C25" t="str">
            <v>NHD</v>
          </cell>
        </row>
        <row r="26">
          <cell r="A26" t="str">
            <v>0-201-044</v>
          </cell>
          <cell r="B26" t="str">
            <v>BODY</v>
          </cell>
          <cell r="C26" t="str">
            <v>NHD</v>
          </cell>
        </row>
        <row r="27">
          <cell r="A27" t="str">
            <v>0-201-048</v>
          </cell>
          <cell r="B27" t="str">
            <v>PURE CHLOROFLUOROCARBON FEP TUBE</v>
          </cell>
          <cell r="C27" t="str">
            <v>NHD</v>
          </cell>
        </row>
        <row r="28">
          <cell r="A28" t="str">
            <v>0-201-048A</v>
          </cell>
          <cell r="B28" t="str">
            <v>Freon Tube (Potongan)</v>
          </cell>
          <cell r="C28" t="str">
            <v>NHD</v>
          </cell>
        </row>
        <row r="29">
          <cell r="A29" t="str">
            <v>0-201-054</v>
          </cell>
          <cell r="B29" t="str">
            <v>Temperature Sensor Assy (T1,2,3)</v>
          </cell>
          <cell r="C29" t="str">
            <v>NHD</v>
          </cell>
        </row>
        <row r="30">
          <cell r="A30" t="str">
            <v>0-201-057</v>
          </cell>
          <cell r="B30" t="str">
            <v>Dialysate Coupler Assy (Red Connector and Blue)</v>
          </cell>
          <cell r="C30" t="str">
            <v>NHD</v>
          </cell>
        </row>
        <row r="31">
          <cell r="A31" t="str">
            <v>0-201-062</v>
          </cell>
          <cell r="B31" t="str">
            <v>Coupler Assy (Blue)B-6)</v>
          </cell>
          <cell r="C31" t="str">
            <v>NHD</v>
          </cell>
        </row>
        <row r="32">
          <cell r="A32" t="str">
            <v>0-201-069</v>
          </cell>
          <cell r="B32" t="str">
            <v>COUPLER HOLDER</v>
          </cell>
          <cell r="C32" t="str">
            <v>NHD</v>
          </cell>
        </row>
        <row r="33">
          <cell r="A33" t="str">
            <v>0-201-071</v>
          </cell>
          <cell r="B33" t="str">
            <v>Bolt</v>
          </cell>
          <cell r="C33" t="str">
            <v>NHD</v>
          </cell>
        </row>
        <row r="34">
          <cell r="A34" t="str">
            <v>0-201-075</v>
          </cell>
          <cell r="B34" t="str">
            <v>Magnet Gear Pump Surdial</v>
          </cell>
          <cell r="C34" t="str">
            <v>NHD</v>
          </cell>
        </row>
        <row r="35">
          <cell r="A35" t="str">
            <v>0-201-078</v>
          </cell>
          <cell r="B35" t="str">
            <v>CASTER WITHOUT LOCK</v>
          </cell>
          <cell r="C35" t="str">
            <v>NHD</v>
          </cell>
        </row>
        <row r="36">
          <cell r="A36" t="str">
            <v>0-201-121</v>
          </cell>
          <cell r="B36" t="str">
            <v>NUT</v>
          </cell>
          <cell r="C36" t="str">
            <v>NHD</v>
          </cell>
        </row>
        <row r="37">
          <cell r="A37" t="str">
            <v>0-201-128</v>
          </cell>
          <cell r="B37" t="str">
            <v>BOLT</v>
          </cell>
          <cell r="C37" t="str">
            <v>NHD</v>
          </cell>
        </row>
        <row r="38">
          <cell r="A38" t="str">
            <v>0-201-167</v>
          </cell>
          <cell r="B38" t="str">
            <v>PUMP BODY SET TYPE A MDG-R2RA100-34B</v>
          </cell>
          <cell r="C38" t="str">
            <v>NHD</v>
          </cell>
        </row>
        <row r="39">
          <cell r="A39" t="str">
            <v>0-201-182</v>
          </cell>
          <cell r="B39" t="str">
            <v>BUTTON FOR COUPLER SWITCH</v>
          </cell>
          <cell r="C39" t="str">
            <v>NHD</v>
          </cell>
        </row>
        <row r="40">
          <cell r="A40" t="str">
            <v>0-201-210</v>
          </cell>
          <cell r="B40" t="str">
            <v>CAP</v>
          </cell>
          <cell r="C40" t="str">
            <v>NHD</v>
          </cell>
        </row>
        <row r="41">
          <cell r="A41" t="str">
            <v>0-201-211</v>
          </cell>
          <cell r="B41" t="str">
            <v>BODY</v>
          </cell>
          <cell r="C41" t="str">
            <v>NHD</v>
          </cell>
        </row>
        <row r="42">
          <cell r="A42" t="str">
            <v>0-201-212</v>
          </cell>
          <cell r="B42" t="str">
            <v>HOSE CONNECTOR</v>
          </cell>
          <cell r="C42" t="str">
            <v>NHD</v>
          </cell>
        </row>
        <row r="43">
          <cell r="A43" t="str">
            <v>0-201-213</v>
          </cell>
          <cell r="B43" t="str">
            <v>FILTER</v>
          </cell>
          <cell r="C43" t="str">
            <v>NHD</v>
          </cell>
        </row>
        <row r="44">
          <cell r="A44" t="str">
            <v>0-201-219</v>
          </cell>
          <cell r="B44" t="str">
            <v>Rinse Port Assy for Disinfectant</v>
          </cell>
          <cell r="C44" t="str">
            <v>NHD</v>
          </cell>
        </row>
        <row r="45">
          <cell r="A45" t="str">
            <v>0-201-259</v>
          </cell>
          <cell r="B45" t="str">
            <v>DRIVE MAGNET UNIT</v>
          </cell>
          <cell r="C45" t="str">
            <v>NHD</v>
          </cell>
        </row>
        <row r="46">
          <cell r="A46" t="str">
            <v>0-201-330</v>
          </cell>
          <cell r="B46" t="str">
            <v>PR HOSE PORT</v>
          </cell>
          <cell r="C46" t="str">
            <v>NHD</v>
          </cell>
        </row>
        <row r="47">
          <cell r="A47" t="str">
            <v>0-201-332</v>
          </cell>
          <cell r="B47" t="str">
            <v>REDUCING VALVE (PVS-10)</v>
          </cell>
          <cell r="C47" t="str">
            <v>NHD</v>
          </cell>
        </row>
        <row r="48">
          <cell r="A48" t="str">
            <v>0-201-336</v>
          </cell>
          <cell r="B48" t="str">
            <v>REDUCING VALVE (PVS-10) HEAD</v>
          </cell>
          <cell r="C48" t="str">
            <v>NHD</v>
          </cell>
        </row>
        <row r="49">
          <cell r="A49" t="str">
            <v>0-201-345</v>
          </cell>
          <cell r="B49" t="str">
            <v>Flow Meter HD 100-600</v>
          </cell>
          <cell r="C49" t="str">
            <v>NHD</v>
          </cell>
        </row>
        <row r="50">
          <cell r="A50" t="str">
            <v>0-201-349</v>
          </cell>
          <cell r="B50" t="str">
            <v>Supply and drainage connector</v>
          </cell>
          <cell r="C50" t="str">
            <v>NHD</v>
          </cell>
        </row>
        <row r="51">
          <cell r="A51" t="str">
            <v>0-202-050</v>
          </cell>
          <cell r="B51" t="str">
            <v>Sub Board for AC 230 v</v>
          </cell>
          <cell r="C51" t="str">
            <v>NHD</v>
          </cell>
        </row>
        <row r="52">
          <cell r="A52" t="str">
            <v>0-202-069</v>
          </cell>
          <cell r="B52" t="str">
            <v>DP Potentio Meter for Surdial</v>
          </cell>
          <cell r="C52" t="str">
            <v>NHD</v>
          </cell>
        </row>
        <row r="53">
          <cell r="A53" t="str">
            <v>0-202-072</v>
          </cell>
          <cell r="B53" t="str">
            <v>Main Board Type II English ROM</v>
          </cell>
          <cell r="C53" t="str">
            <v>NHD</v>
          </cell>
        </row>
        <row r="54">
          <cell r="A54" t="str">
            <v>0-202-098</v>
          </cell>
          <cell r="B54" t="str">
            <v>LCD Surdial Type B / 30 F1G</v>
          </cell>
          <cell r="C54" t="str">
            <v>NHD</v>
          </cell>
        </row>
        <row r="55">
          <cell r="A55" t="str">
            <v>0-202-109</v>
          </cell>
          <cell r="B55" t="str">
            <v>Converter Board</v>
          </cell>
          <cell r="C55" t="str">
            <v>NHD</v>
          </cell>
        </row>
        <row r="56">
          <cell r="A56" t="str">
            <v>0-202-126</v>
          </cell>
          <cell r="B56" t="str">
            <v>DC+24V Switching Regulator</v>
          </cell>
          <cell r="C56" t="str">
            <v>NHD</v>
          </cell>
        </row>
        <row r="57">
          <cell r="A57" t="str">
            <v>0-202-130</v>
          </cell>
          <cell r="B57" t="str">
            <v>Sub Board for Power Box D</v>
          </cell>
          <cell r="C57" t="str">
            <v>NHD</v>
          </cell>
        </row>
        <row r="58">
          <cell r="A58" t="str">
            <v>0-202-131</v>
          </cell>
          <cell r="B58" t="str">
            <v>Transformers 230 V</v>
          </cell>
          <cell r="C58" t="str">
            <v>NHD</v>
          </cell>
        </row>
        <row r="59">
          <cell r="A59" t="str">
            <v>0-203-032</v>
          </cell>
          <cell r="B59" t="str">
            <v>Diaphragm OVC (Top)</v>
          </cell>
          <cell r="C59" t="str">
            <v>NHD</v>
          </cell>
        </row>
        <row r="60">
          <cell r="A60" t="str">
            <v>0-203-033</v>
          </cell>
          <cell r="B60" t="str">
            <v>Diaphragm OVC (Bottom)</v>
          </cell>
          <cell r="C60" t="str">
            <v>NHD</v>
          </cell>
        </row>
        <row r="61">
          <cell r="A61" t="str">
            <v>0-204-009</v>
          </cell>
          <cell r="B61" t="str">
            <v>BLOOD PUMP ASSY</v>
          </cell>
          <cell r="C61" t="str">
            <v>NHD</v>
          </cell>
        </row>
        <row r="62">
          <cell r="A62" t="str">
            <v>0-204-010</v>
          </cell>
          <cell r="B62" t="str">
            <v>Cover Blood Pump Surdial</v>
          </cell>
          <cell r="C62" t="str">
            <v>NHD</v>
          </cell>
        </row>
        <row r="63">
          <cell r="A63" t="str">
            <v>0-204-015</v>
          </cell>
          <cell r="B63" t="str">
            <v>Roller</v>
          </cell>
          <cell r="C63" t="str">
            <v>NHD</v>
          </cell>
        </row>
        <row r="64">
          <cell r="A64" t="str">
            <v>0-204-043</v>
          </cell>
          <cell r="B64" t="str">
            <v>TIMING BELT</v>
          </cell>
          <cell r="C64" t="str">
            <v>NHD</v>
          </cell>
        </row>
        <row r="65">
          <cell r="A65" t="str">
            <v>0-204-048</v>
          </cell>
          <cell r="B65" t="str">
            <v>Conductivity Sensor Assy (AS) Type D</v>
          </cell>
          <cell r="C65" t="str">
            <v>NHD</v>
          </cell>
        </row>
        <row r="66">
          <cell r="A66" t="str">
            <v>0-206-006</v>
          </cell>
          <cell r="B66" t="str">
            <v>Special Service for Diaphragm of VCP-60</v>
          </cell>
          <cell r="C66" t="str">
            <v>NHD</v>
          </cell>
        </row>
        <row r="67">
          <cell r="A67" t="str">
            <v>0-401-121</v>
          </cell>
          <cell r="B67" t="str">
            <v>RV3</v>
          </cell>
          <cell r="C67" t="str">
            <v>NHD</v>
          </cell>
        </row>
        <row r="68">
          <cell r="A68" t="str">
            <v>0-501-004</v>
          </cell>
          <cell r="B68" t="str">
            <v>TWO-WAY VALVE (SAVR-3202-318-S)</v>
          </cell>
          <cell r="C68" t="str">
            <v>NHD</v>
          </cell>
        </row>
        <row r="69">
          <cell r="A69" t="str">
            <v>0-501-010</v>
          </cell>
          <cell r="B69" t="str">
            <v>MAGNET GEAR PUMP SURDIAL 55</v>
          </cell>
          <cell r="C69" t="str">
            <v>NHD</v>
          </cell>
        </row>
        <row r="70">
          <cell r="A70" t="str">
            <v>0-501-011</v>
          </cell>
          <cell r="B70" t="str">
            <v>HOSE CONNECTOR</v>
          </cell>
          <cell r="C70" t="str">
            <v>NHD</v>
          </cell>
        </row>
        <row r="71">
          <cell r="A71" t="str">
            <v>0-501-012</v>
          </cell>
          <cell r="B71" t="str">
            <v>SPARE KIT</v>
          </cell>
          <cell r="C71" t="str">
            <v>NHD</v>
          </cell>
        </row>
        <row r="72">
          <cell r="A72" t="str">
            <v>0-501-015</v>
          </cell>
          <cell r="B72" t="str">
            <v>DEGASSING TANK ASSY (AS1) 93612300</v>
          </cell>
          <cell r="C72" t="str">
            <v>NHD</v>
          </cell>
        </row>
        <row r="73">
          <cell r="A73" t="str">
            <v>0-501-016</v>
          </cell>
          <cell r="B73" t="str">
            <v>O RING</v>
          </cell>
          <cell r="C73" t="str">
            <v>NHD</v>
          </cell>
        </row>
        <row r="74">
          <cell r="A74" t="str">
            <v>0-501-017</v>
          </cell>
          <cell r="B74" t="str">
            <v>CASING R</v>
          </cell>
          <cell r="C74" t="str">
            <v>NHD</v>
          </cell>
        </row>
        <row r="75">
          <cell r="A75" t="str">
            <v>0-501-018</v>
          </cell>
          <cell r="B75" t="str">
            <v>CASING L</v>
          </cell>
          <cell r="C75" t="str">
            <v>NHD</v>
          </cell>
        </row>
        <row r="76">
          <cell r="A76" t="str">
            <v>0-501-024</v>
          </cell>
          <cell r="B76" t="str">
            <v>AIR ELIMINATION TANK ASSY (AS2) 93532400</v>
          </cell>
          <cell r="C76" t="str">
            <v>NHD</v>
          </cell>
        </row>
        <row r="77">
          <cell r="A77" t="str">
            <v>0-501-030</v>
          </cell>
          <cell r="B77" t="str">
            <v>MESH</v>
          </cell>
          <cell r="C77" t="str">
            <v>NHD</v>
          </cell>
        </row>
        <row r="78">
          <cell r="A78" t="str">
            <v>0-501-048</v>
          </cell>
          <cell r="B78" t="str">
            <v>Pump for Ultrafitration Assy (UFP) (AS)</v>
          </cell>
          <cell r="C78" t="str">
            <v>NHD</v>
          </cell>
        </row>
        <row r="79">
          <cell r="A79" t="str">
            <v>0-501-049</v>
          </cell>
          <cell r="B79" t="str">
            <v>BACK SHEET</v>
          </cell>
          <cell r="C79" t="str">
            <v>NHD</v>
          </cell>
        </row>
        <row r="80">
          <cell r="A80" t="str">
            <v>0-501-050</v>
          </cell>
          <cell r="B80" t="str">
            <v>LIP SEAL</v>
          </cell>
          <cell r="C80" t="str">
            <v>NHD</v>
          </cell>
        </row>
        <row r="81">
          <cell r="A81" t="str">
            <v>0-501-051</v>
          </cell>
          <cell r="B81" t="str">
            <v>Pump for Solution A Assy Type A (P3) (AS)</v>
          </cell>
          <cell r="C81" t="str">
            <v>NHD</v>
          </cell>
        </row>
        <row r="82">
          <cell r="A82" t="str">
            <v>0-501-052</v>
          </cell>
          <cell r="B82" t="str">
            <v>BACK SHEET</v>
          </cell>
          <cell r="C82" t="str">
            <v>NHD</v>
          </cell>
        </row>
        <row r="83">
          <cell r="A83" t="str">
            <v>0-501-053</v>
          </cell>
          <cell r="B83" t="str">
            <v>LIP SEAL</v>
          </cell>
          <cell r="C83" t="str">
            <v>NHD</v>
          </cell>
        </row>
        <row r="84">
          <cell r="A84" t="str">
            <v>0-501-057</v>
          </cell>
          <cell r="B84" t="str">
            <v>PUMP FOR B CONCENTRATE ASSY (P4) V-10AUM-P3B</v>
          </cell>
          <cell r="C84" t="str">
            <v>NHD</v>
          </cell>
        </row>
        <row r="85">
          <cell r="A85" t="str">
            <v>0-501-084</v>
          </cell>
          <cell r="B85" t="str">
            <v>DISINFECTANT SUCTION TUBE</v>
          </cell>
          <cell r="C85" t="str">
            <v>NHD</v>
          </cell>
        </row>
        <row r="86">
          <cell r="A86" t="str">
            <v>0-501-089</v>
          </cell>
          <cell r="B86" t="str">
            <v>SILICONE TUBE</v>
          </cell>
          <cell r="C86" t="str">
            <v>NHD</v>
          </cell>
        </row>
        <row r="87">
          <cell r="A87" t="str">
            <v>0-501-089-ST</v>
          </cell>
          <cell r="B87" t="str">
            <v>SILICONE TUBE</v>
          </cell>
          <cell r="C87" t="str">
            <v>NHD</v>
          </cell>
        </row>
        <row r="88">
          <cell r="A88" t="str">
            <v>0-501-091</v>
          </cell>
          <cell r="B88" t="str">
            <v>Rinse Spot for A Red</v>
          </cell>
          <cell r="C88" t="str">
            <v>NHD</v>
          </cell>
        </row>
        <row r="89">
          <cell r="A89" t="str">
            <v>0-501-092</v>
          </cell>
          <cell r="B89" t="str">
            <v>Rinse Spot for B Blue</v>
          </cell>
          <cell r="C89" t="str">
            <v>NHD</v>
          </cell>
        </row>
        <row r="90">
          <cell r="A90" t="str">
            <v>0-501-096</v>
          </cell>
          <cell r="B90" t="str">
            <v>TUBE CONNECTOR S</v>
          </cell>
          <cell r="C90" t="str">
            <v>NHD</v>
          </cell>
        </row>
        <row r="91">
          <cell r="A91" t="str">
            <v>0-501-112</v>
          </cell>
          <cell r="B91" t="str">
            <v>CL FILTER TYPE A SSM-3010</v>
          </cell>
          <cell r="C91" t="str">
            <v>NHD</v>
          </cell>
        </row>
        <row r="92">
          <cell r="A92" t="str">
            <v>0-501-114</v>
          </cell>
          <cell r="B92" t="str">
            <v>T- SHAPED CONECTOR</v>
          </cell>
          <cell r="C92" t="str">
            <v>NHD</v>
          </cell>
        </row>
        <row r="93">
          <cell r="A93" t="str">
            <v>0-501-115</v>
          </cell>
          <cell r="B93" t="str">
            <v>REDUCER HOSE CONNECTOR</v>
          </cell>
          <cell r="C93" t="str">
            <v>NHD</v>
          </cell>
        </row>
        <row r="94">
          <cell r="A94" t="str">
            <v>0-501-116</v>
          </cell>
          <cell r="B94" t="str">
            <v>HOSE CONNECTOR</v>
          </cell>
          <cell r="C94" t="str">
            <v>NHD</v>
          </cell>
        </row>
        <row r="95">
          <cell r="A95" t="str">
            <v>0-501-117</v>
          </cell>
          <cell r="B95" t="str">
            <v>Diaphragm</v>
          </cell>
          <cell r="C95" t="str">
            <v>NHD</v>
          </cell>
        </row>
        <row r="96">
          <cell r="A96" t="str">
            <v>0-501-118</v>
          </cell>
          <cell r="B96" t="str">
            <v>VALVE BODY</v>
          </cell>
          <cell r="C96" t="str">
            <v>NHD</v>
          </cell>
        </row>
        <row r="97">
          <cell r="A97" t="str">
            <v>0-501-119</v>
          </cell>
          <cell r="B97" t="str">
            <v>SCREW</v>
          </cell>
          <cell r="C97" t="str">
            <v>NHD</v>
          </cell>
        </row>
        <row r="98">
          <cell r="A98" t="str">
            <v>0-501-120</v>
          </cell>
          <cell r="B98" t="str">
            <v>TWO-WAY SOLENOID VALVE SV2-422-S</v>
          </cell>
          <cell r="C98" t="str">
            <v>NHD</v>
          </cell>
        </row>
        <row r="99">
          <cell r="A99" t="str">
            <v>0-501-121</v>
          </cell>
          <cell r="B99" t="str">
            <v>DIAPHRAGM</v>
          </cell>
          <cell r="C99" t="str">
            <v>NHD</v>
          </cell>
        </row>
        <row r="100">
          <cell r="A100" t="str">
            <v>0-501-122</v>
          </cell>
          <cell r="B100" t="str">
            <v>VALVE BODY</v>
          </cell>
          <cell r="C100" t="str">
            <v>NHD</v>
          </cell>
        </row>
        <row r="101">
          <cell r="A101" t="str">
            <v>0-501-123</v>
          </cell>
          <cell r="B101" t="str">
            <v>TWO-WAY SOLENOID VALVE SV2-422-SH</v>
          </cell>
          <cell r="C101" t="str">
            <v>NHD</v>
          </cell>
        </row>
        <row r="102">
          <cell r="A102" t="str">
            <v>0-501-124</v>
          </cell>
          <cell r="B102" t="str">
            <v>VALVE BODY</v>
          </cell>
          <cell r="C102" t="str">
            <v>NHD</v>
          </cell>
        </row>
        <row r="103">
          <cell r="A103" t="str">
            <v>0-501-125</v>
          </cell>
          <cell r="B103" t="str">
            <v>TWO-WAY SOLENOID VALVE SV2-422-SHP</v>
          </cell>
          <cell r="C103" t="str">
            <v>NHD</v>
          </cell>
        </row>
        <row r="104">
          <cell r="A104" t="str">
            <v>0-501-126</v>
          </cell>
          <cell r="B104" t="str">
            <v>TWO-WAY SOLENOID VALVE SV2-322-SHW</v>
          </cell>
          <cell r="C104" t="str">
            <v>NHD</v>
          </cell>
        </row>
        <row r="105">
          <cell r="A105" t="str">
            <v>0-501-127</v>
          </cell>
          <cell r="B105" t="str">
            <v>TWO-WAY SOLENOID VALVE SV2-322S13-SRHW</v>
          </cell>
          <cell r="C105" t="str">
            <v>NHD</v>
          </cell>
        </row>
        <row r="106">
          <cell r="A106" t="str">
            <v>0-501-128</v>
          </cell>
          <cell r="B106" t="str">
            <v>MAGNET GEAR PUMP P1 TYPE A (MDG-R2RA24H-63A)</v>
          </cell>
          <cell r="C106" t="str">
            <v>NHD</v>
          </cell>
        </row>
        <row r="107">
          <cell r="A107" t="str">
            <v>0-501-129</v>
          </cell>
          <cell r="B107" t="str">
            <v>MAGNET GEAR PUMP P2 TYPE A</v>
          </cell>
          <cell r="C107" t="str">
            <v>NHD</v>
          </cell>
        </row>
        <row r="108">
          <cell r="A108" t="str">
            <v>0-501-130</v>
          </cell>
          <cell r="B108" t="str">
            <v>MOTOR</v>
          </cell>
          <cell r="C108" t="str">
            <v>NHD</v>
          </cell>
        </row>
        <row r="109">
          <cell r="A109" t="str">
            <v>0-501-131</v>
          </cell>
          <cell r="B109" t="str">
            <v>MAGNET RETAINIG RING</v>
          </cell>
          <cell r="C109" t="str">
            <v>NHD</v>
          </cell>
        </row>
        <row r="110">
          <cell r="A110" t="str">
            <v>0-501-132</v>
          </cell>
          <cell r="B110" t="str">
            <v>SPARE KIT</v>
          </cell>
          <cell r="C110" t="str">
            <v>NHD</v>
          </cell>
        </row>
        <row r="111">
          <cell r="A111" t="str">
            <v>0-501-133</v>
          </cell>
          <cell r="B111" t="str">
            <v>PUMP BODY SET P1 TYPE A</v>
          </cell>
          <cell r="C111" t="str">
            <v>NHD</v>
          </cell>
        </row>
        <row r="112">
          <cell r="A112" t="str">
            <v>0-501-134</v>
          </cell>
          <cell r="B112" t="str">
            <v>PUMP BODY SET P2 TYPE A</v>
          </cell>
          <cell r="C112" t="str">
            <v>NHD</v>
          </cell>
        </row>
        <row r="113">
          <cell r="A113" t="str">
            <v>0-501-140</v>
          </cell>
          <cell r="B113" t="str">
            <v>THERMOSTAT</v>
          </cell>
          <cell r="C113" t="str">
            <v>NHD</v>
          </cell>
        </row>
        <row r="114">
          <cell r="A114" t="str">
            <v>0-501-140A</v>
          </cell>
          <cell r="B114" t="str">
            <v>Thermostat 85, 88, 90 C</v>
          </cell>
          <cell r="C114" t="str">
            <v>NHD</v>
          </cell>
        </row>
        <row r="115">
          <cell r="A115" t="str">
            <v>0-501-142</v>
          </cell>
          <cell r="B115" t="str">
            <v>CASE 1</v>
          </cell>
          <cell r="C115" t="str">
            <v>NHD</v>
          </cell>
        </row>
        <row r="116">
          <cell r="A116" t="str">
            <v>0-501-143</v>
          </cell>
          <cell r="B116" t="str">
            <v>FLOAT</v>
          </cell>
          <cell r="C116" t="str">
            <v>NHD</v>
          </cell>
        </row>
        <row r="117">
          <cell r="A117" t="str">
            <v>0-501-144</v>
          </cell>
          <cell r="B117" t="str">
            <v>Float</v>
          </cell>
          <cell r="C117" t="str">
            <v>NHD</v>
          </cell>
        </row>
        <row r="118">
          <cell r="A118" t="str">
            <v>0-501-145</v>
          </cell>
          <cell r="B118" t="str">
            <v>CASE(2) L</v>
          </cell>
          <cell r="C118" t="str">
            <v>NHD</v>
          </cell>
        </row>
        <row r="119">
          <cell r="A119" t="str">
            <v>0-501-147</v>
          </cell>
          <cell r="B119" t="str">
            <v>STEEL BALL</v>
          </cell>
          <cell r="C119" t="str">
            <v>NHD</v>
          </cell>
        </row>
        <row r="120">
          <cell r="A120" t="str">
            <v>0-501-148</v>
          </cell>
          <cell r="B120" t="str">
            <v>Stopper</v>
          </cell>
          <cell r="C120" t="str">
            <v>NHD</v>
          </cell>
        </row>
        <row r="121">
          <cell r="A121" t="str">
            <v>0-501-149</v>
          </cell>
          <cell r="B121" t="str">
            <v>AIR ELIMININATION TANK ASSY (AS2) 90402400</v>
          </cell>
          <cell r="C121" t="str">
            <v>NHD</v>
          </cell>
        </row>
        <row r="122">
          <cell r="A122" t="str">
            <v>0-501-150</v>
          </cell>
          <cell r="B122" t="str">
            <v>AS CASE 1</v>
          </cell>
          <cell r="C122" t="str">
            <v>NHD</v>
          </cell>
        </row>
        <row r="123">
          <cell r="A123" t="str">
            <v>0-501-151</v>
          </cell>
          <cell r="B123" t="str">
            <v>PLATE</v>
          </cell>
          <cell r="C123" t="str">
            <v>NHD</v>
          </cell>
        </row>
        <row r="124">
          <cell r="A124" t="str">
            <v>0-501-152</v>
          </cell>
          <cell r="B124" t="str">
            <v>AS CASE 3</v>
          </cell>
          <cell r="C124" t="str">
            <v>NHD</v>
          </cell>
        </row>
        <row r="125">
          <cell r="A125" t="str">
            <v>0-501-153</v>
          </cell>
          <cell r="B125" t="str">
            <v>FLOAT SWITCH ASSY</v>
          </cell>
          <cell r="C125" t="str">
            <v>NHD</v>
          </cell>
        </row>
        <row r="126">
          <cell r="A126" t="str">
            <v>0-501-154</v>
          </cell>
          <cell r="B126" t="str">
            <v>B POWDER CONCENTRATE AIR ELIMINATION</v>
          </cell>
          <cell r="C126" t="str">
            <v>NHD</v>
          </cell>
        </row>
        <row r="127">
          <cell r="A127" t="str">
            <v>0-501-155</v>
          </cell>
          <cell r="B127" t="str">
            <v>AS 3 lid</v>
          </cell>
          <cell r="C127" t="str">
            <v>NHD</v>
          </cell>
        </row>
        <row r="128">
          <cell r="A128" t="str">
            <v>0-501-156</v>
          </cell>
          <cell r="B128" t="str">
            <v>PACKING</v>
          </cell>
          <cell r="C128" t="str">
            <v>NHD</v>
          </cell>
        </row>
        <row r="129">
          <cell r="A129" t="str">
            <v>0-501-157</v>
          </cell>
          <cell r="B129" t="str">
            <v>CASE</v>
          </cell>
          <cell r="C129" t="str">
            <v>NHD</v>
          </cell>
        </row>
        <row r="130">
          <cell r="A130" t="str">
            <v>0-501-158</v>
          </cell>
          <cell r="B130" t="str">
            <v>AS3 BRACKET</v>
          </cell>
          <cell r="C130" t="str">
            <v>NHD</v>
          </cell>
        </row>
        <row r="131">
          <cell r="A131" t="str">
            <v>0-501-159</v>
          </cell>
          <cell r="B131" t="str">
            <v>BTB ASSY 90364400</v>
          </cell>
          <cell r="C131" t="str">
            <v>NHD</v>
          </cell>
        </row>
        <row r="132">
          <cell r="A132" t="str">
            <v>0-501-160</v>
          </cell>
          <cell r="B132" t="str">
            <v>Case</v>
          </cell>
          <cell r="C132" t="str">
            <v>NHD</v>
          </cell>
        </row>
        <row r="133">
          <cell r="A133" t="str">
            <v>0-501-161</v>
          </cell>
          <cell r="B133" t="str">
            <v>PACKING</v>
          </cell>
          <cell r="C133" t="str">
            <v>NHD</v>
          </cell>
        </row>
        <row r="134">
          <cell r="A134" t="str">
            <v>0-501-162</v>
          </cell>
          <cell r="B134" t="str">
            <v>BTB LID</v>
          </cell>
          <cell r="C134" t="str">
            <v>NHD</v>
          </cell>
        </row>
        <row r="135">
          <cell r="A135" t="str">
            <v>0-501-164</v>
          </cell>
          <cell r="B135" t="str">
            <v>BUFFER TANK ASSY (BTW) 90403500</v>
          </cell>
          <cell r="C135" t="str">
            <v>NHD</v>
          </cell>
        </row>
        <row r="136">
          <cell r="A136" t="str">
            <v>0-501-165</v>
          </cell>
          <cell r="B136" t="str">
            <v>BUFFER TANK ASSY (BTD) 90404500</v>
          </cell>
          <cell r="C136" t="str">
            <v>NHD</v>
          </cell>
        </row>
        <row r="137">
          <cell r="A137" t="str">
            <v>0-501-166</v>
          </cell>
          <cell r="B137" t="str">
            <v>LOWER TANK</v>
          </cell>
          <cell r="C137" t="str">
            <v>NHD</v>
          </cell>
        </row>
        <row r="138">
          <cell r="A138" t="str">
            <v>0-501-167</v>
          </cell>
          <cell r="B138" t="str">
            <v>UPPER TANK 1</v>
          </cell>
          <cell r="C138" t="str">
            <v>NHD</v>
          </cell>
        </row>
        <row r="139">
          <cell r="A139" t="str">
            <v>0-501-168</v>
          </cell>
          <cell r="B139" t="str">
            <v>ULTRAFILTRATION PUMP ASSY (PISTON PUMP)</v>
          </cell>
          <cell r="C139" t="str">
            <v>NHD</v>
          </cell>
        </row>
        <row r="140">
          <cell r="A140" t="str">
            <v>0-501-169</v>
          </cell>
          <cell r="B140" t="str">
            <v>PUMP FOR A CONCENTRATE ASSY (P3) V-07AUM-P2AH</v>
          </cell>
          <cell r="C140" t="str">
            <v>NHD</v>
          </cell>
        </row>
        <row r="141">
          <cell r="A141" t="str">
            <v>0-501-172</v>
          </cell>
          <cell r="B141" t="str">
            <v>PUMP FOR B CONCENTRATE ASSY (P4) V-10AUM-P3BH</v>
          </cell>
          <cell r="C141" t="str">
            <v>NHD</v>
          </cell>
        </row>
        <row r="142">
          <cell r="A142" t="str">
            <v>0-501-179</v>
          </cell>
          <cell r="B142" t="str">
            <v>SAMPLE PORT ASSY (SL) 90403400</v>
          </cell>
          <cell r="C142" t="str">
            <v>NHD</v>
          </cell>
        </row>
        <row r="143">
          <cell r="A143" t="str">
            <v>0-501-180</v>
          </cell>
          <cell r="B143" t="str">
            <v>VALVE</v>
          </cell>
          <cell r="C143" t="str">
            <v>NHD</v>
          </cell>
        </row>
        <row r="144">
          <cell r="A144" t="str">
            <v>0-501-183</v>
          </cell>
          <cell r="B144" t="str">
            <v>TAP PLATE</v>
          </cell>
          <cell r="C144" t="str">
            <v>NHD</v>
          </cell>
        </row>
        <row r="145">
          <cell r="A145" t="str">
            <v>0-501-184</v>
          </cell>
          <cell r="B145" t="str">
            <v>DIAPHRAGM</v>
          </cell>
          <cell r="C145" t="str">
            <v>NHD</v>
          </cell>
        </row>
        <row r="146">
          <cell r="A146" t="str">
            <v>0-501-185</v>
          </cell>
          <cell r="B146" t="str">
            <v>LIQUID CHAMBER</v>
          </cell>
          <cell r="C146" t="str">
            <v>NHD</v>
          </cell>
        </row>
        <row r="147">
          <cell r="A147" t="str">
            <v>0-501-186</v>
          </cell>
          <cell r="B147" t="str">
            <v>CHAMBER ASSY (Ca/Cb) 90401000</v>
          </cell>
          <cell r="C147" t="str">
            <v>NHD</v>
          </cell>
        </row>
        <row r="148">
          <cell r="A148" t="str">
            <v>0-501-187</v>
          </cell>
          <cell r="B148" t="str">
            <v>CHAMBER FRAME</v>
          </cell>
          <cell r="C148" t="str">
            <v>NHD</v>
          </cell>
        </row>
        <row r="149">
          <cell r="A149" t="str">
            <v>0-501-188</v>
          </cell>
          <cell r="B149" t="str">
            <v>VALVE BRACKET A</v>
          </cell>
          <cell r="C149" t="str">
            <v>NHD</v>
          </cell>
        </row>
        <row r="150">
          <cell r="A150" t="str">
            <v>0-501-189</v>
          </cell>
          <cell r="B150" t="str">
            <v>JOINT OF CONCENTRATE TANK FOR A CONCENTRATE</v>
          </cell>
          <cell r="C150" t="str">
            <v>NHD</v>
          </cell>
        </row>
        <row r="151">
          <cell r="A151" t="str">
            <v>0-501-190</v>
          </cell>
          <cell r="B151" t="str">
            <v>JOINT OF CONCENTRATE TANK FOR B CONCENTRATE</v>
          </cell>
          <cell r="C151" t="str">
            <v>NHD</v>
          </cell>
        </row>
        <row r="152">
          <cell r="A152" t="str">
            <v>0-501-191</v>
          </cell>
          <cell r="B152" t="str">
            <v>BODY FOR A CONCENTARTE</v>
          </cell>
          <cell r="C152" t="str">
            <v>NHD</v>
          </cell>
        </row>
        <row r="153">
          <cell r="A153" t="str">
            <v>0-501-192</v>
          </cell>
          <cell r="B153" t="str">
            <v>BODY FOR B CONCENTARTE</v>
          </cell>
          <cell r="C153" t="str">
            <v>NHD</v>
          </cell>
        </row>
        <row r="154">
          <cell r="A154" t="str">
            <v>0-501-193</v>
          </cell>
          <cell r="B154" t="str">
            <v>WASHER</v>
          </cell>
          <cell r="C154" t="str">
            <v>NHD</v>
          </cell>
        </row>
        <row r="155">
          <cell r="A155" t="str">
            <v>0-501-194</v>
          </cell>
          <cell r="B155" t="str">
            <v>ADAPTER A</v>
          </cell>
          <cell r="C155" t="str">
            <v>NHD</v>
          </cell>
        </row>
        <row r="156">
          <cell r="A156" t="str">
            <v>0-501-195</v>
          </cell>
          <cell r="B156" t="str">
            <v>NUT</v>
          </cell>
          <cell r="C156" t="str">
            <v>NHD</v>
          </cell>
        </row>
        <row r="157">
          <cell r="A157" t="str">
            <v>0-501-196</v>
          </cell>
          <cell r="B157" t="str">
            <v>SOCKET FOR A CONCENTRATE</v>
          </cell>
          <cell r="C157" t="str">
            <v>NHD</v>
          </cell>
        </row>
        <row r="158">
          <cell r="A158" t="str">
            <v>0-501-197</v>
          </cell>
          <cell r="B158" t="str">
            <v>SOCKET FOR B CONCENTRATE</v>
          </cell>
          <cell r="C158" t="str">
            <v>NHD</v>
          </cell>
        </row>
        <row r="159">
          <cell r="A159" t="str">
            <v>0-501-200</v>
          </cell>
          <cell r="B159" t="str">
            <v>SOCKET FOR A CONCENTRATE SAS-08016</v>
          </cell>
          <cell r="C159" t="str">
            <v>NHD</v>
          </cell>
        </row>
        <row r="160">
          <cell r="A160" t="str">
            <v>0-501-201</v>
          </cell>
          <cell r="B160" t="str">
            <v>Socket for B Concentrate Blue</v>
          </cell>
          <cell r="C160" t="str">
            <v>NHD</v>
          </cell>
        </row>
        <row r="161">
          <cell r="A161" t="str">
            <v>0-501-202</v>
          </cell>
          <cell r="B161" t="str">
            <v>PLUG S</v>
          </cell>
          <cell r="C161" t="str">
            <v>NHD</v>
          </cell>
        </row>
        <row r="162">
          <cell r="A162" t="str">
            <v>0-501-203</v>
          </cell>
          <cell r="B162" t="str">
            <v>PLUG L</v>
          </cell>
          <cell r="C162" t="str">
            <v>NHD</v>
          </cell>
        </row>
        <row r="163">
          <cell r="A163" t="str">
            <v>0-501-204</v>
          </cell>
          <cell r="B163" t="str">
            <v>VALVE</v>
          </cell>
          <cell r="C163" t="str">
            <v>NHD</v>
          </cell>
        </row>
        <row r="164">
          <cell r="A164" t="str">
            <v>0-501-205</v>
          </cell>
          <cell r="B164" t="str">
            <v>CONE SPRING</v>
          </cell>
          <cell r="C164" t="str">
            <v>NHD</v>
          </cell>
        </row>
        <row r="165">
          <cell r="A165" t="str">
            <v>0-501-206</v>
          </cell>
          <cell r="B165" t="str">
            <v>COUPLER ASSY RED</v>
          </cell>
          <cell r="C165" t="str">
            <v>NHD</v>
          </cell>
        </row>
        <row r="166">
          <cell r="A166" t="str">
            <v>0-501-207</v>
          </cell>
          <cell r="B166" t="str">
            <v>COUPLER ASSY BLUE</v>
          </cell>
          <cell r="C166" t="str">
            <v>NHD</v>
          </cell>
        </row>
        <row r="167">
          <cell r="A167" t="str">
            <v>0-501-215</v>
          </cell>
          <cell r="B167" t="str">
            <v>NEEDLE VALVE (NV1,NV4,NV5,NV6)</v>
          </cell>
          <cell r="C167" t="str">
            <v>NHD</v>
          </cell>
        </row>
        <row r="168">
          <cell r="A168" t="str">
            <v>0-501-216</v>
          </cell>
          <cell r="B168" t="str">
            <v>PLUG</v>
          </cell>
          <cell r="C168" t="str">
            <v>NHD</v>
          </cell>
        </row>
        <row r="169">
          <cell r="A169" t="str">
            <v>0-501-217</v>
          </cell>
          <cell r="B169" t="str">
            <v>FILTER</v>
          </cell>
          <cell r="C169" t="str">
            <v>NHD</v>
          </cell>
        </row>
        <row r="170">
          <cell r="A170" t="str">
            <v>0-501-218</v>
          </cell>
          <cell r="B170" t="str">
            <v>COUPLER LINE FILTER</v>
          </cell>
          <cell r="C170" t="str">
            <v>NHD</v>
          </cell>
        </row>
        <row r="171">
          <cell r="A171" t="str">
            <v>0-501-219</v>
          </cell>
          <cell r="B171" t="str">
            <v>CONCENTRATE LINE FILTER</v>
          </cell>
          <cell r="C171" t="str">
            <v>NHD</v>
          </cell>
        </row>
        <row r="172">
          <cell r="A172" t="str">
            <v>0-501-220</v>
          </cell>
          <cell r="B172" t="str">
            <v>T- SHAPED CONECTOR S</v>
          </cell>
          <cell r="C172" t="str">
            <v>NHD</v>
          </cell>
        </row>
        <row r="173">
          <cell r="A173" t="str">
            <v>0-501-221</v>
          </cell>
          <cell r="B173" t="str">
            <v>L-SHAPE TUBE B</v>
          </cell>
          <cell r="C173" t="str">
            <v>NHD</v>
          </cell>
        </row>
        <row r="174">
          <cell r="A174" t="str">
            <v>0-501-222</v>
          </cell>
          <cell r="B174" t="str">
            <v>L-SHAPE TUBE C</v>
          </cell>
          <cell r="C174" t="str">
            <v>NHD</v>
          </cell>
        </row>
        <row r="175">
          <cell r="A175" t="str">
            <v>0-501-223</v>
          </cell>
          <cell r="B175" t="str">
            <v>REDUCER HOSE CONNECTOR</v>
          </cell>
          <cell r="C175" t="str">
            <v>NHD</v>
          </cell>
        </row>
        <row r="176">
          <cell r="A176" t="str">
            <v>0-501-227</v>
          </cell>
          <cell r="B176" t="str">
            <v>MAGNET GEAR PUMP P2 TYPE B</v>
          </cell>
          <cell r="C176" t="str">
            <v>NHD</v>
          </cell>
        </row>
        <row r="177">
          <cell r="A177" t="str">
            <v>0-501-228</v>
          </cell>
          <cell r="B177" t="str">
            <v>MAGNET GEAR PUMP P1 TYPE B</v>
          </cell>
          <cell r="C177" t="str">
            <v>NHD</v>
          </cell>
        </row>
        <row r="178">
          <cell r="A178" t="str">
            <v>0-501-229</v>
          </cell>
          <cell r="B178" t="str">
            <v>Pump Head Assy UFP (AS)</v>
          </cell>
          <cell r="C178" t="str">
            <v>NHD</v>
          </cell>
        </row>
        <row r="179">
          <cell r="A179" t="str">
            <v>0-501-230</v>
          </cell>
          <cell r="B179" t="str">
            <v>PUMP BODY SET P2 TYPE B</v>
          </cell>
          <cell r="C179" t="str">
            <v>NHD</v>
          </cell>
        </row>
        <row r="180">
          <cell r="A180" t="str">
            <v>0-501-231</v>
          </cell>
          <cell r="B180" t="str">
            <v>PUMP BODY SET P1 TYPE B</v>
          </cell>
          <cell r="C180" t="str">
            <v>NHD</v>
          </cell>
        </row>
        <row r="181">
          <cell r="A181" t="str">
            <v>0-501-232</v>
          </cell>
          <cell r="B181" t="str">
            <v>Pump head Assy</v>
          </cell>
          <cell r="C181" t="str">
            <v>NHD</v>
          </cell>
        </row>
        <row r="182">
          <cell r="A182" t="str">
            <v>0-501-233</v>
          </cell>
          <cell r="B182" t="str">
            <v>PUMP HEAD ASSY FOR P4</v>
          </cell>
          <cell r="C182" t="str">
            <v>NHD</v>
          </cell>
        </row>
        <row r="183">
          <cell r="A183" t="str">
            <v>0-501-235</v>
          </cell>
          <cell r="B183" t="str">
            <v>Pump Head Assy for P4 (for V-10AUM-P2BH)</v>
          </cell>
          <cell r="C183" t="str">
            <v>NHD</v>
          </cell>
        </row>
        <row r="184">
          <cell r="A184" t="str">
            <v>0-501-236</v>
          </cell>
          <cell r="B184" t="str">
            <v>PUMP HEAD ASSY</v>
          </cell>
          <cell r="C184" t="str">
            <v>NHD</v>
          </cell>
        </row>
        <row r="185">
          <cell r="A185" t="str">
            <v>0-501-250</v>
          </cell>
          <cell r="B185" t="str">
            <v>SOCKET ASSY</v>
          </cell>
          <cell r="C185" t="str">
            <v>NHD</v>
          </cell>
        </row>
        <row r="186">
          <cell r="A186" t="str">
            <v>0-501-257</v>
          </cell>
          <cell r="B186" t="str">
            <v>GROMMET S</v>
          </cell>
          <cell r="C186" t="str">
            <v>NHD</v>
          </cell>
        </row>
        <row r="187">
          <cell r="A187" t="str">
            <v>0-501-258</v>
          </cell>
          <cell r="B187" t="str">
            <v>Tray</v>
          </cell>
          <cell r="C187" t="str">
            <v>NHD</v>
          </cell>
        </row>
        <row r="188">
          <cell r="A188" t="str">
            <v>0-501-261</v>
          </cell>
          <cell r="B188" t="str">
            <v>O-ring</v>
          </cell>
          <cell r="C188" t="str">
            <v>NHD</v>
          </cell>
        </row>
        <row r="189">
          <cell r="A189" t="str">
            <v>0-501-262</v>
          </cell>
          <cell r="B189" t="str">
            <v>Gasket</v>
          </cell>
          <cell r="C189" t="str">
            <v>NHD</v>
          </cell>
        </row>
        <row r="190">
          <cell r="A190" t="str">
            <v>0-501-266</v>
          </cell>
          <cell r="B190" t="str">
            <v>Stell Ball</v>
          </cell>
          <cell r="C190" t="str">
            <v>NHD</v>
          </cell>
        </row>
        <row r="191">
          <cell r="A191" t="str">
            <v>0-501-271</v>
          </cell>
          <cell r="B191" t="str">
            <v>HEATER 230V-500W WITH HEATER 1 HARNESS</v>
          </cell>
          <cell r="C191" t="str">
            <v>NHD</v>
          </cell>
        </row>
        <row r="192">
          <cell r="A192" t="str">
            <v>0-501-272</v>
          </cell>
          <cell r="B192" t="str">
            <v>HEATER 230V-1000W WITH HEATER 2 HARNESS (230 V)</v>
          </cell>
          <cell r="C192" t="str">
            <v>NHD</v>
          </cell>
        </row>
        <row r="193">
          <cell r="A193" t="str">
            <v>0-501-273</v>
          </cell>
          <cell r="B193" t="str">
            <v>DEGASSING TANK ASSY (AS1)</v>
          </cell>
          <cell r="C193" t="str">
            <v>NHD</v>
          </cell>
        </row>
        <row r="194">
          <cell r="A194" t="str">
            <v>0-501-275</v>
          </cell>
          <cell r="B194" t="str">
            <v>As Plate</v>
          </cell>
          <cell r="C194" t="str">
            <v>NHD</v>
          </cell>
        </row>
        <row r="195">
          <cell r="A195" t="str">
            <v>0-501-278</v>
          </cell>
          <cell r="B195" t="str">
            <v>B POWDER CONCENTRATE AIR ELIMINATION TANK ( AS3 )</v>
          </cell>
          <cell r="C195" t="str">
            <v>NHD</v>
          </cell>
        </row>
        <row r="196">
          <cell r="A196" t="str">
            <v>0-501-280</v>
          </cell>
          <cell r="B196" t="str">
            <v>DISINFECTANT RINSE PORT</v>
          </cell>
          <cell r="C196" t="str">
            <v>NHD</v>
          </cell>
        </row>
        <row r="197">
          <cell r="A197" t="str">
            <v>0-501-283</v>
          </cell>
          <cell r="B197" t="str">
            <v>Mesh</v>
          </cell>
          <cell r="C197" t="str">
            <v>NHD</v>
          </cell>
        </row>
        <row r="198">
          <cell r="A198" t="str">
            <v>0-501-286</v>
          </cell>
          <cell r="B198" t="str">
            <v>Chamber flame A</v>
          </cell>
          <cell r="C198" t="str">
            <v>NHD</v>
          </cell>
        </row>
        <row r="199">
          <cell r="A199" t="str">
            <v>0-501-287</v>
          </cell>
          <cell r="B199" t="str">
            <v>Chamber flame B</v>
          </cell>
          <cell r="C199" t="str">
            <v>NHD</v>
          </cell>
        </row>
        <row r="200">
          <cell r="A200" t="str">
            <v>0-501-291</v>
          </cell>
          <cell r="B200" t="str">
            <v>HANGER</v>
          </cell>
          <cell r="C200" t="str">
            <v>NHD</v>
          </cell>
        </row>
        <row r="201">
          <cell r="A201" t="str">
            <v>0-501-295</v>
          </cell>
          <cell r="B201" t="str">
            <v>PACKING</v>
          </cell>
          <cell r="C201" t="str">
            <v>NHD</v>
          </cell>
        </row>
        <row r="202">
          <cell r="A202" t="str">
            <v>0-501-297</v>
          </cell>
          <cell r="B202" t="str">
            <v>TEMPERATURE SENSOR ASSY T1</v>
          </cell>
          <cell r="C202" t="str">
            <v>NHD</v>
          </cell>
        </row>
        <row r="203">
          <cell r="A203" t="str">
            <v>0-501-298</v>
          </cell>
          <cell r="B203" t="str">
            <v>TEMPERATURE SENSOR ASSY T2</v>
          </cell>
          <cell r="C203" t="str">
            <v>NHD</v>
          </cell>
        </row>
        <row r="204">
          <cell r="A204" t="str">
            <v>0-501-299</v>
          </cell>
          <cell r="B204" t="str">
            <v>TEMPERATURE SENSOR ASSY T3</v>
          </cell>
          <cell r="C204" t="str">
            <v>NHD</v>
          </cell>
        </row>
        <row r="205">
          <cell r="A205" t="str">
            <v>0-501-300</v>
          </cell>
          <cell r="B205" t="str">
            <v>TEMPERATURE SENSOR ASSY T4</v>
          </cell>
          <cell r="C205" t="str">
            <v>NHD</v>
          </cell>
        </row>
        <row r="206">
          <cell r="A206" t="str">
            <v>0-501-301</v>
          </cell>
          <cell r="B206" t="str">
            <v>TEMPERATURE SENSOR ASSY T5</v>
          </cell>
          <cell r="C206" t="str">
            <v>NHD</v>
          </cell>
        </row>
        <row r="207">
          <cell r="A207" t="str">
            <v>0-501-302</v>
          </cell>
          <cell r="B207" t="str">
            <v>TEMPERATURE SENSOR ASSY T6</v>
          </cell>
          <cell r="C207" t="str">
            <v>NHD</v>
          </cell>
        </row>
        <row r="208">
          <cell r="A208" t="str">
            <v>0-501-303</v>
          </cell>
          <cell r="B208" t="str">
            <v>TEMPERATURE SENSOR ASSY T7</v>
          </cell>
          <cell r="C208" t="str">
            <v>NHD</v>
          </cell>
        </row>
        <row r="209">
          <cell r="A209" t="str">
            <v>0-501-305</v>
          </cell>
          <cell r="B209" t="str">
            <v>PACKING</v>
          </cell>
          <cell r="C209" t="str">
            <v>NHD</v>
          </cell>
        </row>
        <row r="210">
          <cell r="A210" t="str">
            <v>0-501-307</v>
          </cell>
          <cell r="B210" t="str">
            <v>WATER SUPPLY FILTER ASSY</v>
          </cell>
          <cell r="C210" t="str">
            <v>NHD</v>
          </cell>
        </row>
        <row r="211">
          <cell r="A211" t="str">
            <v>0-501-309</v>
          </cell>
          <cell r="B211" t="str">
            <v>BUFFER TANK(BTB)</v>
          </cell>
          <cell r="C211" t="str">
            <v>NHD</v>
          </cell>
        </row>
        <row r="212">
          <cell r="A212" t="str">
            <v>0-501-319</v>
          </cell>
          <cell r="B212" t="str">
            <v>AIR ELIMINATION TANK(FSW/AS2) TYPE II</v>
          </cell>
          <cell r="C212" t="str">
            <v>NHD</v>
          </cell>
        </row>
        <row r="213">
          <cell r="A213" t="str">
            <v>0-501-320</v>
          </cell>
          <cell r="B213" t="str">
            <v>VENOUS CLAMP (CLV,BD,BSV)</v>
          </cell>
          <cell r="C213" t="str">
            <v>NHD</v>
          </cell>
        </row>
        <row r="214">
          <cell r="A214" t="str">
            <v>0-501-331</v>
          </cell>
          <cell r="B214" t="str">
            <v>AIR ELIMINATION TANK ASSY TYPE III</v>
          </cell>
          <cell r="C214" t="str">
            <v>NHD</v>
          </cell>
        </row>
        <row r="215">
          <cell r="A215" t="str">
            <v>0-501-350</v>
          </cell>
          <cell r="B215" t="str">
            <v>ULTRAFILTRATION PUMP ASSY FOR TYPE II</v>
          </cell>
          <cell r="C215" t="str">
            <v>NHD</v>
          </cell>
        </row>
        <row r="216">
          <cell r="A216" t="str">
            <v>0-502-001</v>
          </cell>
          <cell r="B216" t="str">
            <v>POWER SOURCE CABLE WITH 3P-PLUG (KP-4819D,GTVD-3)</v>
          </cell>
          <cell r="C216" t="str">
            <v>NHD</v>
          </cell>
        </row>
        <row r="217">
          <cell r="A217" t="str">
            <v>0-502-022</v>
          </cell>
          <cell r="B217" t="str">
            <v>Sensor Holder</v>
          </cell>
          <cell r="C217" t="str">
            <v>NHD</v>
          </cell>
        </row>
        <row r="218">
          <cell r="A218" t="str">
            <v>0-502-024</v>
          </cell>
          <cell r="B218" t="str">
            <v>Kabel CIV-119</v>
          </cell>
          <cell r="C218" t="str">
            <v>NHD</v>
          </cell>
        </row>
        <row r="219">
          <cell r="A219" t="str">
            <v>0-502-067</v>
          </cell>
          <cell r="B219" t="str">
            <v>SHORT CIRCUIT BRAKER (BAME2152C)</v>
          </cell>
          <cell r="C219" t="str">
            <v>NHD</v>
          </cell>
        </row>
        <row r="220">
          <cell r="A220" t="str">
            <v>0-502-068</v>
          </cell>
          <cell r="B220" t="str">
            <v>NOISE FILTER (SUP-E20H)</v>
          </cell>
          <cell r="C220" t="str">
            <v>NHD</v>
          </cell>
        </row>
        <row r="221">
          <cell r="A221" t="str">
            <v>0-502-069</v>
          </cell>
          <cell r="B221" t="str">
            <v>NOISE SUPPRESSION CAPACITA (XE474-Z)</v>
          </cell>
          <cell r="C221" t="str">
            <v>NHD</v>
          </cell>
        </row>
        <row r="222">
          <cell r="A222" t="str">
            <v>0-502-071</v>
          </cell>
          <cell r="B222" t="str">
            <v>FUSE HOLDER (F-64AD)</v>
          </cell>
          <cell r="C222" t="str">
            <v>NHD</v>
          </cell>
        </row>
        <row r="223">
          <cell r="A223" t="str">
            <v>0-502-073</v>
          </cell>
          <cell r="B223" t="str">
            <v>SPEAKER (F66A52-6)</v>
          </cell>
          <cell r="C223" t="str">
            <v>NHD</v>
          </cell>
        </row>
        <row r="224">
          <cell r="A224" t="str">
            <v>0-502-074</v>
          </cell>
          <cell r="B224" t="str">
            <v>PV/PA BOARD (SSM-07035)</v>
          </cell>
          <cell r="C224" t="str">
            <v>NHD</v>
          </cell>
        </row>
        <row r="225">
          <cell r="A225" t="str">
            <v>0-502-075</v>
          </cell>
          <cell r="B225" t="str">
            <v>SOLID STATE RELAY (AR3812732F)</v>
          </cell>
          <cell r="C225" t="str">
            <v>NHD</v>
          </cell>
        </row>
        <row r="226">
          <cell r="A226" t="str">
            <v>0-502-077</v>
          </cell>
          <cell r="B226" t="str">
            <v>BRIDGE BOARD (SSM-06014)</v>
          </cell>
          <cell r="C226" t="str">
            <v>NHD</v>
          </cell>
        </row>
        <row r="227">
          <cell r="A227" t="str">
            <v>0-502-079</v>
          </cell>
          <cell r="B227" t="str">
            <v>TERMINAL (UF1005-20S-4P)</v>
          </cell>
          <cell r="C227" t="str">
            <v>NHD</v>
          </cell>
        </row>
        <row r="228">
          <cell r="A228" t="str">
            <v>0-502-080</v>
          </cell>
          <cell r="B228" t="str">
            <v>POWER SW (MA2500264A)</v>
          </cell>
          <cell r="C228" t="str">
            <v>NHD</v>
          </cell>
        </row>
        <row r="229">
          <cell r="A229" t="str">
            <v>0-502-082</v>
          </cell>
          <cell r="B229" t="str">
            <v>FAN (EUDC24B4S)</v>
          </cell>
          <cell r="C229" t="str">
            <v>NHD</v>
          </cell>
        </row>
        <row r="230">
          <cell r="A230" t="str">
            <v>0-502-083</v>
          </cell>
          <cell r="B230" t="str">
            <v>FAN (TUDC24D4)</v>
          </cell>
          <cell r="C230" t="str">
            <v>NHD</v>
          </cell>
        </row>
        <row r="231">
          <cell r="A231" t="str">
            <v>0-502-084</v>
          </cell>
          <cell r="B231" t="str">
            <v>FAN (PUDC24D4)</v>
          </cell>
          <cell r="C231" t="str">
            <v>NHD</v>
          </cell>
        </row>
        <row r="232">
          <cell r="A232" t="str">
            <v>0-502-085</v>
          </cell>
          <cell r="B232" t="str">
            <v>NICD BATTERY (20KR-CH(3AH))</v>
          </cell>
          <cell r="C232" t="str">
            <v>NHD</v>
          </cell>
        </row>
        <row r="233">
          <cell r="A233" t="str">
            <v>0-502-088</v>
          </cell>
          <cell r="B233" t="str">
            <v>LCD MODULE WITH TOUCH PANEL (LQ104V1DG51</v>
          </cell>
          <cell r="C233" t="str">
            <v>NHD</v>
          </cell>
        </row>
        <row r="234">
          <cell r="A234" t="str">
            <v>0-502-089</v>
          </cell>
          <cell r="B234" t="str">
            <v>INVERTER BOARD (CXA-P1212B-WJL)</v>
          </cell>
          <cell r="C234" t="str">
            <v>NHD</v>
          </cell>
        </row>
        <row r="235">
          <cell r="A235" t="str">
            <v>0-502-091</v>
          </cell>
          <cell r="B235" t="str">
            <v>ENCODER (RECW20D50-201-1)</v>
          </cell>
          <cell r="C235" t="str">
            <v>NHD</v>
          </cell>
        </row>
        <row r="236">
          <cell r="A236" t="str">
            <v>0-502-092</v>
          </cell>
          <cell r="B236" t="str">
            <v>CPU BOARD (SSM-3048)</v>
          </cell>
          <cell r="C236" t="str">
            <v>NHD</v>
          </cell>
        </row>
        <row r="237">
          <cell r="A237" t="str">
            <v>0-502-094</v>
          </cell>
          <cell r="B237" t="str">
            <v>I/O Board AS</v>
          </cell>
          <cell r="C237" t="str">
            <v>NHD</v>
          </cell>
        </row>
        <row r="238">
          <cell r="A238" t="str">
            <v>0-502-096</v>
          </cell>
          <cell r="B238" t="str">
            <v>DRIVE BOARD (FTD3S2P19)</v>
          </cell>
          <cell r="C238" t="str">
            <v>NHD</v>
          </cell>
        </row>
        <row r="239">
          <cell r="A239" t="str">
            <v>0-502-097</v>
          </cell>
          <cell r="B239" t="str">
            <v>UFP SENSOR BOARD (SSM-3045)</v>
          </cell>
          <cell r="C239" t="str">
            <v>NHD</v>
          </cell>
        </row>
        <row r="240">
          <cell r="A240" t="str">
            <v>0-502-100</v>
          </cell>
          <cell r="B240" t="str">
            <v>LCD CONNECTOR BOARD (SSM-3046)</v>
          </cell>
          <cell r="C240" t="str">
            <v>NHD</v>
          </cell>
        </row>
        <row r="241">
          <cell r="A241" t="str">
            <v>0-502-101</v>
          </cell>
          <cell r="B241" t="str">
            <v>I/O SW BOARD (SSM-05033)</v>
          </cell>
          <cell r="C241" t="str">
            <v>NHD</v>
          </cell>
        </row>
        <row r="242">
          <cell r="A242" t="str">
            <v>0-502-102</v>
          </cell>
          <cell r="B242" t="str">
            <v>DIALYSATE PRESSURE SENSOR BOARD (SSM-05025)</v>
          </cell>
          <cell r="C242" t="str">
            <v>NHD</v>
          </cell>
        </row>
        <row r="243">
          <cell r="A243" t="str">
            <v>0-502-104</v>
          </cell>
          <cell r="B243" t="str">
            <v>INFUSION STAND</v>
          </cell>
          <cell r="C243" t="str">
            <v>NHD</v>
          </cell>
        </row>
        <row r="244">
          <cell r="A244" t="str">
            <v>0-502-109</v>
          </cell>
          <cell r="B244" t="str">
            <v>Power Board</v>
          </cell>
          <cell r="C244" t="str">
            <v>NHD</v>
          </cell>
        </row>
        <row r="245">
          <cell r="A245" t="str">
            <v>0-502-113</v>
          </cell>
          <cell r="B245" t="str">
            <v>LEAD A STANDAR MODEL 230 V</v>
          </cell>
          <cell r="C245" t="str">
            <v>NHD</v>
          </cell>
        </row>
        <row r="246">
          <cell r="A246" t="str">
            <v>0-502-114</v>
          </cell>
          <cell r="B246" t="str">
            <v>LEAD A HOT DISINFECTION MODEL 230 V</v>
          </cell>
          <cell r="C246" t="str">
            <v>NHD</v>
          </cell>
        </row>
        <row r="247">
          <cell r="A247" t="str">
            <v>0-502-117</v>
          </cell>
          <cell r="B247" t="str">
            <v>LEAD B STANDARD MODEL 230 V</v>
          </cell>
          <cell r="C247" t="str">
            <v>NHD</v>
          </cell>
        </row>
        <row r="248">
          <cell r="A248" t="str">
            <v>0-502-118</v>
          </cell>
          <cell r="B248" t="str">
            <v>LEAD B HOT DISINFECTION MODEL 230 V</v>
          </cell>
          <cell r="C248" t="str">
            <v>NHD</v>
          </cell>
        </row>
        <row r="249">
          <cell r="A249" t="str">
            <v>0-502-121</v>
          </cell>
          <cell r="B249" t="str">
            <v>LEAD C STANDARD MODEL 230 V</v>
          </cell>
          <cell r="C249" t="str">
            <v>NHD</v>
          </cell>
        </row>
        <row r="250">
          <cell r="A250" t="str">
            <v>0-502-122</v>
          </cell>
          <cell r="B250" t="str">
            <v>LEAD C HOT DISINFECTION MODEL 230 V</v>
          </cell>
          <cell r="C250" t="str">
            <v>NHD</v>
          </cell>
        </row>
        <row r="251">
          <cell r="A251" t="str">
            <v>0-502-125</v>
          </cell>
          <cell r="B251" t="str">
            <v>LEAD D STANDARD MODEL 230 V</v>
          </cell>
          <cell r="C251" t="str">
            <v>NHD</v>
          </cell>
        </row>
        <row r="252">
          <cell r="A252" t="str">
            <v>0-502-126</v>
          </cell>
          <cell r="B252" t="str">
            <v>LEAD D HOT DISINFECTION MODEL 230 V</v>
          </cell>
          <cell r="C252" t="str">
            <v>NHD</v>
          </cell>
        </row>
        <row r="253">
          <cell r="A253" t="str">
            <v>0-502-129</v>
          </cell>
          <cell r="B253" t="str">
            <v>LEAD E STANDARD MODEL 230 V</v>
          </cell>
          <cell r="C253" t="str">
            <v>NHD</v>
          </cell>
        </row>
        <row r="254">
          <cell r="A254" t="str">
            <v>0-502-130</v>
          </cell>
          <cell r="B254" t="str">
            <v>LEAD E HOT DISINFECTION MODEL 230 V</v>
          </cell>
          <cell r="C254" t="str">
            <v>NHD</v>
          </cell>
        </row>
        <row r="255">
          <cell r="A255" t="str">
            <v>0-502-133</v>
          </cell>
          <cell r="B255" t="str">
            <v>LEAD F STANDARD MODEL 230 V</v>
          </cell>
          <cell r="C255" t="str">
            <v>NHD</v>
          </cell>
        </row>
        <row r="256">
          <cell r="A256" t="str">
            <v>0-502-134</v>
          </cell>
          <cell r="B256" t="str">
            <v>LEAD F HOT DISINFECTION MODEL 230 V</v>
          </cell>
          <cell r="C256" t="str">
            <v>NHD</v>
          </cell>
        </row>
        <row r="257">
          <cell r="A257" t="str">
            <v>0-502-137</v>
          </cell>
          <cell r="B257" t="str">
            <v>LEAD G STANDARD MODEL 230 V</v>
          </cell>
          <cell r="C257" t="str">
            <v>NHD</v>
          </cell>
        </row>
        <row r="258">
          <cell r="A258" t="str">
            <v>0-502-138</v>
          </cell>
          <cell r="B258" t="str">
            <v>LEAD G HOT DISINFECTION MODEL 230 V</v>
          </cell>
          <cell r="C258" t="str">
            <v>NHD</v>
          </cell>
        </row>
        <row r="259">
          <cell r="A259" t="str">
            <v>0-502-141</v>
          </cell>
          <cell r="B259" t="str">
            <v>LEAD H STANDARD MODEL 230 V</v>
          </cell>
          <cell r="C259" t="str">
            <v>NHD</v>
          </cell>
        </row>
        <row r="260">
          <cell r="A260" t="str">
            <v>0-502-142</v>
          </cell>
          <cell r="B260" t="str">
            <v>LEAD H HOT DISINFECTION MODEL 230 V</v>
          </cell>
          <cell r="C260" t="str">
            <v>NHD</v>
          </cell>
        </row>
        <row r="261">
          <cell r="A261" t="str">
            <v>0-502-145</v>
          </cell>
          <cell r="B261" t="str">
            <v>LEAD I STANDARD MODEL 230 V</v>
          </cell>
          <cell r="C261" t="str">
            <v>NHD</v>
          </cell>
        </row>
        <row r="262">
          <cell r="A262" t="str">
            <v>0-502-146</v>
          </cell>
          <cell r="B262" t="str">
            <v>LEAD I HOT DISINFECTION MODEL 230 V</v>
          </cell>
          <cell r="C262" t="str">
            <v>NHD</v>
          </cell>
        </row>
        <row r="263">
          <cell r="A263" t="str">
            <v>0-502-147</v>
          </cell>
          <cell r="B263" t="str">
            <v>LEAD J STANDARD MODEL 230 V</v>
          </cell>
          <cell r="C263" t="str">
            <v>NHD</v>
          </cell>
        </row>
        <row r="264">
          <cell r="A264" t="str">
            <v>0-502-148</v>
          </cell>
          <cell r="B264" t="str">
            <v>LEAD J HOT DISINFECTION MODEL 230 V</v>
          </cell>
          <cell r="C264" t="str">
            <v>NHD</v>
          </cell>
        </row>
        <row r="265">
          <cell r="A265" t="str">
            <v>0-502-151</v>
          </cell>
          <cell r="B265" t="str">
            <v>LEAD K STANDARD MODEL 230 V</v>
          </cell>
          <cell r="C265" t="str">
            <v>NHD</v>
          </cell>
        </row>
        <row r="266">
          <cell r="A266" t="str">
            <v>0-502-152</v>
          </cell>
          <cell r="B266" t="str">
            <v>LEAD K HOT DISINFECTION MODEL 230 V</v>
          </cell>
          <cell r="C266" t="str">
            <v>NHD</v>
          </cell>
        </row>
        <row r="267">
          <cell r="A267" t="str">
            <v>0-502-153</v>
          </cell>
          <cell r="B267" t="str">
            <v>LEAD L STANDARD MODEL 230 V</v>
          </cell>
          <cell r="C267" t="str">
            <v>NHD</v>
          </cell>
        </row>
        <row r="268">
          <cell r="A268" t="str">
            <v>0-502-154</v>
          </cell>
          <cell r="B268" t="str">
            <v>LEAD L HOT DISINFECTION MODEL 230 V</v>
          </cell>
          <cell r="C268" t="str">
            <v>NHD</v>
          </cell>
        </row>
        <row r="269">
          <cell r="A269" t="str">
            <v>0-502-155</v>
          </cell>
          <cell r="B269" t="str">
            <v>FOR 230 V STANDARD MODEL AND HOT DISINFECTION</v>
          </cell>
          <cell r="C269" t="str">
            <v>NHD</v>
          </cell>
        </row>
        <row r="270">
          <cell r="A270" t="str">
            <v>0-502-158</v>
          </cell>
          <cell r="B270" t="str">
            <v>HARNESS FOR 230 V</v>
          </cell>
          <cell r="C270" t="str">
            <v>NHD</v>
          </cell>
        </row>
        <row r="271">
          <cell r="A271" t="str">
            <v>0-502-160</v>
          </cell>
          <cell r="B271" t="str">
            <v>Skun</v>
          </cell>
          <cell r="C271" t="str">
            <v>NHD</v>
          </cell>
        </row>
        <row r="272">
          <cell r="A272" t="str">
            <v>0-502-161</v>
          </cell>
          <cell r="B272" t="str">
            <v>T6 HARNESS</v>
          </cell>
          <cell r="C272" t="str">
            <v>NHD</v>
          </cell>
        </row>
        <row r="273">
          <cell r="A273" t="str">
            <v>0-502-162</v>
          </cell>
          <cell r="B273" t="str">
            <v>PUMP 57 A HARNESS</v>
          </cell>
          <cell r="C273" t="str">
            <v>NHD</v>
          </cell>
        </row>
        <row r="274">
          <cell r="A274" t="str">
            <v>0-502-163</v>
          </cell>
          <cell r="B274" t="str">
            <v>PUMP 63 A,65A HARNESS</v>
          </cell>
          <cell r="C274" t="str">
            <v>NHD</v>
          </cell>
        </row>
        <row r="275">
          <cell r="A275" t="str">
            <v>0-502-164</v>
          </cell>
          <cell r="B275" t="str">
            <v>CLV HARNESS</v>
          </cell>
          <cell r="C275" t="str">
            <v>NHD</v>
          </cell>
        </row>
        <row r="276">
          <cell r="A276" t="str">
            <v>0-502-165</v>
          </cell>
          <cell r="B276" t="str">
            <v>HP HARNESS</v>
          </cell>
          <cell r="C276" t="str">
            <v>NHD</v>
          </cell>
        </row>
        <row r="277">
          <cell r="A277" t="str">
            <v>0-502-166</v>
          </cell>
          <cell r="B277" t="str">
            <v>SENS2 HARNESS</v>
          </cell>
          <cell r="C277" t="str">
            <v>NHD</v>
          </cell>
        </row>
        <row r="278">
          <cell r="A278" t="str">
            <v>0-502-167</v>
          </cell>
          <cell r="B278" t="str">
            <v>LS RELAY HARNESS</v>
          </cell>
          <cell r="C278" t="str">
            <v>NHD</v>
          </cell>
        </row>
        <row r="279">
          <cell r="A279" t="str">
            <v>0-502-168</v>
          </cell>
          <cell r="B279" t="str">
            <v>CPU POWER HARNESS</v>
          </cell>
          <cell r="C279" t="str">
            <v>NHD</v>
          </cell>
        </row>
        <row r="280">
          <cell r="A280" t="str">
            <v>0-502-169</v>
          </cell>
          <cell r="B280" t="str">
            <v>I/O POWER HARNESS</v>
          </cell>
          <cell r="C280" t="str">
            <v>NHD</v>
          </cell>
        </row>
        <row r="281">
          <cell r="A281" t="str">
            <v>0-502-170</v>
          </cell>
          <cell r="B281" t="str">
            <v>I/O SW HARNESS</v>
          </cell>
          <cell r="C281" t="str">
            <v>NHD</v>
          </cell>
        </row>
        <row r="282">
          <cell r="A282" t="str">
            <v>0-502-171</v>
          </cell>
          <cell r="B282" t="str">
            <v>POWER RY HARNESS</v>
          </cell>
          <cell r="C282" t="str">
            <v>NHD</v>
          </cell>
        </row>
        <row r="283">
          <cell r="A283" t="str">
            <v>0-502-172</v>
          </cell>
          <cell r="B283" t="str">
            <v>FAN 1 HARNESS</v>
          </cell>
          <cell r="C283" t="str">
            <v>NHD</v>
          </cell>
        </row>
        <row r="284">
          <cell r="A284" t="str">
            <v>0-502-173</v>
          </cell>
          <cell r="B284" t="str">
            <v>DRV_IF HARNESS</v>
          </cell>
          <cell r="C284" t="str">
            <v>NHD</v>
          </cell>
        </row>
        <row r="285">
          <cell r="A285" t="str">
            <v>0-502-174</v>
          </cell>
          <cell r="B285" t="str">
            <v>I/O_IF HARNESS</v>
          </cell>
          <cell r="C285" t="str">
            <v>NHD</v>
          </cell>
        </row>
        <row r="286">
          <cell r="A286" t="str">
            <v>0-502-175</v>
          </cell>
          <cell r="B286" t="str">
            <v>DRV POWER HARNESS</v>
          </cell>
          <cell r="C286" t="str">
            <v>NHD</v>
          </cell>
        </row>
        <row r="287">
          <cell r="A287" t="str">
            <v>0-502-176</v>
          </cell>
          <cell r="B287" t="str">
            <v>PANEL_IF HARNESS</v>
          </cell>
          <cell r="C287" t="str">
            <v>NHD</v>
          </cell>
        </row>
        <row r="288">
          <cell r="A288" t="str">
            <v>0-502-177</v>
          </cell>
          <cell r="B288" t="str">
            <v>PV HARNESS</v>
          </cell>
          <cell r="C288" t="str">
            <v>NHD</v>
          </cell>
        </row>
        <row r="289">
          <cell r="A289" t="str">
            <v>0-502-178</v>
          </cell>
          <cell r="B289" t="str">
            <v>PA HARNESS</v>
          </cell>
          <cell r="C289" t="str">
            <v>NHD</v>
          </cell>
        </row>
        <row r="290">
          <cell r="A290" t="str">
            <v>0-502-179</v>
          </cell>
          <cell r="B290" t="str">
            <v>PD HARNESS</v>
          </cell>
          <cell r="C290" t="str">
            <v>NHD</v>
          </cell>
        </row>
        <row r="291">
          <cell r="A291" t="str">
            <v>0-502-180</v>
          </cell>
          <cell r="B291" t="str">
            <v>BLD HARNESS</v>
          </cell>
          <cell r="C291" t="str">
            <v>NHD</v>
          </cell>
        </row>
        <row r="292">
          <cell r="A292" t="str">
            <v>0-502-181</v>
          </cell>
          <cell r="B292" t="str">
            <v>VALVE G1 HARNESS</v>
          </cell>
          <cell r="C292" t="str">
            <v>NHD</v>
          </cell>
        </row>
        <row r="293">
          <cell r="A293" t="str">
            <v>0-502-182</v>
          </cell>
          <cell r="B293" t="str">
            <v>VALVE G2 HARNESS</v>
          </cell>
          <cell r="C293" t="str">
            <v>NHD</v>
          </cell>
        </row>
        <row r="294">
          <cell r="A294" t="str">
            <v>0-502-183</v>
          </cell>
          <cell r="B294" t="str">
            <v>SENS HARNESS</v>
          </cell>
          <cell r="C294" t="str">
            <v>NHD</v>
          </cell>
        </row>
        <row r="295">
          <cell r="A295" t="str">
            <v>0-502-184</v>
          </cell>
          <cell r="B295" t="str">
            <v>CD1 HARNESS</v>
          </cell>
          <cell r="C295" t="str">
            <v>NHD</v>
          </cell>
        </row>
        <row r="296">
          <cell r="A296" t="str">
            <v>0-502-185</v>
          </cell>
          <cell r="B296" t="str">
            <v>SPEAKER HARNESS</v>
          </cell>
          <cell r="C296" t="str">
            <v>NHD</v>
          </cell>
        </row>
        <row r="297">
          <cell r="A297" t="str">
            <v>0-502-186</v>
          </cell>
          <cell r="B297" t="str">
            <v>LAMP HARNESS</v>
          </cell>
          <cell r="C297" t="str">
            <v>NHD</v>
          </cell>
        </row>
        <row r="298">
          <cell r="A298" t="str">
            <v>0-502-187</v>
          </cell>
          <cell r="B298" t="str">
            <v>232C HARNESS</v>
          </cell>
          <cell r="C298" t="str">
            <v>NHD</v>
          </cell>
        </row>
        <row r="299">
          <cell r="A299" t="str">
            <v>0-502-188</v>
          </cell>
          <cell r="B299" t="str">
            <v>MIXING HARNESS</v>
          </cell>
          <cell r="C299" t="str">
            <v>NHD</v>
          </cell>
        </row>
        <row r="300">
          <cell r="A300" t="str">
            <v>0-502-189</v>
          </cell>
          <cell r="B300" t="str">
            <v>LCD_IF HARNESS</v>
          </cell>
          <cell r="C300" t="str">
            <v>NHD</v>
          </cell>
        </row>
        <row r="301">
          <cell r="A301" t="str">
            <v>0-502-190</v>
          </cell>
          <cell r="B301" t="str">
            <v>INVERTER HARNESS</v>
          </cell>
          <cell r="C301" t="str">
            <v>NHD</v>
          </cell>
        </row>
        <row r="302">
          <cell r="A302" t="str">
            <v>0-502-191</v>
          </cell>
          <cell r="B302" t="str">
            <v>UFP HARNESS</v>
          </cell>
          <cell r="C302" t="str">
            <v>NHD</v>
          </cell>
        </row>
        <row r="303">
          <cell r="A303" t="str">
            <v>0-502-192</v>
          </cell>
          <cell r="B303" t="str">
            <v>P3 HARNESS</v>
          </cell>
          <cell r="C303" t="str">
            <v>NHD</v>
          </cell>
        </row>
        <row r="304">
          <cell r="A304" t="str">
            <v>0-502-193</v>
          </cell>
          <cell r="B304" t="str">
            <v>P4 HARNESS</v>
          </cell>
          <cell r="C304" t="str">
            <v>NHD</v>
          </cell>
        </row>
        <row r="305">
          <cell r="A305" t="str">
            <v>0-502-194</v>
          </cell>
          <cell r="B305" t="str">
            <v>LS2 HARNESS</v>
          </cell>
          <cell r="C305" t="str">
            <v>NHD</v>
          </cell>
        </row>
        <row r="306">
          <cell r="A306" t="str">
            <v>0-502-195</v>
          </cell>
          <cell r="B306" t="str">
            <v>FAN BH</v>
          </cell>
          <cell r="C306" t="str">
            <v>NHD</v>
          </cell>
        </row>
        <row r="307">
          <cell r="A307" t="str">
            <v>0-502-196</v>
          </cell>
          <cell r="B307" t="str">
            <v>CD2 HARNESS</v>
          </cell>
          <cell r="C307" t="str">
            <v>NHD</v>
          </cell>
        </row>
        <row r="308">
          <cell r="A308" t="str">
            <v>0-502-197</v>
          </cell>
          <cell r="B308" t="str">
            <v>BP HARNESS</v>
          </cell>
          <cell r="C308" t="str">
            <v>NHD</v>
          </cell>
        </row>
        <row r="309">
          <cell r="A309" t="str">
            <v>0-502-198</v>
          </cell>
          <cell r="B309" t="str">
            <v>BPC HARNESS</v>
          </cell>
          <cell r="C309" t="str">
            <v>NHD</v>
          </cell>
        </row>
        <row r="310">
          <cell r="A310" t="str">
            <v>0-502-199</v>
          </cell>
          <cell r="B310" t="str">
            <v>I/O IF2 HARNESS</v>
          </cell>
          <cell r="C310" t="str">
            <v>NHD</v>
          </cell>
        </row>
        <row r="311">
          <cell r="A311" t="str">
            <v>0-502-200</v>
          </cell>
          <cell r="B311" t="str">
            <v>B-POWDER HARNESS</v>
          </cell>
          <cell r="C311" t="str">
            <v>NHD</v>
          </cell>
        </row>
        <row r="312">
          <cell r="A312" t="str">
            <v>0-502-201</v>
          </cell>
          <cell r="B312" t="str">
            <v>CD3 HARNESS</v>
          </cell>
          <cell r="C312" t="str">
            <v>NHD</v>
          </cell>
        </row>
        <row r="313">
          <cell r="A313" t="str">
            <v>0-502-202</v>
          </cell>
          <cell r="B313" t="str">
            <v>V34,35 HARNESS</v>
          </cell>
          <cell r="C313" t="str">
            <v>NHD</v>
          </cell>
        </row>
        <row r="314">
          <cell r="A314" t="str">
            <v>0-502-203</v>
          </cell>
          <cell r="B314" t="str">
            <v>FS5 RELAY HARNESS</v>
          </cell>
          <cell r="C314" t="str">
            <v>NHD</v>
          </cell>
        </row>
        <row r="315">
          <cell r="A315" t="str">
            <v>0-502-204</v>
          </cell>
          <cell r="B315" t="str">
            <v>V33,FAN 3B HARNESS</v>
          </cell>
          <cell r="C315" t="str">
            <v>NHD</v>
          </cell>
        </row>
        <row r="316">
          <cell r="A316" t="str">
            <v>0-502-205</v>
          </cell>
          <cell r="B316" t="str">
            <v>FAN 3A RELAY HARNESS</v>
          </cell>
          <cell r="C316" t="str">
            <v>NHD</v>
          </cell>
        </row>
        <row r="317">
          <cell r="A317" t="str">
            <v>0-502-206</v>
          </cell>
          <cell r="B317" t="str">
            <v>FAN 3A HARNESS</v>
          </cell>
          <cell r="C317" t="str">
            <v>NHD</v>
          </cell>
        </row>
        <row r="318">
          <cell r="A318" t="str">
            <v>0-502-207</v>
          </cell>
          <cell r="B318" t="str">
            <v>FAN 3B HARNESS</v>
          </cell>
          <cell r="C318" t="str">
            <v>NHD</v>
          </cell>
        </row>
        <row r="319">
          <cell r="A319" t="str">
            <v>0-502-208</v>
          </cell>
          <cell r="B319" t="str">
            <v>TERMINAL (PTUL2-3C-2P)</v>
          </cell>
          <cell r="C319" t="str">
            <v>NHD</v>
          </cell>
        </row>
        <row r="320">
          <cell r="A320" t="str">
            <v>0-502-211</v>
          </cell>
          <cell r="B320" t="str">
            <v>NOISE SUPPRESSION CAPACITA (XYE-224102BE)</v>
          </cell>
          <cell r="C320" t="str">
            <v>NHD</v>
          </cell>
        </row>
        <row r="321">
          <cell r="A321" t="str">
            <v>0-502-212</v>
          </cell>
          <cell r="B321" t="str">
            <v>FUSE (218 06.3P)</v>
          </cell>
          <cell r="C321" t="str">
            <v>NHD</v>
          </cell>
        </row>
        <row r="322">
          <cell r="A322" t="str">
            <v>0-502-214</v>
          </cell>
          <cell r="B322" t="str">
            <v>SOLID STATE RELAY (AQN311)</v>
          </cell>
          <cell r="C322" t="str">
            <v>NHD</v>
          </cell>
        </row>
        <row r="323">
          <cell r="A323" t="str">
            <v>0-502-215</v>
          </cell>
          <cell r="B323" t="str">
            <v>SOLID STATE RELAY (AQN311)</v>
          </cell>
          <cell r="C323" t="str">
            <v>NHD</v>
          </cell>
        </row>
        <row r="324">
          <cell r="A324" t="str">
            <v>0-502-216</v>
          </cell>
          <cell r="B324" t="str">
            <v>POWER BOARD (SSM-08003)</v>
          </cell>
          <cell r="C324" t="str">
            <v>NHD</v>
          </cell>
        </row>
        <row r="325">
          <cell r="A325" t="str">
            <v>0-502-217</v>
          </cell>
          <cell r="B325" t="str">
            <v>I/O BOARD (SSM-08004)</v>
          </cell>
          <cell r="C325" t="str">
            <v>NHD</v>
          </cell>
        </row>
        <row r="326">
          <cell r="A326" t="str">
            <v>0-502-218</v>
          </cell>
          <cell r="B326" t="str">
            <v>PANEL CPU BOARD (SSM-07015)</v>
          </cell>
          <cell r="C326" t="str">
            <v>NHD</v>
          </cell>
        </row>
        <row r="327">
          <cell r="A327" t="str">
            <v>0-502-219</v>
          </cell>
          <cell r="B327" t="str">
            <v>AIR FILTER 2 (TUDC24B4S)</v>
          </cell>
          <cell r="C327" t="str">
            <v>NHD</v>
          </cell>
        </row>
        <row r="328">
          <cell r="A328" t="str">
            <v>0-502-220</v>
          </cell>
          <cell r="B328" t="str">
            <v>LITHIUM BATTERY</v>
          </cell>
          <cell r="C328" t="str">
            <v>NHD</v>
          </cell>
        </row>
        <row r="329">
          <cell r="A329" t="str">
            <v>0-502-224</v>
          </cell>
          <cell r="B329" t="str">
            <v>TUBE HOLDER</v>
          </cell>
          <cell r="C329" t="str">
            <v>NHD</v>
          </cell>
        </row>
        <row r="330">
          <cell r="A330" t="str">
            <v>0-502-225</v>
          </cell>
          <cell r="B330" t="str">
            <v>PRESSURE PORT ASSY</v>
          </cell>
          <cell r="C330" t="str">
            <v>NHD</v>
          </cell>
        </row>
        <row r="331">
          <cell r="A331" t="str">
            <v>0-502-227</v>
          </cell>
          <cell r="B331" t="str">
            <v>ROLLER CATCH</v>
          </cell>
          <cell r="C331" t="str">
            <v>NHD</v>
          </cell>
        </row>
        <row r="332">
          <cell r="A332" t="str">
            <v>0-502-235</v>
          </cell>
          <cell r="B332" t="str">
            <v>Inverter board ( TYPE I )</v>
          </cell>
          <cell r="C332" t="str">
            <v>NHD</v>
          </cell>
        </row>
        <row r="333">
          <cell r="A333" t="str">
            <v>0-502-248</v>
          </cell>
          <cell r="B333" t="str">
            <v>LEAD C</v>
          </cell>
          <cell r="C333" t="str">
            <v>NHD</v>
          </cell>
        </row>
        <row r="334">
          <cell r="A334" t="str">
            <v>0-502-249</v>
          </cell>
          <cell r="B334" t="str">
            <v>LEAD F</v>
          </cell>
          <cell r="C334" t="str">
            <v>NHD</v>
          </cell>
        </row>
        <row r="335">
          <cell r="A335" t="str">
            <v>0-502-250</v>
          </cell>
          <cell r="B335" t="str">
            <v>LEAD H</v>
          </cell>
          <cell r="C335" t="str">
            <v>NHD</v>
          </cell>
        </row>
        <row r="336">
          <cell r="A336" t="str">
            <v>0-502-251</v>
          </cell>
          <cell r="B336" t="str">
            <v>HEATER SIGNAL HARNESS 230</v>
          </cell>
          <cell r="C336" t="str">
            <v>NHD</v>
          </cell>
        </row>
        <row r="337">
          <cell r="A337" t="str">
            <v>0-502-252</v>
          </cell>
          <cell r="B337" t="str">
            <v>W POWER SOURCE HARNESS</v>
          </cell>
          <cell r="C337" t="str">
            <v>NHD</v>
          </cell>
        </row>
        <row r="338">
          <cell r="A338" t="str">
            <v>0-502-253</v>
          </cell>
          <cell r="B338" t="str">
            <v>MICRO LIMIT SW WITH SENS2 HARNESS</v>
          </cell>
          <cell r="C338" t="str">
            <v>NHD</v>
          </cell>
        </row>
        <row r="339">
          <cell r="A339" t="str">
            <v>0-502-254</v>
          </cell>
          <cell r="B339" t="str">
            <v>MICRO LIMIT SW WITH HARNESS</v>
          </cell>
          <cell r="C339" t="str">
            <v>NHD</v>
          </cell>
        </row>
        <row r="340">
          <cell r="A340" t="str">
            <v>0-502-255</v>
          </cell>
          <cell r="B340" t="str">
            <v>FAN</v>
          </cell>
          <cell r="C340" t="str">
            <v>NHD</v>
          </cell>
        </row>
        <row r="341">
          <cell r="A341" t="str">
            <v>0-502-256</v>
          </cell>
          <cell r="B341" t="str">
            <v>VALVE G1 HARNESS</v>
          </cell>
          <cell r="C341" t="str">
            <v>NHD</v>
          </cell>
        </row>
        <row r="342">
          <cell r="A342" t="str">
            <v>0-502-257</v>
          </cell>
          <cell r="B342" t="str">
            <v>VALVE G2 HARNESS</v>
          </cell>
          <cell r="C342" t="str">
            <v>NHD</v>
          </cell>
        </row>
        <row r="343">
          <cell r="A343" t="str">
            <v>0-502-258</v>
          </cell>
          <cell r="B343" t="str">
            <v>SENS HARNESS</v>
          </cell>
          <cell r="C343" t="str">
            <v>NHD</v>
          </cell>
        </row>
        <row r="344">
          <cell r="A344" t="str">
            <v>0-502-261</v>
          </cell>
          <cell r="B344" t="str">
            <v>THERMISTOR WITH T4 HARNESS</v>
          </cell>
          <cell r="C344" t="str">
            <v>NHD</v>
          </cell>
        </row>
        <row r="345">
          <cell r="A345" t="str">
            <v>0-502-262</v>
          </cell>
          <cell r="B345" t="str">
            <v>SPEAKER</v>
          </cell>
          <cell r="C345" t="str">
            <v>NHD</v>
          </cell>
        </row>
        <row r="346">
          <cell r="A346" t="str">
            <v>0-502-263</v>
          </cell>
          <cell r="B346" t="str">
            <v>INVERTER HARNESS</v>
          </cell>
          <cell r="C346" t="str">
            <v>NHD</v>
          </cell>
        </row>
        <row r="347">
          <cell r="A347" t="str">
            <v>0-502-264</v>
          </cell>
          <cell r="B347" t="str">
            <v>P3 HARNESS</v>
          </cell>
          <cell r="C347" t="str">
            <v>NHD</v>
          </cell>
        </row>
        <row r="348">
          <cell r="A348" t="str">
            <v>0-502-265</v>
          </cell>
          <cell r="B348" t="str">
            <v>P4 HARNESS</v>
          </cell>
          <cell r="C348" t="str">
            <v>NHD</v>
          </cell>
        </row>
        <row r="349">
          <cell r="A349" t="str">
            <v>0-502-266</v>
          </cell>
          <cell r="B349" t="str">
            <v>B POWDER HARNESS</v>
          </cell>
          <cell r="C349" t="str">
            <v>NHD</v>
          </cell>
        </row>
        <row r="350">
          <cell r="A350" t="str">
            <v>0-502-267</v>
          </cell>
          <cell r="B350" t="str">
            <v>CD3 HARNESS</v>
          </cell>
          <cell r="C350" t="str">
            <v>NHD</v>
          </cell>
        </row>
        <row r="351">
          <cell r="A351" t="str">
            <v>0-502-268</v>
          </cell>
          <cell r="B351" t="str">
            <v>THERMISTOR WITH T6 HARNESS</v>
          </cell>
          <cell r="C351" t="str">
            <v>NHD</v>
          </cell>
        </row>
        <row r="352">
          <cell r="A352" t="str">
            <v>0-502-269</v>
          </cell>
          <cell r="B352" t="str">
            <v>V33,FAN3b HARNESS</v>
          </cell>
          <cell r="C352" t="str">
            <v>NHD</v>
          </cell>
        </row>
        <row r="353">
          <cell r="A353" t="str">
            <v>0-502-270</v>
          </cell>
          <cell r="B353" t="str">
            <v>FAN3A REPEATER HARNESS</v>
          </cell>
          <cell r="C353" t="str">
            <v>NHD</v>
          </cell>
        </row>
        <row r="354">
          <cell r="A354" t="str">
            <v>0-502-272</v>
          </cell>
          <cell r="B354" t="str">
            <v>FAN</v>
          </cell>
          <cell r="C354" t="str">
            <v>NHD</v>
          </cell>
        </row>
        <row r="355">
          <cell r="A355" t="str">
            <v>0-502-275</v>
          </cell>
          <cell r="B355" t="str">
            <v>CENTRAL HARNESS</v>
          </cell>
          <cell r="C355" t="str">
            <v>NHD</v>
          </cell>
        </row>
        <row r="356">
          <cell r="A356" t="str">
            <v>0-502-276</v>
          </cell>
          <cell r="B356" t="str">
            <v>PROTECT VALVE HARNESS</v>
          </cell>
          <cell r="C356" t="str">
            <v>NHD</v>
          </cell>
        </row>
        <row r="357">
          <cell r="A357" t="str">
            <v>0-502-277</v>
          </cell>
          <cell r="B357" t="str">
            <v>PROXIMITY SENSOR</v>
          </cell>
          <cell r="C357" t="str">
            <v>NHD</v>
          </cell>
        </row>
        <row r="358">
          <cell r="A358" t="str">
            <v>0-502-278</v>
          </cell>
          <cell r="B358" t="str">
            <v>LS7B REPEATER HARNESS</v>
          </cell>
          <cell r="C358" t="str">
            <v>NHD</v>
          </cell>
        </row>
        <row r="359">
          <cell r="A359" t="str">
            <v>0-502-279</v>
          </cell>
          <cell r="B359" t="str">
            <v>PROXIMITY SENSOR</v>
          </cell>
          <cell r="C359" t="str">
            <v>NHD</v>
          </cell>
        </row>
        <row r="360">
          <cell r="A360" t="str">
            <v>0-502-282</v>
          </cell>
          <cell r="B360" t="str">
            <v>CLV-LED REPEATER HARNESS</v>
          </cell>
          <cell r="C360" t="str">
            <v>NHD</v>
          </cell>
        </row>
        <row r="361">
          <cell r="A361" t="str">
            <v>0-502-283</v>
          </cell>
          <cell r="B361" t="str">
            <v>LAN POWER HARNESS</v>
          </cell>
          <cell r="C361" t="str">
            <v>NHD</v>
          </cell>
        </row>
        <row r="362">
          <cell r="A362" t="str">
            <v>0-502-284</v>
          </cell>
          <cell r="B362" t="str">
            <v>LAN COMMUNICATION HARNESS</v>
          </cell>
          <cell r="C362" t="str">
            <v>NHD</v>
          </cell>
        </row>
        <row r="363">
          <cell r="A363" t="str">
            <v>0-502-285</v>
          </cell>
          <cell r="B363" t="str">
            <v>LAN CONNECTER HARNESS</v>
          </cell>
          <cell r="C363" t="str">
            <v>NHD</v>
          </cell>
        </row>
        <row r="364">
          <cell r="A364" t="str">
            <v>0-502-289</v>
          </cell>
          <cell r="B364" t="str">
            <v>RELAY</v>
          </cell>
          <cell r="C364" t="str">
            <v>NHD</v>
          </cell>
        </row>
        <row r="365">
          <cell r="A365" t="str">
            <v>0-502-290</v>
          </cell>
          <cell r="B365" t="str">
            <v>I/O BOARD</v>
          </cell>
          <cell r="C365" t="str">
            <v>NHD</v>
          </cell>
        </row>
        <row r="366">
          <cell r="A366" t="str">
            <v>0-502-291</v>
          </cell>
          <cell r="B366" t="str">
            <v>LAN MODULE BOARD</v>
          </cell>
          <cell r="C366" t="str">
            <v>NHD</v>
          </cell>
        </row>
        <row r="367">
          <cell r="A367" t="str">
            <v>0-502-292</v>
          </cell>
          <cell r="B367" t="str">
            <v>Whole Operation part</v>
          </cell>
          <cell r="C367" t="str">
            <v>NHD</v>
          </cell>
        </row>
        <row r="368">
          <cell r="A368" t="str">
            <v>0-502-293</v>
          </cell>
          <cell r="B368" t="str">
            <v>System knob</v>
          </cell>
          <cell r="C368" t="str">
            <v>NHD</v>
          </cell>
        </row>
        <row r="369">
          <cell r="A369" t="str">
            <v>0-502-294</v>
          </cell>
          <cell r="B369" t="str">
            <v>Cap</v>
          </cell>
          <cell r="C369" t="str">
            <v>NHD</v>
          </cell>
        </row>
        <row r="370">
          <cell r="A370" t="str">
            <v>0-502-295</v>
          </cell>
          <cell r="B370" t="str">
            <v>Front cover of operation part</v>
          </cell>
          <cell r="C370" t="str">
            <v>NHD</v>
          </cell>
        </row>
        <row r="371">
          <cell r="A371" t="str">
            <v>0-502-296</v>
          </cell>
          <cell r="B371" t="str">
            <v>POWER SOURCE CABLE WITH 3P-PLUG</v>
          </cell>
          <cell r="C371" t="str">
            <v>NHD</v>
          </cell>
        </row>
        <row r="372">
          <cell r="A372" t="str">
            <v>0-502-309</v>
          </cell>
          <cell r="B372" t="str">
            <v>LIGHT INDICATOR</v>
          </cell>
          <cell r="C372" t="str">
            <v>NHD</v>
          </cell>
        </row>
        <row r="373">
          <cell r="A373" t="str">
            <v>0-502-310</v>
          </cell>
          <cell r="B373" t="str">
            <v>CPU BOARD NEW TYPE</v>
          </cell>
          <cell r="C373" t="str">
            <v>NHD</v>
          </cell>
        </row>
        <row r="374">
          <cell r="A374" t="str">
            <v>0-502-311</v>
          </cell>
          <cell r="B374" t="str">
            <v>LCD ASSY TYPE II</v>
          </cell>
          <cell r="C374" t="str">
            <v>NHD</v>
          </cell>
        </row>
        <row r="375">
          <cell r="A375" t="str">
            <v>0-502-312</v>
          </cell>
          <cell r="B375" t="str">
            <v>DC/DC converter board ( TYPE II )</v>
          </cell>
          <cell r="C375" t="str">
            <v>NHD</v>
          </cell>
        </row>
        <row r="376">
          <cell r="A376" t="str">
            <v>0-502-313</v>
          </cell>
          <cell r="B376" t="str">
            <v>BACK LIGHT HARNESS1(CN1)</v>
          </cell>
          <cell r="C376" t="str">
            <v>NHD</v>
          </cell>
        </row>
        <row r="377">
          <cell r="A377" t="str">
            <v>0-502-314</v>
          </cell>
          <cell r="B377" t="str">
            <v>BACK LIGHT HARNESS2(CN3)</v>
          </cell>
          <cell r="C377" t="str">
            <v>NHD</v>
          </cell>
        </row>
        <row r="378">
          <cell r="A378" t="str">
            <v>0-502-318</v>
          </cell>
          <cell r="B378" t="str">
            <v>FAN</v>
          </cell>
          <cell r="C378" t="str">
            <v>NHD</v>
          </cell>
        </row>
        <row r="379">
          <cell r="A379" t="str">
            <v>0-502-320</v>
          </cell>
          <cell r="B379" t="str">
            <v>COUPLER SWITCH ASSY</v>
          </cell>
          <cell r="C379" t="str">
            <v>NHD</v>
          </cell>
        </row>
        <row r="380">
          <cell r="A380" t="str">
            <v>0-502-322</v>
          </cell>
          <cell r="B380" t="str">
            <v>PUMP HARNESS</v>
          </cell>
          <cell r="C380" t="str">
            <v>NHD</v>
          </cell>
        </row>
        <row r="381">
          <cell r="A381" t="str">
            <v>0-502-323</v>
          </cell>
          <cell r="B381" t="str">
            <v>SSR (TYPE 2)</v>
          </cell>
          <cell r="C381" t="str">
            <v>NHD</v>
          </cell>
        </row>
        <row r="382">
          <cell r="A382" t="str">
            <v>0-502-325</v>
          </cell>
          <cell r="B382" t="str">
            <v>CPU BOARD</v>
          </cell>
          <cell r="C382" t="str">
            <v>NHD</v>
          </cell>
        </row>
        <row r="383">
          <cell r="A383" t="str">
            <v>0-502-326</v>
          </cell>
          <cell r="B383" t="str">
            <v>POWER BOARD SSM-17005 TYPE II</v>
          </cell>
          <cell r="C383" t="str">
            <v>NHD</v>
          </cell>
        </row>
        <row r="384">
          <cell r="A384" t="str">
            <v>0-502-327</v>
          </cell>
          <cell r="B384" t="str">
            <v>I/O BOARD (TYPE 2)</v>
          </cell>
          <cell r="C384" t="str">
            <v>NHD</v>
          </cell>
        </row>
        <row r="385">
          <cell r="A385" t="str">
            <v>0-504-002</v>
          </cell>
          <cell r="B385" t="str">
            <v>SENSOR HOLDER</v>
          </cell>
          <cell r="C385" t="str">
            <v>NHD</v>
          </cell>
        </row>
        <row r="386">
          <cell r="A386" t="str">
            <v>0-504-006</v>
          </cell>
          <cell r="B386" t="str">
            <v>O RING P4</v>
          </cell>
          <cell r="C386" t="str">
            <v>NHD</v>
          </cell>
        </row>
        <row r="387">
          <cell r="A387" t="str">
            <v>0-504-007</v>
          </cell>
          <cell r="B387" t="str">
            <v>COLLAR</v>
          </cell>
          <cell r="C387" t="str">
            <v>NHD</v>
          </cell>
        </row>
        <row r="388">
          <cell r="A388" t="str">
            <v>0-504-022</v>
          </cell>
          <cell r="B388" t="str">
            <v>SENSOR HOLDER</v>
          </cell>
          <cell r="C388" t="str">
            <v>NHD</v>
          </cell>
        </row>
        <row r="389">
          <cell r="A389" t="str">
            <v>0-504-024</v>
          </cell>
          <cell r="B389" t="str">
            <v>DIALYSATE PRESSURE SENSOR ASSY (PD02)</v>
          </cell>
          <cell r="C389" t="str">
            <v>NHD</v>
          </cell>
        </row>
        <row r="390">
          <cell r="A390" t="str">
            <v>0-504-025</v>
          </cell>
          <cell r="B390" t="str">
            <v>Manifold</v>
          </cell>
          <cell r="C390" t="str">
            <v>NHD</v>
          </cell>
        </row>
        <row r="391">
          <cell r="A391" t="str">
            <v>0-504-026</v>
          </cell>
          <cell r="B391" t="str">
            <v>O-RING</v>
          </cell>
          <cell r="C391" t="str">
            <v>NHD</v>
          </cell>
        </row>
        <row r="392">
          <cell r="A392" t="str">
            <v>0-504-034</v>
          </cell>
          <cell r="B392" t="str">
            <v>CARTRIDGE</v>
          </cell>
          <cell r="C392" t="str">
            <v>NHD</v>
          </cell>
        </row>
        <row r="393">
          <cell r="A393" t="str">
            <v>0-504-035</v>
          </cell>
          <cell r="B393" t="str">
            <v>HEPARIN PUMP (HP)</v>
          </cell>
          <cell r="C393" t="str">
            <v>NHD</v>
          </cell>
        </row>
        <row r="394">
          <cell r="A394" t="str">
            <v>0-504-042</v>
          </cell>
          <cell r="B394" t="str">
            <v>HARNESS HOLDER B</v>
          </cell>
          <cell r="C394" t="str">
            <v>NHD</v>
          </cell>
        </row>
        <row r="395">
          <cell r="A395" t="str">
            <v>0-504-045</v>
          </cell>
          <cell r="B395" t="str">
            <v>MICRO LIMIT SW</v>
          </cell>
          <cell r="C395" t="str">
            <v>NHD</v>
          </cell>
        </row>
        <row r="396">
          <cell r="A396" t="str">
            <v>0-504-051</v>
          </cell>
          <cell r="B396" t="str">
            <v>COMPRESSED OIL SPRING</v>
          </cell>
          <cell r="C396" t="str">
            <v>NHD</v>
          </cell>
        </row>
        <row r="397">
          <cell r="A397" t="str">
            <v>0-504-062</v>
          </cell>
          <cell r="B397" t="str">
            <v>TIMING PULLEY</v>
          </cell>
          <cell r="C397" t="str">
            <v>NHD</v>
          </cell>
        </row>
        <row r="398">
          <cell r="A398" t="str">
            <v>0-504-063</v>
          </cell>
          <cell r="B398" t="str">
            <v>TIMING PULLEY</v>
          </cell>
          <cell r="C398" t="str">
            <v>NHD</v>
          </cell>
        </row>
        <row r="399">
          <cell r="A399" t="str">
            <v>0-504-071</v>
          </cell>
          <cell r="B399" t="str">
            <v>CLUTCH SPRING</v>
          </cell>
          <cell r="C399" t="str">
            <v>NHD</v>
          </cell>
        </row>
        <row r="400">
          <cell r="A400" t="str">
            <v>0-504-075</v>
          </cell>
          <cell r="B400" t="str">
            <v>DOG</v>
          </cell>
          <cell r="C400" t="str">
            <v>NHD</v>
          </cell>
        </row>
        <row r="401">
          <cell r="A401" t="str">
            <v>0-504-076</v>
          </cell>
          <cell r="B401" t="str">
            <v>Bearing</v>
          </cell>
          <cell r="C401" t="str">
            <v>NHD</v>
          </cell>
        </row>
        <row r="402">
          <cell r="A402" t="str">
            <v>0-504-083</v>
          </cell>
          <cell r="B402" t="str">
            <v>Lever</v>
          </cell>
          <cell r="C402" t="str">
            <v>NHD</v>
          </cell>
        </row>
        <row r="403">
          <cell r="A403" t="str">
            <v>0-504-084</v>
          </cell>
          <cell r="B403" t="str">
            <v>O L Spring</v>
          </cell>
          <cell r="C403" t="str">
            <v>NHD</v>
          </cell>
        </row>
        <row r="404">
          <cell r="A404" t="str">
            <v>0-504-094</v>
          </cell>
          <cell r="B404" t="str">
            <v>Solenoid</v>
          </cell>
          <cell r="C404" t="str">
            <v>NHD</v>
          </cell>
        </row>
        <row r="405">
          <cell r="A405" t="str">
            <v>0-504-095</v>
          </cell>
          <cell r="B405" t="str">
            <v>Solenoid BKT</v>
          </cell>
          <cell r="C405" t="str">
            <v>NHD</v>
          </cell>
        </row>
        <row r="406">
          <cell r="A406" t="str">
            <v>0-504-100</v>
          </cell>
          <cell r="B406" t="str">
            <v>Sensor BKT</v>
          </cell>
          <cell r="C406" t="str">
            <v>NHD</v>
          </cell>
        </row>
        <row r="407">
          <cell r="A407" t="str">
            <v>0-504-101</v>
          </cell>
          <cell r="B407" t="str">
            <v>MICRO LIMIT SW</v>
          </cell>
          <cell r="C407" t="str">
            <v>NHD</v>
          </cell>
        </row>
        <row r="408">
          <cell r="A408" t="str">
            <v>0-504-108</v>
          </cell>
          <cell r="B408" t="str">
            <v>Head</v>
          </cell>
          <cell r="C408" t="str">
            <v>NHD</v>
          </cell>
        </row>
        <row r="409">
          <cell r="A409" t="str">
            <v>0-504-109</v>
          </cell>
          <cell r="B409" t="str">
            <v>Flange bush</v>
          </cell>
          <cell r="C409" t="str">
            <v>NHD</v>
          </cell>
        </row>
        <row r="410">
          <cell r="A410" t="str">
            <v>0-504-116</v>
          </cell>
          <cell r="B410" t="str">
            <v>FS Assy Type A</v>
          </cell>
          <cell r="C410" t="str">
            <v>NHD</v>
          </cell>
        </row>
        <row r="411">
          <cell r="A411" t="str">
            <v>0-504-133</v>
          </cell>
          <cell r="B411" t="str">
            <v>Flow Sensor Assy (FS 2/4)</v>
          </cell>
          <cell r="C411" t="str">
            <v>NHD</v>
          </cell>
        </row>
        <row r="412">
          <cell r="A412" t="str">
            <v>0-504-155</v>
          </cell>
          <cell r="B412" t="str">
            <v>Air Bubble Detector Assy Type 1 (BH)</v>
          </cell>
          <cell r="C412" t="str">
            <v>NHD</v>
          </cell>
        </row>
        <row r="413">
          <cell r="A413" t="str">
            <v>0-504-156</v>
          </cell>
          <cell r="B413" t="str">
            <v>CONDUCTIVITY SENSOR ASSY CD1 SAS -08027</v>
          </cell>
          <cell r="C413" t="str">
            <v>NHD</v>
          </cell>
        </row>
        <row r="414">
          <cell r="A414" t="str">
            <v>0-504-157</v>
          </cell>
          <cell r="B414" t="str">
            <v>CONDUCTIVITY SENSOR ASSY CD 2</v>
          </cell>
          <cell r="C414" t="str">
            <v>NHD</v>
          </cell>
        </row>
        <row r="415">
          <cell r="A415" t="str">
            <v>0-504-158</v>
          </cell>
          <cell r="B415" t="str">
            <v>CONDUCTIVITY SENSOR ASSY CD3</v>
          </cell>
          <cell r="C415" t="str">
            <v>NHD</v>
          </cell>
        </row>
        <row r="416">
          <cell r="A416" t="str">
            <v>0-504-159</v>
          </cell>
          <cell r="B416" t="str">
            <v>T4 HARNESS</v>
          </cell>
          <cell r="C416" t="str">
            <v>NHD</v>
          </cell>
        </row>
        <row r="417">
          <cell r="A417" t="str">
            <v>0-504-160</v>
          </cell>
          <cell r="B417" t="str">
            <v>THERMISTOR WITH T5 HARNESS</v>
          </cell>
          <cell r="C417" t="str">
            <v>NHD</v>
          </cell>
        </row>
        <row r="418">
          <cell r="A418" t="str">
            <v>0-504-161</v>
          </cell>
          <cell r="B418" t="str">
            <v>CONDUCTIVITY SENSOR ASSY (CD1) SAS-08030</v>
          </cell>
          <cell r="C418" t="str">
            <v>NHD</v>
          </cell>
        </row>
        <row r="419">
          <cell r="A419" t="str">
            <v>0-504-162</v>
          </cell>
          <cell r="B419" t="str">
            <v>CONDUCTIVITY SENSOR ASSY (CD2) SAS-08031</v>
          </cell>
          <cell r="C419" t="str">
            <v>NHD</v>
          </cell>
        </row>
        <row r="420">
          <cell r="A420" t="str">
            <v>0-504-163</v>
          </cell>
          <cell r="B420" t="str">
            <v>CONDUCTIVITY SENSOR ASSY (CD3) SAS-08032</v>
          </cell>
          <cell r="C420" t="str">
            <v>NHD</v>
          </cell>
        </row>
        <row r="421">
          <cell r="A421" t="str">
            <v>0-504-164</v>
          </cell>
          <cell r="B421" t="str">
            <v>SENSOR HOLDER</v>
          </cell>
          <cell r="C421" t="str">
            <v>NHD</v>
          </cell>
        </row>
        <row r="422">
          <cell r="A422" t="str">
            <v>0-504-166</v>
          </cell>
          <cell r="B422" t="str">
            <v>NUT PLATE</v>
          </cell>
          <cell r="C422" t="str">
            <v>NHD</v>
          </cell>
        </row>
        <row r="423">
          <cell r="A423" t="str">
            <v>0-504-167</v>
          </cell>
          <cell r="B423" t="str">
            <v>T4 HARNESS</v>
          </cell>
          <cell r="C423" t="str">
            <v>NHD</v>
          </cell>
        </row>
        <row r="424">
          <cell r="A424" t="str">
            <v>0-504-168</v>
          </cell>
          <cell r="B424" t="str">
            <v>T5 HARNESS</v>
          </cell>
          <cell r="C424" t="str">
            <v>NHD</v>
          </cell>
        </row>
        <row r="425">
          <cell r="A425" t="str">
            <v>0-504-169</v>
          </cell>
          <cell r="B425" t="str">
            <v>T6 HARNESS</v>
          </cell>
          <cell r="C425" t="str">
            <v>NHD</v>
          </cell>
        </row>
        <row r="426">
          <cell r="A426" t="str">
            <v>0-504-170</v>
          </cell>
          <cell r="B426" t="str">
            <v>TEMPERATURE SENSOR ASSY T1</v>
          </cell>
          <cell r="C426" t="str">
            <v>NHD</v>
          </cell>
        </row>
        <row r="427">
          <cell r="A427" t="str">
            <v>0-504-171</v>
          </cell>
          <cell r="B427" t="str">
            <v>TEMPERATURE SENSOR ASSY T2</v>
          </cell>
          <cell r="C427" t="str">
            <v>NHD</v>
          </cell>
        </row>
        <row r="428">
          <cell r="A428" t="str">
            <v>0-504-172</v>
          </cell>
          <cell r="B428" t="str">
            <v>TEMPERATURE SENSOR ASSY T3</v>
          </cell>
          <cell r="C428" t="str">
            <v>NHD</v>
          </cell>
        </row>
        <row r="429">
          <cell r="A429" t="str">
            <v>0-504-173</v>
          </cell>
          <cell r="B429" t="str">
            <v>TEMPERATURE SENSOR ASSY T7</v>
          </cell>
          <cell r="C429" t="str">
            <v>NHD</v>
          </cell>
        </row>
        <row r="430">
          <cell r="A430" t="str">
            <v>0-504-174</v>
          </cell>
          <cell r="B430" t="str">
            <v>T1 HARNESS</v>
          </cell>
          <cell r="C430" t="str">
            <v>NHD</v>
          </cell>
        </row>
        <row r="431">
          <cell r="A431" t="str">
            <v>0-504-175</v>
          </cell>
          <cell r="B431" t="str">
            <v>THERMISTOR WITH T2 HARNESS</v>
          </cell>
          <cell r="C431" t="str">
            <v>NHD</v>
          </cell>
        </row>
        <row r="432">
          <cell r="A432" t="str">
            <v>0-504-176</v>
          </cell>
          <cell r="B432" t="str">
            <v>T3 HARNESS</v>
          </cell>
          <cell r="C432" t="str">
            <v>NHD</v>
          </cell>
        </row>
        <row r="433">
          <cell r="A433" t="str">
            <v>0-504-177</v>
          </cell>
          <cell r="B433" t="str">
            <v>THERMISTOR WITH T7 HARNESS</v>
          </cell>
          <cell r="C433" t="str">
            <v>NHD</v>
          </cell>
        </row>
        <row r="434">
          <cell r="A434" t="str">
            <v>0-504-178</v>
          </cell>
          <cell r="B434" t="str">
            <v>HOUSING ASSY</v>
          </cell>
          <cell r="C434" t="str">
            <v>NHD</v>
          </cell>
        </row>
        <row r="435">
          <cell r="A435" t="str">
            <v>0-504-179</v>
          </cell>
          <cell r="B435" t="str">
            <v>ROTOR ASSY</v>
          </cell>
          <cell r="C435" t="str">
            <v>NHD</v>
          </cell>
        </row>
        <row r="436">
          <cell r="A436" t="str">
            <v>0-504-180</v>
          </cell>
          <cell r="B436" t="str">
            <v>Screw</v>
          </cell>
          <cell r="C436" t="str">
            <v>NHD</v>
          </cell>
        </row>
        <row r="437">
          <cell r="A437" t="str">
            <v>0-504-187</v>
          </cell>
          <cell r="B437" t="str">
            <v>Level Sensor FS5</v>
          </cell>
          <cell r="C437" t="str">
            <v>NHD</v>
          </cell>
        </row>
        <row r="438">
          <cell r="A438" t="str">
            <v>0-504-190</v>
          </cell>
          <cell r="B438" t="str">
            <v>BP COVER ASSY</v>
          </cell>
          <cell r="C438" t="str">
            <v>NHD</v>
          </cell>
        </row>
        <row r="439">
          <cell r="A439" t="str">
            <v>0-504-191</v>
          </cell>
          <cell r="B439" t="str">
            <v>MOTOR</v>
          </cell>
          <cell r="C439" t="str">
            <v>NHD</v>
          </cell>
        </row>
        <row r="440">
          <cell r="A440" t="str">
            <v>0-504-195</v>
          </cell>
          <cell r="B440" t="str">
            <v>FAN 2 HARNESS</v>
          </cell>
          <cell r="C440" t="str">
            <v>NHD</v>
          </cell>
        </row>
        <row r="441">
          <cell r="A441" t="str">
            <v>0-504-200</v>
          </cell>
          <cell r="B441" t="str">
            <v>BLOOD PUMP ASSY MRP22-011</v>
          </cell>
          <cell r="C441" t="str">
            <v>NHD</v>
          </cell>
        </row>
        <row r="442">
          <cell r="A442" t="str">
            <v>0-504-201</v>
          </cell>
          <cell r="B442" t="str">
            <v>PHOTO SENSOR</v>
          </cell>
          <cell r="C442" t="str">
            <v>NHD</v>
          </cell>
        </row>
        <row r="443">
          <cell r="A443" t="str">
            <v>0-504-209</v>
          </cell>
          <cell r="B443" t="str">
            <v>THERMISTOR WITH T1 HARNESS</v>
          </cell>
          <cell r="C443" t="str">
            <v>NHD</v>
          </cell>
        </row>
        <row r="444">
          <cell r="A444" t="str">
            <v>0-504-210</v>
          </cell>
          <cell r="B444" t="str">
            <v>THERMISTOR WITH T3 HARNESS</v>
          </cell>
          <cell r="C444" t="str">
            <v>NHD</v>
          </cell>
        </row>
        <row r="445">
          <cell r="A445" t="str">
            <v>0-504-213</v>
          </cell>
          <cell r="B445" t="str">
            <v>FS bracket</v>
          </cell>
          <cell r="C445" t="str">
            <v>NHD</v>
          </cell>
        </row>
        <row r="446">
          <cell r="A446" t="str">
            <v>0-504-215</v>
          </cell>
          <cell r="B446" t="str">
            <v>BLOOD PUMP ASSY (BP)</v>
          </cell>
          <cell r="C446" t="str">
            <v>NHD</v>
          </cell>
        </row>
        <row r="447">
          <cell r="A447" t="str">
            <v>0-504-221</v>
          </cell>
          <cell r="B447" t="str">
            <v>BLOOD SENSOR ASSY</v>
          </cell>
          <cell r="C447" t="str">
            <v>NHD</v>
          </cell>
        </row>
        <row r="448">
          <cell r="A448" t="str">
            <v>0-504-222</v>
          </cell>
          <cell r="B448" t="str">
            <v>CLAMP BOX</v>
          </cell>
          <cell r="C448" t="str">
            <v>NHD</v>
          </cell>
        </row>
        <row r="449">
          <cell r="A449" t="str">
            <v>0-504-226</v>
          </cell>
          <cell r="B449" t="str">
            <v>CLAMP BOX TYPE III</v>
          </cell>
          <cell r="C449" t="str">
            <v>NHD</v>
          </cell>
        </row>
        <row r="450">
          <cell r="A450" t="str">
            <v>0-505-001</v>
          </cell>
          <cell r="B450" t="str">
            <v>FAN FILTER 80 (FAN2,FAN3a)</v>
          </cell>
          <cell r="C450" t="str">
            <v>NHD</v>
          </cell>
        </row>
        <row r="451">
          <cell r="A451" t="str">
            <v>0-505-002</v>
          </cell>
          <cell r="B451" t="str">
            <v>AIR FILTER FLM8</v>
          </cell>
          <cell r="C451" t="str">
            <v>NHD</v>
          </cell>
        </row>
        <row r="452">
          <cell r="A452" t="str">
            <v>-0-505-009</v>
          </cell>
          <cell r="B452" t="str">
            <v>POWER SW</v>
          </cell>
          <cell r="C452" t="str">
            <v>NHD</v>
          </cell>
        </row>
        <row r="453">
          <cell r="A453" t="str">
            <v>0-505-009</v>
          </cell>
          <cell r="B453" t="str">
            <v>POWER SW</v>
          </cell>
          <cell r="C453" t="str">
            <v>NHD</v>
          </cell>
        </row>
        <row r="454">
          <cell r="A454" t="str">
            <v>0-505-024</v>
          </cell>
          <cell r="B454" t="str">
            <v>Electrical Upgrade Kit Surdial 55</v>
          </cell>
          <cell r="C454" t="str">
            <v>NHD</v>
          </cell>
        </row>
        <row r="455">
          <cell r="A455" t="str">
            <v>0-505-025</v>
          </cell>
          <cell r="B455" t="str">
            <v>ELECTRIC UPGRADE KIT</v>
          </cell>
          <cell r="C455" t="str">
            <v>NHD</v>
          </cell>
        </row>
        <row r="456">
          <cell r="A456" t="str">
            <v>0-505-030</v>
          </cell>
          <cell r="B456" t="str">
            <v>Panel bracket C</v>
          </cell>
          <cell r="C456" t="str">
            <v>NHD</v>
          </cell>
        </row>
        <row r="457">
          <cell r="A457" t="str">
            <v>0-506-001</v>
          </cell>
          <cell r="B457" t="str">
            <v>RESISTANCE SWITCH BOX (FOR TEMPERATURE SENSOR)</v>
          </cell>
          <cell r="C457" t="str">
            <v>NHD</v>
          </cell>
        </row>
        <row r="458">
          <cell r="A458" t="str">
            <v>0-506-002</v>
          </cell>
          <cell r="B458" t="str">
            <v>CF MEMORY READWRITER (ELECOM)</v>
          </cell>
          <cell r="C458" t="str">
            <v>NHD</v>
          </cell>
        </row>
        <row r="459">
          <cell r="A459" t="str">
            <v>0-506-003</v>
          </cell>
          <cell r="B459" t="str">
            <v>CF MEMORY (I/O DATA 256MB)</v>
          </cell>
          <cell r="C459" t="str">
            <v>NHD</v>
          </cell>
        </row>
        <row r="460">
          <cell r="A460" t="str">
            <v>0-506-007</v>
          </cell>
          <cell r="B460" t="str">
            <v>RESISTANCE SWITCH BOX (FOR CONDUCTIVITY SENSOR)</v>
          </cell>
          <cell r="C460" t="str">
            <v>NHD</v>
          </cell>
        </row>
        <row r="461">
          <cell r="A461" t="str">
            <v>0-506-009</v>
          </cell>
          <cell r="B461" t="str">
            <v>PERIODICAL MAINTENANCE KIT (EVERY 1 YEAR)</v>
          </cell>
          <cell r="C461" t="str">
            <v>NHD</v>
          </cell>
        </row>
        <row r="462">
          <cell r="A462" t="str">
            <v>0-506-010</v>
          </cell>
          <cell r="B462" t="str">
            <v>PERIODICAL MAINTENANCE KIT (EVERY 2 YEAR)</v>
          </cell>
          <cell r="C462" t="str">
            <v>NHD</v>
          </cell>
        </row>
        <row r="463">
          <cell r="A463" t="str">
            <v>0-506-011</v>
          </cell>
          <cell r="B463" t="str">
            <v>PERIODICAL MAINTENANCE KIT (EVERY 4 YEAR)</v>
          </cell>
          <cell r="C463" t="str">
            <v>NHD</v>
          </cell>
        </row>
        <row r="464">
          <cell r="A464" t="str">
            <v>0-506-012</v>
          </cell>
          <cell r="B464" t="str">
            <v>PERIODICAL MAINTENANCE KIT (EVERY 1 YEAR)</v>
          </cell>
          <cell r="C464" t="str">
            <v>NHD</v>
          </cell>
        </row>
        <row r="465">
          <cell r="A465" t="str">
            <v>0-506-013</v>
          </cell>
          <cell r="B465" t="str">
            <v>PERIODICAL MAINTENANCE KIT (EVERY 2 YEAR)</v>
          </cell>
          <cell r="C465" t="str">
            <v>NHD</v>
          </cell>
        </row>
        <row r="466">
          <cell r="A466" t="str">
            <v>0-506-014</v>
          </cell>
          <cell r="B466" t="str">
            <v>PERIODICAL MAINTENANCE KIT (EVERY 4 YEAR)</v>
          </cell>
          <cell r="C466" t="str">
            <v>NHD</v>
          </cell>
        </row>
        <row r="467">
          <cell r="A467" t="str">
            <v>0-506-015</v>
          </cell>
          <cell r="B467" t="str">
            <v>PERIODICAL MAINTENANCE KIT (EVERY 1 YEAR)</v>
          </cell>
          <cell r="C467" t="str">
            <v>NHD</v>
          </cell>
        </row>
        <row r="468">
          <cell r="A468" t="str">
            <v>0-506-016</v>
          </cell>
          <cell r="B468" t="str">
            <v>PERIODICAL MAINTENANCE KIT (EVERY 2 YEAR)</v>
          </cell>
          <cell r="C468" t="str">
            <v>NHD</v>
          </cell>
        </row>
        <row r="469">
          <cell r="A469" t="str">
            <v>0-506-017</v>
          </cell>
          <cell r="B469" t="str">
            <v>PERIODICAL MAINTENANCE KIT (EVERY 4 YEAR)</v>
          </cell>
          <cell r="C469" t="str">
            <v>NHD</v>
          </cell>
        </row>
        <row r="470">
          <cell r="A470" t="str">
            <v>0-506-018</v>
          </cell>
          <cell r="B470" t="str">
            <v>PERIODICAL MAINTENANCE KIT (EVERY 1 YEAR)</v>
          </cell>
          <cell r="C470" t="str">
            <v>NHD</v>
          </cell>
        </row>
        <row r="471">
          <cell r="A471" t="str">
            <v>0-506-019</v>
          </cell>
          <cell r="B471" t="str">
            <v>PERIODICAL MAINTENANCE KIT (EVERY 2 YEAR)</v>
          </cell>
          <cell r="C471" t="str">
            <v>NHD</v>
          </cell>
        </row>
        <row r="472">
          <cell r="A472" t="str">
            <v>0-506-020</v>
          </cell>
          <cell r="B472" t="str">
            <v>PERIODICAL MAINTENANCE KIT (EVERY 4 YEAR)</v>
          </cell>
          <cell r="C472" t="str">
            <v>NHD</v>
          </cell>
        </row>
        <row r="473">
          <cell r="A473" t="str">
            <v>0-506-021</v>
          </cell>
          <cell r="B473" t="str">
            <v>FLOW METER (RYUKI FLO-PL-4D3P)</v>
          </cell>
          <cell r="C473" t="str">
            <v>NHD</v>
          </cell>
        </row>
        <row r="474">
          <cell r="A474" t="str">
            <v>0-506-022</v>
          </cell>
          <cell r="B474" t="str">
            <v>CIRCUIT TESTER (FLUKE 87V)</v>
          </cell>
          <cell r="C474" t="str">
            <v>NHD</v>
          </cell>
        </row>
        <row r="475">
          <cell r="A475" t="str">
            <v>0-506-023</v>
          </cell>
          <cell r="B475" t="str">
            <v>PROBE (RED)</v>
          </cell>
          <cell r="C475" t="str">
            <v>NHD</v>
          </cell>
        </row>
        <row r="476">
          <cell r="A476" t="str">
            <v>0-506-024</v>
          </cell>
          <cell r="B476" t="str">
            <v>PROBE (BLACK)</v>
          </cell>
          <cell r="C476" t="str">
            <v>NHD</v>
          </cell>
        </row>
        <row r="477">
          <cell r="A477" t="str">
            <v>0-506-025</v>
          </cell>
          <cell r="B477" t="str">
            <v>STOP WATCH (CASIO HS-3C-8AJH)</v>
          </cell>
          <cell r="C477" t="str">
            <v>NHD</v>
          </cell>
        </row>
        <row r="478">
          <cell r="A478" t="str">
            <v>0-506-026</v>
          </cell>
          <cell r="B478" t="str">
            <v>ELECTRONIC BALANCE FOR AC 100V</v>
          </cell>
          <cell r="C478" t="str">
            <v>NHD</v>
          </cell>
        </row>
        <row r="479">
          <cell r="A479" t="str">
            <v>0-506-027</v>
          </cell>
          <cell r="B479" t="str">
            <v>CONTAINER (2L)</v>
          </cell>
          <cell r="C479" t="str">
            <v>NHD</v>
          </cell>
        </row>
        <row r="480">
          <cell r="A480" t="str">
            <v>0-506-028</v>
          </cell>
          <cell r="B480" t="str">
            <v>CONTAINER (5L)</v>
          </cell>
          <cell r="C480" t="str">
            <v>NHD</v>
          </cell>
        </row>
        <row r="481">
          <cell r="A481" t="str">
            <v>0-506-029</v>
          </cell>
          <cell r="B481" t="str">
            <v>SLIDE GAUGE (MITUTOYO N15)</v>
          </cell>
          <cell r="C481" t="str">
            <v>NHD</v>
          </cell>
        </row>
        <row r="482">
          <cell r="A482" t="str">
            <v>0-506-030</v>
          </cell>
          <cell r="B482" t="str">
            <v>TORQUE SCREWDRIVER (KANON 20LTDK)</v>
          </cell>
          <cell r="C482" t="str">
            <v>NHD</v>
          </cell>
        </row>
        <row r="483">
          <cell r="A483" t="str">
            <v>0-506-031</v>
          </cell>
          <cell r="B483" t="str">
            <v>TORQUE WRENCH (KANON 60LCK)</v>
          </cell>
          <cell r="C483" t="str">
            <v>NHD</v>
          </cell>
        </row>
        <row r="484">
          <cell r="A484" t="str">
            <v>0-506-032</v>
          </cell>
          <cell r="B484" t="str">
            <v>D-MANOMETER (COPAL ELECTRONICS PG-100102GH)</v>
          </cell>
          <cell r="C484" t="str">
            <v>NHD</v>
          </cell>
        </row>
        <row r="485">
          <cell r="A485" t="str">
            <v>0-506-033</v>
          </cell>
          <cell r="B485" t="str">
            <v>A-MANOMETER (KOGANEI 0 - 1MPA)</v>
          </cell>
          <cell r="C485" t="str">
            <v>NHD</v>
          </cell>
        </row>
        <row r="486">
          <cell r="A486" t="str">
            <v>0-506-034</v>
          </cell>
          <cell r="B486" t="str">
            <v>PIPING MATERIAL</v>
          </cell>
          <cell r="C486" t="str">
            <v>NHD</v>
          </cell>
        </row>
        <row r="487">
          <cell r="A487" t="str">
            <v>0-506-036</v>
          </cell>
          <cell r="B487" t="str">
            <v>BLOOD CIRCUIT</v>
          </cell>
          <cell r="C487" t="str">
            <v>NHD</v>
          </cell>
        </row>
        <row r="488">
          <cell r="A488" t="str">
            <v>0-506-037</v>
          </cell>
          <cell r="B488" t="str">
            <v>MICRO SYRINGE (HAMILTON 710RN)</v>
          </cell>
          <cell r="C488" t="str">
            <v>NHD</v>
          </cell>
        </row>
        <row r="489">
          <cell r="A489" t="str">
            <v>0-506-038</v>
          </cell>
          <cell r="B489" t="str">
            <v>WRIST STRAP (HOZAN F-153)</v>
          </cell>
          <cell r="C489" t="str">
            <v>NHD</v>
          </cell>
        </row>
        <row r="490">
          <cell r="A490" t="str">
            <v>0-506-039</v>
          </cell>
          <cell r="B490" t="str">
            <v>CERAMIC DRIVER (ENGINEER DA-55)</v>
          </cell>
          <cell r="C490" t="str">
            <v>NHD</v>
          </cell>
        </row>
        <row r="491">
          <cell r="A491" t="str">
            <v>0-506-040</v>
          </cell>
          <cell r="B491" t="str">
            <v>(+) DRIVER (VESSEL 600P.2-100)</v>
          </cell>
          <cell r="C491" t="str">
            <v>NHD</v>
          </cell>
        </row>
        <row r="492">
          <cell r="A492" t="str">
            <v>0-506-041</v>
          </cell>
          <cell r="B492" t="str">
            <v>(+) DRIVER (VESSEL 600P.1-75)</v>
          </cell>
          <cell r="C492" t="str">
            <v>NHD</v>
          </cell>
        </row>
        <row r="493">
          <cell r="A493" t="str">
            <v>0-506-042</v>
          </cell>
          <cell r="B493" t="str">
            <v>(-) DRIVER (VESSEL 600 6-100)</v>
          </cell>
          <cell r="C493" t="str">
            <v>NHD</v>
          </cell>
        </row>
        <row r="494">
          <cell r="A494" t="str">
            <v>0-506-043</v>
          </cell>
          <cell r="B494" t="str">
            <v>REPLACEMENT DRIVER (HOZAN D-2)</v>
          </cell>
          <cell r="C494" t="str">
            <v>NHD</v>
          </cell>
        </row>
        <row r="495">
          <cell r="A495" t="str">
            <v>0-506-044</v>
          </cell>
          <cell r="B495" t="str">
            <v>POWER SOCKET DRIVER (VESSEL 4100 7-125)</v>
          </cell>
          <cell r="C495" t="str">
            <v>NHD</v>
          </cell>
        </row>
        <row r="496">
          <cell r="A496" t="str">
            <v>0-506-045</v>
          </cell>
          <cell r="B496" t="str">
            <v>POWER SOCKET DRIVER (VESSEL 4100 8-125)</v>
          </cell>
          <cell r="C496" t="str">
            <v>NHD</v>
          </cell>
        </row>
        <row r="497">
          <cell r="A497" t="str">
            <v>0-506-046</v>
          </cell>
          <cell r="B497" t="str">
            <v>PEAN (OOIWA TC-330-18)</v>
          </cell>
          <cell r="C497" t="str">
            <v>NHD</v>
          </cell>
        </row>
        <row r="498">
          <cell r="A498" t="str">
            <v>0-506-047</v>
          </cell>
          <cell r="B498" t="str">
            <v>NEEDLE-NOSE PLIERS (HOZAN P-15-125)</v>
          </cell>
          <cell r="C498" t="str">
            <v>NHD</v>
          </cell>
        </row>
        <row r="499">
          <cell r="A499" t="str">
            <v>0-506-048</v>
          </cell>
          <cell r="B499" t="str">
            <v>NIPPER (HOZAN N-4-125)</v>
          </cell>
          <cell r="C499" t="str">
            <v>NHD</v>
          </cell>
        </row>
        <row r="500">
          <cell r="A500" t="str">
            <v>0-506-049</v>
          </cell>
          <cell r="B500" t="str">
            <v>TWEEZERS HOZAN (HOZAN P-887)</v>
          </cell>
          <cell r="C500" t="str">
            <v>NHD</v>
          </cell>
        </row>
        <row r="501">
          <cell r="A501" t="str">
            <v>0-506-050</v>
          </cell>
          <cell r="B501" t="str">
            <v>SPANNER SET (HOZAN W-521)</v>
          </cell>
          <cell r="C501" t="str">
            <v>NHD</v>
          </cell>
        </row>
        <row r="502">
          <cell r="A502" t="str">
            <v>0-506-051</v>
          </cell>
          <cell r="B502" t="str">
            <v>HEXAGONAL WRENCH SET (PB 211HC-6)</v>
          </cell>
          <cell r="C502" t="str">
            <v>NHD</v>
          </cell>
        </row>
        <row r="503">
          <cell r="A503" t="str">
            <v>0-506-052</v>
          </cell>
          <cell r="B503" t="str">
            <v>MONKEY WRENCH (SPEC:200mm)</v>
          </cell>
          <cell r="C503" t="str">
            <v>NHD</v>
          </cell>
        </row>
        <row r="504">
          <cell r="A504" t="str">
            <v>0-506-053</v>
          </cell>
          <cell r="B504" t="str">
            <v>PLIERS (SPEC: 200mm)</v>
          </cell>
          <cell r="C504" t="str">
            <v>NHD</v>
          </cell>
        </row>
        <row r="505">
          <cell r="A505" t="str">
            <v>0-506-054</v>
          </cell>
          <cell r="B505" t="str">
            <v>MOLYKOTE GREASE (MOLYKOTE BR2-PLUS 1 KG)</v>
          </cell>
          <cell r="C505" t="str">
            <v>NHD</v>
          </cell>
        </row>
        <row r="506">
          <cell r="A506" t="str">
            <v>0-506-055</v>
          </cell>
          <cell r="B506" t="str">
            <v>LOCKING AND CAULKING AGENTS FOR SCREWS</v>
          </cell>
          <cell r="C506" t="str">
            <v>NHD</v>
          </cell>
        </row>
        <row r="507">
          <cell r="A507" t="str">
            <v>0-506-056</v>
          </cell>
          <cell r="B507" t="str">
            <v>SILICON SEALANT (GE TOSHIBA SILICON TSE382-W)</v>
          </cell>
          <cell r="C507" t="str">
            <v>NHD</v>
          </cell>
        </row>
        <row r="508">
          <cell r="A508" t="str">
            <v>0-506-057</v>
          </cell>
          <cell r="B508" t="str">
            <v>SPRING SCALE</v>
          </cell>
          <cell r="C508" t="str">
            <v>NHD</v>
          </cell>
        </row>
        <row r="509">
          <cell r="A509" t="str">
            <v>0-506-066</v>
          </cell>
          <cell r="B509" t="str">
            <v>RESISTANCE SWITCH BOX</v>
          </cell>
          <cell r="C509" t="str">
            <v>NHD</v>
          </cell>
        </row>
        <row r="510">
          <cell r="A510" t="str">
            <v>0-506-067</v>
          </cell>
          <cell r="B510" t="str">
            <v>COMPACT FLASH CARD</v>
          </cell>
          <cell r="C510" t="str">
            <v>NHD</v>
          </cell>
        </row>
        <row r="511">
          <cell r="A511" t="str">
            <v>0-506-068</v>
          </cell>
          <cell r="B511" t="str">
            <v>COMPACT FLASH CARD (ADATA 1GB)</v>
          </cell>
          <cell r="C511" t="str">
            <v>NHD</v>
          </cell>
        </row>
        <row r="512">
          <cell r="A512" t="str">
            <v>0-506-069</v>
          </cell>
          <cell r="B512" t="str">
            <v>PHILLIPS HEAD SCREWDRIVER</v>
          </cell>
          <cell r="C512" t="str">
            <v>NHD</v>
          </cell>
        </row>
        <row r="513">
          <cell r="A513" t="str">
            <v>0-506-070</v>
          </cell>
          <cell r="B513" t="str">
            <v>PHILLIPS HEAD SCREWDRIVER</v>
          </cell>
          <cell r="C513" t="str">
            <v>NHD</v>
          </cell>
        </row>
        <row r="514">
          <cell r="A514" t="str">
            <v>0-506-071</v>
          </cell>
          <cell r="B514" t="str">
            <v>FLATHEAD SCREWDRIVER</v>
          </cell>
          <cell r="C514" t="str">
            <v>NHD</v>
          </cell>
        </row>
        <row r="515">
          <cell r="A515" t="str">
            <v>0-506-072</v>
          </cell>
          <cell r="B515" t="str">
            <v>REVER SIBLE DRIVER</v>
          </cell>
          <cell r="C515" t="str">
            <v>NHD</v>
          </cell>
        </row>
        <row r="516">
          <cell r="A516" t="str">
            <v>0-507-001</v>
          </cell>
          <cell r="B516" t="str">
            <v>BUILT-IN AUTOMATIC BLOOD PRESSURE MONITOR</v>
          </cell>
          <cell r="C516" t="str">
            <v>NHD</v>
          </cell>
        </row>
        <row r="517">
          <cell r="A517" t="str">
            <v>0-507-002</v>
          </cell>
          <cell r="B517" t="str">
            <v>ACID RINSING PORT UNIT</v>
          </cell>
          <cell r="C517" t="str">
            <v>NHD</v>
          </cell>
        </row>
        <row r="518">
          <cell r="A518" t="str">
            <v>0-507-003</v>
          </cell>
          <cell r="B518" t="str">
            <v>CF FLASHING UNIT</v>
          </cell>
          <cell r="C518" t="str">
            <v>NHD</v>
          </cell>
        </row>
        <row r="519">
          <cell r="A519" t="str">
            <v>0-507-004</v>
          </cell>
          <cell r="B519" t="str">
            <v>WARM RINSE UNIT (50 DEGREES)</v>
          </cell>
          <cell r="C519" t="str">
            <v>NHD</v>
          </cell>
        </row>
        <row r="520">
          <cell r="A520" t="str">
            <v>0-507-005</v>
          </cell>
          <cell r="B520" t="str">
            <v>HEAT EXCHANGER UNIT</v>
          </cell>
          <cell r="C520" t="str">
            <v>NHD</v>
          </cell>
        </row>
        <row r="521">
          <cell r="A521" t="str">
            <v>0-507-006</v>
          </cell>
          <cell r="B521" t="str">
            <v>SOLUTION TANK TRAY</v>
          </cell>
          <cell r="C521" t="str">
            <v>NHD</v>
          </cell>
        </row>
        <row r="522">
          <cell r="A522" t="str">
            <v>0-507-007</v>
          </cell>
          <cell r="B522" t="str">
            <v>AIR FILTER 3 (FLM6)</v>
          </cell>
          <cell r="C522" t="str">
            <v>NHD</v>
          </cell>
        </row>
        <row r="523">
          <cell r="A523" t="str">
            <v>0-507-008</v>
          </cell>
          <cell r="B523" t="str">
            <v>BASE BKT</v>
          </cell>
          <cell r="C523" t="str">
            <v>NHD</v>
          </cell>
        </row>
        <row r="524">
          <cell r="A524" t="str">
            <v>0-507-010</v>
          </cell>
          <cell r="B524" t="str">
            <v>ARM A</v>
          </cell>
          <cell r="C524" t="str">
            <v>NHD</v>
          </cell>
        </row>
        <row r="525">
          <cell r="A525" t="str">
            <v>0-507-011</v>
          </cell>
          <cell r="B525" t="str">
            <v>ARM B</v>
          </cell>
          <cell r="C525" t="str">
            <v>NHD</v>
          </cell>
        </row>
        <row r="526">
          <cell r="A526" t="str">
            <v>0-507-012</v>
          </cell>
          <cell r="B526" t="str">
            <v>ARM A COVER</v>
          </cell>
          <cell r="C526" t="str">
            <v>NHD</v>
          </cell>
        </row>
        <row r="527">
          <cell r="A527" t="str">
            <v>0-507-013</v>
          </cell>
          <cell r="B527" t="str">
            <v>ARM B COVER</v>
          </cell>
          <cell r="C527" t="str">
            <v>NHD</v>
          </cell>
        </row>
        <row r="528">
          <cell r="A528" t="str">
            <v>0-507-014</v>
          </cell>
          <cell r="B528" t="str">
            <v>BUTTON</v>
          </cell>
          <cell r="C528" t="str">
            <v>NHD</v>
          </cell>
        </row>
        <row r="529">
          <cell r="A529" t="str">
            <v>0-507-015</v>
          </cell>
          <cell r="B529" t="str">
            <v>NOZZLE A</v>
          </cell>
          <cell r="C529" t="str">
            <v>NHD</v>
          </cell>
        </row>
        <row r="530">
          <cell r="A530" t="str">
            <v>0-507-016</v>
          </cell>
          <cell r="B530" t="str">
            <v>NOZZLE B</v>
          </cell>
          <cell r="C530" t="str">
            <v>NHD</v>
          </cell>
        </row>
        <row r="531">
          <cell r="A531" t="str">
            <v>0-507-017</v>
          </cell>
          <cell r="B531" t="str">
            <v>CASE</v>
          </cell>
          <cell r="C531" t="str">
            <v>NHD</v>
          </cell>
        </row>
        <row r="532">
          <cell r="A532" t="str">
            <v>0-507-018</v>
          </cell>
          <cell r="B532" t="str">
            <v>SEALING RING</v>
          </cell>
          <cell r="C532" t="str">
            <v>NHD</v>
          </cell>
        </row>
        <row r="533">
          <cell r="A533" t="str">
            <v>0-507-019</v>
          </cell>
          <cell r="B533" t="str">
            <v>NOZZLE SUPPORT</v>
          </cell>
          <cell r="C533" t="str">
            <v>NHD</v>
          </cell>
        </row>
        <row r="534">
          <cell r="A534" t="str">
            <v>0-507-020</v>
          </cell>
          <cell r="B534" t="str">
            <v>CHECK VALVE</v>
          </cell>
          <cell r="C534" t="str">
            <v>NHD</v>
          </cell>
        </row>
        <row r="535">
          <cell r="A535" t="str">
            <v>0-507-021</v>
          </cell>
          <cell r="B535" t="str">
            <v>STOPPER</v>
          </cell>
          <cell r="C535" t="str">
            <v>NHD</v>
          </cell>
        </row>
        <row r="536">
          <cell r="A536" t="str">
            <v>0-507-022</v>
          </cell>
          <cell r="B536" t="str">
            <v>SHAFT</v>
          </cell>
          <cell r="C536" t="str">
            <v>NHD</v>
          </cell>
        </row>
        <row r="537">
          <cell r="A537" t="str">
            <v>0-507-024</v>
          </cell>
          <cell r="B537" t="str">
            <v>PACKING</v>
          </cell>
          <cell r="C537" t="str">
            <v>NHD</v>
          </cell>
        </row>
        <row r="538">
          <cell r="A538" t="str">
            <v>0-507-025</v>
          </cell>
          <cell r="B538" t="str">
            <v>SPRING (5172)</v>
          </cell>
          <cell r="C538" t="str">
            <v>NHD</v>
          </cell>
        </row>
        <row r="539">
          <cell r="A539" t="str">
            <v>0-507-026</v>
          </cell>
          <cell r="B539" t="str">
            <v>SPRING (5662)</v>
          </cell>
          <cell r="C539" t="str">
            <v>NHD</v>
          </cell>
        </row>
        <row r="540">
          <cell r="A540" t="str">
            <v>0-507-030</v>
          </cell>
          <cell r="B540" t="str">
            <v>PLAIN WASHER</v>
          </cell>
          <cell r="C540" t="str">
            <v>NHD</v>
          </cell>
        </row>
        <row r="541">
          <cell r="A541" t="str">
            <v>0-507-031</v>
          </cell>
          <cell r="B541" t="str">
            <v>GRIP RETAINING RING</v>
          </cell>
          <cell r="C541" t="str">
            <v>NHD</v>
          </cell>
        </row>
        <row r="542">
          <cell r="A542" t="str">
            <v>0-507-032</v>
          </cell>
          <cell r="B542" t="str">
            <v>HEXAGON SOCKET HEAD CAP SCREWS</v>
          </cell>
          <cell r="C542" t="str">
            <v>NHD</v>
          </cell>
        </row>
        <row r="543">
          <cell r="A543" t="str">
            <v>0-507-033</v>
          </cell>
          <cell r="B543" t="str">
            <v>PROXMITY SENSOR</v>
          </cell>
          <cell r="C543" t="str">
            <v>NHD</v>
          </cell>
        </row>
        <row r="544">
          <cell r="A544" t="str">
            <v>0-507-034</v>
          </cell>
          <cell r="B544" t="str">
            <v>SENSOR BRACKET</v>
          </cell>
          <cell r="C544" t="str">
            <v>NHD</v>
          </cell>
        </row>
        <row r="545">
          <cell r="A545" t="str">
            <v>0-507-035</v>
          </cell>
          <cell r="B545" t="str">
            <v>NUT PLATE</v>
          </cell>
          <cell r="C545" t="str">
            <v>NHD</v>
          </cell>
        </row>
        <row r="546">
          <cell r="A546" t="str">
            <v>0-507-036</v>
          </cell>
          <cell r="B546" t="str">
            <v>P TITE</v>
          </cell>
          <cell r="C546" t="str">
            <v>NHD</v>
          </cell>
        </row>
        <row r="547">
          <cell r="A547" t="str">
            <v>0-507-038</v>
          </cell>
          <cell r="B547" t="str">
            <v>HOSE CONNECTOR</v>
          </cell>
          <cell r="C547" t="str">
            <v>NHD</v>
          </cell>
        </row>
        <row r="548">
          <cell r="A548" t="str">
            <v>0-507-048</v>
          </cell>
          <cell r="B548" t="str">
            <v>BUILT-IN AUTOMATIC BLOOD PRESSURE MONITOR UNIT</v>
          </cell>
          <cell r="C548" t="str">
            <v>NHD</v>
          </cell>
        </row>
        <row r="549">
          <cell r="A549" t="str">
            <v>0-507-049</v>
          </cell>
          <cell r="B549" t="str">
            <v>POWDER BICARBONATE CARTRIDGE HOLDER ASSY</v>
          </cell>
          <cell r="C549" t="str">
            <v>NHD</v>
          </cell>
        </row>
        <row r="550">
          <cell r="A550" t="str">
            <v>0-507-050</v>
          </cell>
          <cell r="B550" t="str">
            <v>BASE BKT</v>
          </cell>
          <cell r="C550" t="str">
            <v>NHD</v>
          </cell>
        </row>
        <row r="551">
          <cell r="A551" t="str">
            <v>0-507-051</v>
          </cell>
          <cell r="B551" t="str">
            <v>BASE</v>
          </cell>
          <cell r="C551" t="str">
            <v>NHD</v>
          </cell>
        </row>
        <row r="552">
          <cell r="A552" t="str">
            <v>0-507-052</v>
          </cell>
          <cell r="B552" t="str">
            <v>STOPPER</v>
          </cell>
          <cell r="C552" t="str">
            <v>NHD</v>
          </cell>
        </row>
        <row r="553">
          <cell r="A553" t="str">
            <v>0-507-053</v>
          </cell>
          <cell r="B553" t="str">
            <v>NOZZLE PACKING</v>
          </cell>
          <cell r="C553" t="str">
            <v>NHD</v>
          </cell>
        </row>
        <row r="554">
          <cell r="A554" t="str">
            <v>0-507-059</v>
          </cell>
          <cell r="B554" t="str">
            <v>HEAT EXCHANGER (HEX)</v>
          </cell>
          <cell r="C554" t="str">
            <v>NHD</v>
          </cell>
        </row>
        <row r="555">
          <cell r="A555" t="str">
            <v>0-507-062</v>
          </cell>
          <cell r="B555" t="str">
            <v>POWDER BICARBONATE CARTRIDGE HOLDER / B</v>
          </cell>
          <cell r="C555" t="str">
            <v>NHD</v>
          </cell>
        </row>
        <row r="556">
          <cell r="A556" t="str">
            <v>0-507-065</v>
          </cell>
          <cell r="B556" t="str">
            <v>EXTERNAL NETWORK</v>
          </cell>
          <cell r="C556" t="str">
            <v>NHD</v>
          </cell>
        </row>
        <row r="557">
          <cell r="A557" t="str">
            <v>0-507-067</v>
          </cell>
          <cell r="B557" t="str">
            <v>HOOK FOR DIALYSATE BAG</v>
          </cell>
          <cell r="C557" t="str">
            <v>NHD</v>
          </cell>
        </row>
        <row r="558">
          <cell r="A558" t="str">
            <v>0-507-068</v>
          </cell>
          <cell r="B558" t="str">
            <v>ACID – RINSING PORT ASSY</v>
          </cell>
          <cell r="C558" t="str">
            <v>NHD</v>
          </cell>
        </row>
        <row r="559">
          <cell r="A559" t="str">
            <v>0-507-069</v>
          </cell>
          <cell r="B559" t="str">
            <v>CF UNIT</v>
          </cell>
          <cell r="C559" t="str">
            <v>NHD</v>
          </cell>
        </row>
        <row r="560">
          <cell r="A560" t="str">
            <v>0-507-070</v>
          </cell>
          <cell r="B560" t="str">
            <v>PEDESTAL FOR DIALYSATE CONCENTRATE SOLUTION</v>
          </cell>
          <cell r="C560" t="str">
            <v>NHD</v>
          </cell>
        </row>
        <row r="561">
          <cell r="A561" t="str">
            <v>0-507-074</v>
          </cell>
          <cell r="B561" t="str">
            <v>PROGRAM WRITING TOOL</v>
          </cell>
          <cell r="C561" t="str">
            <v>NHD</v>
          </cell>
        </row>
        <row r="562">
          <cell r="A562" t="str">
            <v>0-507-079</v>
          </cell>
          <cell r="B562" t="str">
            <v>BUILT-IN AUTOMATIC BLOOD PRESSURE MONITOR UNIT</v>
          </cell>
          <cell r="C562" t="str">
            <v>NHD</v>
          </cell>
        </row>
        <row r="563">
          <cell r="A563" t="str">
            <v>0-700-011</v>
          </cell>
          <cell r="B563" t="str">
            <v>PRING WASHER</v>
          </cell>
          <cell r="C563" t="str">
            <v>NHD</v>
          </cell>
        </row>
        <row r="564">
          <cell r="A564" t="str">
            <v>0-700-012</v>
          </cell>
          <cell r="B564" t="str">
            <v>SPRING WASHER</v>
          </cell>
          <cell r="C564" t="str">
            <v>NHD</v>
          </cell>
        </row>
        <row r="565">
          <cell r="A565" t="str">
            <v>0-700-020</v>
          </cell>
          <cell r="B565" t="str">
            <v>CF HOLDER / CF</v>
          </cell>
          <cell r="C565" t="str">
            <v>NHD</v>
          </cell>
        </row>
        <row r="566">
          <cell r="A566" t="str">
            <v>0-700-050</v>
          </cell>
          <cell r="B566" t="str">
            <v>NYLON WASHER</v>
          </cell>
          <cell r="C566" t="str">
            <v>NHD</v>
          </cell>
        </row>
        <row r="567">
          <cell r="A567" t="str">
            <v>0-701-008</v>
          </cell>
          <cell r="B567" t="str">
            <v>Sensor Holder A</v>
          </cell>
          <cell r="C567" t="str">
            <v>NHD</v>
          </cell>
        </row>
        <row r="568">
          <cell r="A568" t="str">
            <v>0-701-009</v>
          </cell>
          <cell r="B568" t="str">
            <v>O-ring</v>
          </cell>
          <cell r="C568" t="str">
            <v>NHD</v>
          </cell>
        </row>
        <row r="569">
          <cell r="A569" t="str">
            <v>0-701-010</v>
          </cell>
          <cell r="B569" t="str">
            <v>Sensor Holder B</v>
          </cell>
          <cell r="C569" t="str">
            <v>NHD</v>
          </cell>
        </row>
        <row r="570">
          <cell r="A570" t="str">
            <v>0-701-011</v>
          </cell>
          <cell r="B570" t="str">
            <v>O-ring</v>
          </cell>
          <cell r="C570" t="str">
            <v>NHD</v>
          </cell>
        </row>
        <row r="571">
          <cell r="A571" t="str">
            <v>0-701-012</v>
          </cell>
          <cell r="B571" t="str">
            <v>Pin</v>
          </cell>
          <cell r="C571" t="str">
            <v>NHD</v>
          </cell>
        </row>
        <row r="572">
          <cell r="A572" t="str">
            <v>0-701-015</v>
          </cell>
          <cell r="B572" t="str">
            <v>CONDUCTIVITY SENSOR (CD1,CD2,CD3)</v>
          </cell>
          <cell r="C572" t="str">
            <v>NHD</v>
          </cell>
        </row>
        <row r="573">
          <cell r="A573" t="str">
            <v>0-701-021</v>
          </cell>
          <cell r="B573" t="str">
            <v>FLOW SENSOR ASSY (FS1)</v>
          </cell>
          <cell r="C573" t="str">
            <v>NHD</v>
          </cell>
        </row>
        <row r="574">
          <cell r="A574" t="str">
            <v>0-701-023</v>
          </cell>
          <cell r="B574" t="str">
            <v>JOINT A</v>
          </cell>
          <cell r="C574" t="str">
            <v>NHD</v>
          </cell>
        </row>
        <row r="575">
          <cell r="A575" t="str">
            <v>0-701-025</v>
          </cell>
          <cell r="B575" t="str">
            <v>ROTATIONAL POSITION SENSOR</v>
          </cell>
          <cell r="C575" t="str">
            <v>NHD</v>
          </cell>
        </row>
        <row r="576">
          <cell r="A576" t="str">
            <v>0-701-028</v>
          </cell>
          <cell r="B576" t="str">
            <v>CONCENTRATE PUMP/A (P3)</v>
          </cell>
          <cell r="C576" t="str">
            <v>NHD</v>
          </cell>
        </row>
        <row r="577">
          <cell r="A577" t="str">
            <v>0-701-052</v>
          </cell>
          <cell r="B577" t="str">
            <v>INLINE FILTER</v>
          </cell>
          <cell r="C577" t="str">
            <v>NHD</v>
          </cell>
        </row>
        <row r="578">
          <cell r="A578" t="str">
            <v>0-701-117</v>
          </cell>
          <cell r="B578" t="str">
            <v>BC HOSE CONNECTOR</v>
          </cell>
          <cell r="C578" t="str">
            <v>NHD</v>
          </cell>
        </row>
        <row r="579">
          <cell r="A579" t="str">
            <v>0-701-140</v>
          </cell>
          <cell r="B579" t="str">
            <v>JOINT</v>
          </cell>
          <cell r="C579" t="str">
            <v>NHD</v>
          </cell>
        </row>
        <row r="580">
          <cell r="A580" t="str">
            <v>0-701-168</v>
          </cell>
          <cell r="B580" t="str">
            <v>FS3 bracket</v>
          </cell>
          <cell r="C580" t="str">
            <v>NHD</v>
          </cell>
        </row>
        <row r="581">
          <cell r="A581" t="str">
            <v>0-701-169</v>
          </cell>
          <cell r="B581" t="str">
            <v>FLOW SENSOR ASSY (FS3)</v>
          </cell>
          <cell r="C581" t="str">
            <v>NHD</v>
          </cell>
        </row>
        <row r="582">
          <cell r="A582" t="str">
            <v>0-701-170</v>
          </cell>
          <cell r="B582" t="str">
            <v>DIALYSATE PRESSURE SENSOR Assy (PD)</v>
          </cell>
          <cell r="C582" t="str">
            <v>NHD</v>
          </cell>
        </row>
        <row r="583">
          <cell r="A583" t="str">
            <v>0-701-175</v>
          </cell>
          <cell r="B583" t="str">
            <v>CHEK VALVE (CA2)</v>
          </cell>
          <cell r="C583" t="str">
            <v>NHD</v>
          </cell>
        </row>
        <row r="584">
          <cell r="A584" t="str">
            <v>0-701-189</v>
          </cell>
          <cell r="B584" t="str">
            <v>Plain Washer</v>
          </cell>
          <cell r="C584" t="str">
            <v>NHD</v>
          </cell>
        </row>
        <row r="585">
          <cell r="A585" t="str">
            <v>0-701-190</v>
          </cell>
          <cell r="B585" t="str">
            <v>PLAIN WASHER</v>
          </cell>
          <cell r="C585" t="str">
            <v>NHD</v>
          </cell>
        </row>
        <row r="586">
          <cell r="A586" t="str">
            <v>0-701-191</v>
          </cell>
          <cell r="B586" t="str">
            <v>SPRING WASHER</v>
          </cell>
          <cell r="C586" t="str">
            <v>NHD</v>
          </cell>
        </row>
        <row r="587">
          <cell r="A587" t="str">
            <v>0-701-210</v>
          </cell>
          <cell r="B587" t="str">
            <v>NUT FOR M5</v>
          </cell>
          <cell r="C587" t="str">
            <v>NHD</v>
          </cell>
        </row>
        <row r="588">
          <cell r="A588" t="str">
            <v>0-701-238</v>
          </cell>
          <cell r="B588" t="str">
            <v>TRANSDUCER PROTECTOR</v>
          </cell>
          <cell r="C588" t="str">
            <v>NHD</v>
          </cell>
        </row>
        <row r="589">
          <cell r="A589" t="str">
            <v>0-701-254</v>
          </cell>
          <cell r="B589" t="str">
            <v>Insulation Plate</v>
          </cell>
          <cell r="C589" t="str">
            <v>NHD</v>
          </cell>
        </row>
        <row r="590">
          <cell r="A590" t="str">
            <v>0-701-255</v>
          </cell>
          <cell r="B590" t="str">
            <v>Insulation Cover</v>
          </cell>
          <cell r="C590" t="str">
            <v>NHD</v>
          </cell>
        </row>
        <row r="591">
          <cell r="A591" t="str">
            <v>0-701-298</v>
          </cell>
          <cell r="B591" t="str">
            <v>C TYPE RETAINING RING</v>
          </cell>
          <cell r="C591" t="str">
            <v>NHD</v>
          </cell>
        </row>
        <row r="592">
          <cell r="A592" t="str">
            <v>0-701-302</v>
          </cell>
          <cell r="B592" t="str">
            <v>DRIPPROOF COVER</v>
          </cell>
          <cell r="C592" t="str">
            <v>NHD</v>
          </cell>
        </row>
        <row r="593">
          <cell r="A593" t="str">
            <v>0-701-310</v>
          </cell>
          <cell r="B593" t="str">
            <v>ORIFICE 17 A</v>
          </cell>
          <cell r="C593" t="str">
            <v>NHD</v>
          </cell>
        </row>
        <row r="594">
          <cell r="A594" t="str">
            <v>0-701-311</v>
          </cell>
          <cell r="B594" t="str">
            <v>ORIFICE 13A</v>
          </cell>
          <cell r="C594" t="str">
            <v>NHD</v>
          </cell>
        </row>
        <row r="595">
          <cell r="A595" t="str">
            <v>0-701-352</v>
          </cell>
          <cell r="B595" t="str">
            <v>NUT</v>
          </cell>
          <cell r="C595" t="str">
            <v>NHD</v>
          </cell>
        </row>
        <row r="596">
          <cell r="A596" t="str">
            <v>0-701-362</v>
          </cell>
          <cell r="B596" t="str">
            <v>Medil tube 2.38×?5.56</v>
          </cell>
          <cell r="C596" t="str">
            <v>NHD</v>
          </cell>
        </row>
        <row r="597">
          <cell r="A597" t="str">
            <v>0-701-385</v>
          </cell>
          <cell r="B597" t="str">
            <v>STEEL BALL</v>
          </cell>
          <cell r="C597" t="str">
            <v>NHD</v>
          </cell>
        </row>
        <row r="598">
          <cell r="A598" t="str">
            <v>0-701-593</v>
          </cell>
          <cell r="B598" t="str">
            <v>Reducer Hose Connector</v>
          </cell>
          <cell r="C598" t="str">
            <v>NHD</v>
          </cell>
        </row>
        <row r="599">
          <cell r="A599" t="str">
            <v>0-701-594</v>
          </cell>
          <cell r="B599" t="str">
            <v>BUFFER TANK (BTH)</v>
          </cell>
          <cell r="C599" t="str">
            <v>NHD</v>
          </cell>
        </row>
        <row r="600">
          <cell r="A600" t="str">
            <v>0-701-615</v>
          </cell>
          <cell r="B600" t="str">
            <v>NUT FOR M12</v>
          </cell>
          <cell r="C600" t="str">
            <v>NHD</v>
          </cell>
        </row>
        <row r="601">
          <cell r="A601" t="str">
            <v>0-701-642</v>
          </cell>
          <cell r="B601" t="str">
            <v>SILICONE TUBE 4×?8</v>
          </cell>
          <cell r="C601" t="str">
            <v>NHD</v>
          </cell>
        </row>
        <row r="602">
          <cell r="A602" t="str">
            <v>0-701-642-ST</v>
          </cell>
          <cell r="B602" t="str">
            <v>SILICONE TUBE 4×8</v>
          </cell>
          <cell r="C602" t="str">
            <v>NHD</v>
          </cell>
        </row>
        <row r="603">
          <cell r="A603" t="str">
            <v>0-701-645</v>
          </cell>
          <cell r="B603" t="str">
            <v>SILICONE TUBE 18×?24</v>
          </cell>
          <cell r="C603" t="str">
            <v>NHD</v>
          </cell>
        </row>
        <row r="604">
          <cell r="A604" t="str">
            <v>0-701-645-ST</v>
          </cell>
          <cell r="B604" t="str">
            <v>SILICONE TUBE 18×24</v>
          </cell>
          <cell r="C604" t="str">
            <v>NHD</v>
          </cell>
        </row>
        <row r="605">
          <cell r="A605" t="str">
            <v>0-701-646</v>
          </cell>
          <cell r="B605" t="str">
            <v>FEP TUBE TF145</v>
          </cell>
          <cell r="C605" t="str">
            <v>NHD</v>
          </cell>
        </row>
        <row r="606">
          <cell r="A606" t="str">
            <v>0-701-670</v>
          </cell>
          <cell r="B606" t="str">
            <v>Tray arm</v>
          </cell>
          <cell r="C606" t="str">
            <v>NHD</v>
          </cell>
        </row>
        <row r="607">
          <cell r="A607" t="str">
            <v>0-701-677</v>
          </cell>
          <cell r="B607" t="str">
            <v>NYLON MOLDING WING BOLT</v>
          </cell>
          <cell r="C607" t="str">
            <v>NHD</v>
          </cell>
        </row>
        <row r="608">
          <cell r="A608" t="str">
            <v>0-701-702</v>
          </cell>
          <cell r="B608" t="str">
            <v>MAGNET GEAR PUMP FOR P2</v>
          </cell>
          <cell r="C608" t="str">
            <v>NHD</v>
          </cell>
        </row>
        <row r="609">
          <cell r="A609" t="str">
            <v>0-701-736</v>
          </cell>
          <cell r="B609" t="str">
            <v>O-ring</v>
          </cell>
          <cell r="C609" t="str">
            <v>NHD</v>
          </cell>
        </row>
        <row r="610">
          <cell r="A610" t="str">
            <v>0-701-747</v>
          </cell>
          <cell r="B610" t="str">
            <v>SENSOR HOLDER PCS</v>
          </cell>
          <cell r="C610" t="str">
            <v>NHD</v>
          </cell>
        </row>
        <row r="611">
          <cell r="A611" t="str">
            <v>0-701-748</v>
          </cell>
          <cell r="B611" t="str">
            <v>CLIP</v>
          </cell>
          <cell r="C611" t="str">
            <v>NHD</v>
          </cell>
        </row>
        <row r="612">
          <cell r="A612" t="str">
            <v>0-701-749</v>
          </cell>
          <cell r="B612" t="str">
            <v>SUPPORT PLATE</v>
          </cell>
          <cell r="C612" t="str">
            <v>NHD</v>
          </cell>
        </row>
        <row r="613">
          <cell r="A613" t="str">
            <v>0-701-750</v>
          </cell>
          <cell r="B613" t="str">
            <v>O-RING</v>
          </cell>
          <cell r="C613" t="str">
            <v>NHD</v>
          </cell>
        </row>
        <row r="614">
          <cell r="A614" t="str">
            <v>0-701-751</v>
          </cell>
          <cell r="B614" t="str">
            <v>BACKUP RING</v>
          </cell>
          <cell r="C614" t="str">
            <v>NHD</v>
          </cell>
        </row>
        <row r="615">
          <cell r="A615" t="str">
            <v>0-701-759</v>
          </cell>
          <cell r="B615" t="str">
            <v>FLOW SENSOR (FS2)</v>
          </cell>
          <cell r="C615" t="str">
            <v>NHD</v>
          </cell>
        </row>
        <row r="616">
          <cell r="A616" t="str">
            <v>0-702-044</v>
          </cell>
          <cell r="B616" t="str">
            <v>LEVEL SENSOR</v>
          </cell>
          <cell r="C616" t="str">
            <v>NHD</v>
          </cell>
        </row>
        <row r="617">
          <cell r="A617" t="str">
            <v>0-702-170</v>
          </cell>
          <cell r="B617" t="str">
            <v>SSR</v>
          </cell>
          <cell r="C617" t="str">
            <v>NHD</v>
          </cell>
        </row>
        <row r="618">
          <cell r="A618" t="str">
            <v>0-702-171</v>
          </cell>
          <cell r="B618" t="str">
            <v>RELAY CX</v>
          </cell>
          <cell r="C618" t="str">
            <v>NHD</v>
          </cell>
        </row>
        <row r="619">
          <cell r="A619" t="str">
            <v>0-702-172</v>
          </cell>
          <cell r="B619" t="str">
            <v>NOISE SUPPRESSION CAPASITOR</v>
          </cell>
          <cell r="C619" t="str">
            <v>NHD</v>
          </cell>
        </row>
        <row r="620">
          <cell r="A620" t="str">
            <v>0-702-173</v>
          </cell>
          <cell r="B620" t="str">
            <v>EMI FILTER</v>
          </cell>
          <cell r="C620" t="str">
            <v>NHD</v>
          </cell>
        </row>
        <row r="621">
          <cell r="A621" t="str">
            <v>0-702-174</v>
          </cell>
          <cell r="B621" t="str">
            <v>BAME2152C ( New Type )</v>
          </cell>
          <cell r="C621" t="str">
            <v>NHD</v>
          </cell>
        </row>
        <row r="622">
          <cell r="A622" t="str">
            <v>0-702-392</v>
          </cell>
          <cell r="B622" t="str">
            <v>FUSE HOLDER</v>
          </cell>
          <cell r="C622" t="str">
            <v>NHD</v>
          </cell>
        </row>
        <row r="623">
          <cell r="A623" t="str">
            <v>0-702-426</v>
          </cell>
          <cell r="B623" t="str">
            <v>TERMINAL</v>
          </cell>
          <cell r="C623" t="str">
            <v>NHD</v>
          </cell>
        </row>
        <row r="624">
          <cell r="A624" t="str">
            <v>0-702-440</v>
          </cell>
          <cell r="B624" t="str">
            <v>FUSE</v>
          </cell>
          <cell r="C624" t="str">
            <v>NHD</v>
          </cell>
        </row>
        <row r="625">
          <cell r="A625" t="str">
            <v>0-703-003</v>
          </cell>
          <cell r="B625" t="str">
            <v>MEMBRANE</v>
          </cell>
          <cell r="C625" t="str">
            <v>NHD</v>
          </cell>
        </row>
        <row r="626">
          <cell r="A626" t="str">
            <v>0-703-011</v>
          </cell>
          <cell r="B626" t="str">
            <v>Rubber Sheet T1</v>
          </cell>
          <cell r="C626" t="str">
            <v>NHD</v>
          </cell>
        </row>
        <row r="627">
          <cell r="A627" t="str">
            <v>0-704-073</v>
          </cell>
          <cell r="B627" t="str">
            <v>Spring</v>
          </cell>
          <cell r="C627" t="str">
            <v>NHD</v>
          </cell>
        </row>
        <row r="628">
          <cell r="A628" t="str">
            <v>0-704-086</v>
          </cell>
          <cell r="B628" t="str">
            <v>Dry bearing</v>
          </cell>
          <cell r="C628" t="str">
            <v>NHD</v>
          </cell>
        </row>
        <row r="629">
          <cell r="A629" t="str">
            <v>0-704-087</v>
          </cell>
          <cell r="B629" t="str">
            <v>FLANGE BUSH</v>
          </cell>
          <cell r="C629" t="str">
            <v>NHD</v>
          </cell>
        </row>
        <row r="630">
          <cell r="A630" t="str">
            <v>0-704-088</v>
          </cell>
          <cell r="B630" t="str">
            <v>HARNESS HOLDER A</v>
          </cell>
          <cell r="C630" t="str">
            <v>NHD</v>
          </cell>
        </row>
        <row r="631">
          <cell r="A631" t="str">
            <v>0-704-099</v>
          </cell>
          <cell r="B631" t="str">
            <v>Valve body</v>
          </cell>
          <cell r="C631" t="str">
            <v>NHD</v>
          </cell>
        </row>
        <row r="632">
          <cell r="A632" t="str">
            <v>0-704-100</v>
          </cell>
          <cell r="B632" t="str">
            <v>Valve body</v>
          </cell>
          <cell r="C632" t="str">
            <v>NHD</v>
          </cell>
        </row>
        <row r="633">
          <cell r="A633" t="str">
            <v>0-704-101</v>
          </cell>
          <cell r="B633" t="str">
            <v>MIXING SOLENOID VALVE (V12,V17,V24,V45)</v>
          </cell>
          <cell r="C633" t="str">
            <v>NHD</v>
          </cell>
        </row>
        <row r="634">
          <cell r="A634" t="str">
            <v>0-704-103</v>
          </cell>
          <cell r="B634" t="str">
            <v>Valve body</v>
          </cell>
          <cell r="C634" t="str">
            <v>NHD</v>
          </cell>
        </row>
        <row r="635">
          <cell r="A635" t="str">
            <v>0-704-113</v>
          </cell>
          <cell r="B635" t="str">
            <v>FAN FILTER 92 (FAN1)</v>
          </cell>
          <cell r="C635" t="str">
            <v>NHD</v>
          </cell>
        </row>
        <row r="636">
          <cell r="A636" t="str">
            <v>0-706-001</v>
          </cell>
          <cell r="B636" t="str">
            <v>Flow Meter 0 to 150ml/min EGF2-L150</v>
          </cell>
          <cell r="C636" t="str">
            <v>NHD</v>
          </cell>
        </row>
        <row r="637">
          <cell r="A637" t="str">
            <v>0-706-003</v>
          </cell>
          <cell r="B637" t="str">
            <v>TORQUE DRIVER.</v>
          </cell>
          <cell r="C637" t="str">
            <v>NHD</v>
          </cell>
        </row>
        <row r="638">
          <cell r="A638" t="str">
            <v>0-706-004</v>
          </cell>
          <cell r="B638" t="str">
            <v>BIT</v>
          </cell>
          <cell r="C638" t="str">
            <v>NHD</v>
          </cell>
        </row>
        <row r="639">
          <cell r="A639" t="str">
            <v>0-706-005</v>
          </cell>
          <cell r="B639" t="str">
            <v>TORQUE WRENCH.</v>
          </cell>
          <cell r="C639" t="str">
            <v>NHD</v>
          </cell>
        </row>
        <row r="640">
          <cell r="A640" t="str">
            <v>0-706-006</v>
          </cell>
          <cell r="B640" t="str">
            <v>TORQUE WRENCH.</v>
          </cell>
          <cell r="C640" t="str">
            <v>NHD</v>
          </cell>
        </row>
        <row r="641">
          <cell r="A641" t="str">
            <v>0-706-007</v>
          </cell>
          <cell r="B641" t="str">
            <v>OPEN END HEAD.</v>
          </cell>
          <cell r="C641" t="str">
            <v>NHD</v>
          </cell>
        </row>
        <row r="642">
          <cell r="A642" t="str">
            <v>0-706-012</v>
          </cell>
          <cell r="B642" t="str">
            <v>FSW SHORT – CIRCUIT JIG</v>
          </cell>
          <cell r="C642" t="str">
            <v>NHD</v>
          </cell>
        </row>
        <row r="643">
          <cell r="A643" t="str">
            <v>0-706-013</v>
          </cell>
          <cell r="B643" t="str">
            <v>LOCTITE (LOW INTENSITY)</v>
          </cell>
          <cell r="C643" t="str">
            <v>NHD</v>
          </cell>
        </row>
        <row r="644">
          <cell r="A644" t="str">
            <v>0-706-014</v>
          </cell>
          <cell r="B644" t="str">
            <v>LOCTITE (MODERATE INTENSITY)</v>
          </cell>
          <cell r="C644" t="str">
            <v>NHD</v>
          </cell>
        </row>
        <row r="645">
          <cell r="A645" t="str">
            <v>0-706-015</v>
          </cell>
          <cell r="B645" t="str">
            <v>LOCTITE (HIGH INTENSITY)</v>
          </cell>
          <cell r="C645" t="str">
            <v>NHD</v>
          </cell>
        </row>
        <row r="646">
          <cell r="A646" t="str">
            <v>0-706-016</v>
          </cell>
          <cell r="B646" t="str">
            <v>BOND (TRANSPARENT)</v>
          </cell>
          <cell r="C646" t="str">
            <v>NHD</v>
          </cell>
        </row>
        <row r="647">
          <cell r="A647" t="str">
            <v>0-706-017</v>
          </cell>
          <cell r="B647" t="str">
            <v>SILICONE GREASE</v>
          </cell>
          <cell r="C647" t="str">
            <v>NHD</v>
          </cell>
        </row>
        <row r="648">
          <cell r="A648" t="str">
            <v>0-706-020</v>
          </cell>
          <cell r="B648" t="str">
            <v>DAPHNE EPONEX GREASAE</v>
          </cell>
          <cell r="C648" t="str">
            <v>NHD</v>
          </cell>
        </row>
        <row r="649">
          <cell r="A649" t="str">
            <v>0-706-021</v>
          </cell>
          <cell r="B649" t="str">
            <v>TORQUE WRENCH</v>
          </cell>
          <cell r="C649" t="str">
            <v>NHD</v>
          </cell>
        </row>
        <row r="650">
          <cell r="A650" t="str">
            <v>0-706-024</v>
          </cell>
          <cell r="B650" t="str">
            <v>OPEN END HEAD</v>
          </cell>
          <cell r="C650" t="str">
            <v>NHD</v>
          </cell>
        </row>
        <row r="651">
          <cell r="A651" t="str">
            <v>0-707-007</v>
          </cell>
          <cell r="B651" t="str">
            <v>TORQUE DRIVER.</v>
          </cell>
          <cell r="C651" t="str">
            <v>NHD</v>
          </cell>
        </row>
        <row r="652">
          <cell r="A652" t="str">
            <v>0-707-019</v>
          </cell>
          <cell r="B652" t="str">
            <v>CLAMP GAP SPACER</v>
          </cell>
          <cell r="C652" t="str">
            <v>NHD</v>
          </cell>
        </row>
        <row r="653">
          <cell r="A653" t="str">
            <v>0-707-024</v>
          </cell>
          <cell r="B653" t="str">
            <v>HOSE CONNECTOR.</v>
          </cell>
          <cell r="C653" t="str">
            <v>NHD</v>
          </cell>
        </row>
        <row r="654">
          <cell r="A654" t="str">
            <v>0-707-053</v>
          </cell>
          <cell r="B654" t="str">
            <v>Temperature Calibrator</v>
          </cell>
          <cell r="C654" t="str">
            <v>NHD</v>
          </cell>
        </row>
        <row r="655">
          <cell r="A655" t="str">
            <v>0-707-054</v>
          </cell>
          <cell r="B655" t="str">
            <v>Conductivity Calibrator</v>
          </cell>
          <cell r="C655" t="str">
            <v>NHD</v>
          </cell>
        </row>
        <row r="656">
          <cell r="A656" t="str">
            <v>0-707-055</v>
          </cell>
          <cell r="B656" t="str">
            <v>PROBE (RED)</v>
          </cell>
          <cell r="C656" t="str">
            <v>NHD</v>
          </cell>
        </row>
        <row r="657">
          <cell r="A657" t="str">
            <v>0-707-056</v>
          </cell>
          <cell r="B657" t="str">
            <v>PROBE (BLACK)</v>
          </cell>
          <cell r="C657" t="str">
            <v>NHD</v>
          </cell>
        </row>
        <row r="658">
          <cell r="A658" t="str">
            <v>0-707-057</v>
          </cell>
          <cell r="B658" t="str">
            <v>CF MEMORY READWRITER (ELECOM)</v>
          </cell>
          <cell r="C658" t="str">
            <v>NHD</v>
          </cell>
        </row>
        <row r="659">
          <cell r="A659" t="str">
            <v>0-801-021</v>
          </cell>
          <cell r="B659" t="str">
            <v>TOYORONE HOSE TR-9 (3M)</v>
          </cell>
          <cell r="C659" t="str">
            <v>NHD</v>
          </cell>
        </row>
        <row r="660">
          <cell r="A660" t="str">
            <v>0-801-022</v>
          </cell>
          <cell r="B660" t="str">
            <v>TOYOSILICONE hose TSI-9 (3M)</v>
          </cell>
          <cell r="C660" t="str">
            <v>NHD</v>
          </cell>
        </row>
        <row r="661">
          <cell r="A661" t="str">
            <v>0-801-023</v>
          </cell>
          <cell r="B661" t="str">
            <v>STAINLESS CLAMP</v>
          </cell>
          <cell r="C661" t="str">
            <v>NHD</v>
          </cell>
        </row>
        <row r="662">
          <cell r="A662" t="str">
            <v>0-801-055</v>
          </cell>
          <cell r="B662" t="str">
            <v>TRUSS HEAD SCREW</v>
          </cell>
          <cell r="C662" t="str">
            <v>NHD</v>
          </cell>
        </row>
        <row r="663">
          <cell r="A663" t="str">
            <v>0-801-072</v>
          </cell>
          <cell r="B663" t="str">
            <v>ETRF COVER A</v>
          </cell>
          <cell r="C663" t="str">
            <v>NHD</v>
          </cell>
        </row>
        <row r="664">
          <cell r="A664" t="str">
            <v>0-802-006</v>
          </cell>
          <cell r="B664" t="str">
            <v>HANGER STOPPER</v>
          </cell>
          <cell r="C664" t="str">
            <v>NHD</v>
          </cell>
        </row>
        <row r="665">
          <cell r="A665" t="str">
            <v>0-803-003</v>
          </cell>
          <cell r="B665" t="str">
            <v>Case R</v>
          </cell>
          <cell r="C665" t="str">
            <v>NHD</v>
          </cell>
        </row>
        <row r="666">
          <cell r="A666" t="str">
            <v>0-804-073</v>
          </cell>
          <cell r="B666" t="str">
            <v>SCREW</v>
          </cell>
          <cell r="C666" t="str">
            <v>NHD</v>
          </cell>
        </row>
        <row r="667">
          <cell r="A667" t="str">
            <v>0-806-003</v>
          </cell>
          <cell r="B667" t="str">
            <v>Flow Meter 100 to 300ml/min rsw-03-0</v>
          </cell>
          <cell r="C667" t="str">
            <v>NHD</v>
          </cell>
        </row>
        <row r="668">
          <cell r="A668" t="str">
            <v>130A-84-PDM</v>
          </cell>
          <cell r="B668" t="str">
            <v>CLEAR IMAGE ALERT BAND 84-PDM (ALLERGY)</v>
          </cell>
          <cell r="C668" t="str">
            <v>NHD</v>
          </cell>
        </row>
        <row r="669">
          <cell r="A669" t="str">
            <v>130A-93-PDM</v>
          </cell>
          <cell r="B669" t="str">
            <v>CLEAR IMAGE ALERT BAND 93-PDM (FALL RISK)</v>
          </cell>
          <cell r="C669" t="str">
            <v>NHD</v>
          </cell>
        </row>
        <row r="670">
          <cell r="A670" t="str">
            <v>130A-96-PDM</v>
          </cell>
          <cell r="B670" t="str">
            <v>CLEAR IMAGE ALERT BAND 96-PDM (DNR)</v>
          </cell>
          <cell r="C670" t="str">
            <v>NHD</v>
          </cell>
        </row>
        <row r="671">
          <cell r="A671" t="str">
            <v>2-002-014</v>
          </cell>
          <cell r="B671" t="str">
            <v>Pressure SW Assy AW-3200-63-A</v>
          </cell>
          <cell r="C671" t="str">
            <v>NHD</v>
          </cell>
        </row>
        <row r="672">
          <cell r="A672" t="str">
            <v>2-002-058</v>
          </cell>
          <cell r="B672" t="str">
            <v>O RING P3</v>
          </cell>
          <cell r="C672" t="str">
            <v>NHD</v>
          </cell>
        </row>
        <row r="673">
          <cell r="A673" t="str">
            <v>2-002-060</v>
          </cell>
          <cell r="B673" t="str">
            <v>PIN</v>
          </cell>
          <cell r="C673" t="str">
            <v>NHD</v>
          </cell>
        </row>
        <row r="674">
          <cell r="A674" t="str">
            <v>2-002-063</v>
          </cell>
          <cell r="B674" t="str">
            <v>SPRING</v>
          </cell>
          <cell r="C674" t="str">
            <v>NHD</v>
          </cell>
        </row>
        <row r="675">
          <cell r="A675" t="str">
            <v>2-002-066</v>
          </cell>
          <cell r="B675" t="str">
            <v>Packing(A)</v>
          </cell>
          <cell r="C675" t="str">
            <v>NHD</v>
          </cell>
        </row>
        <row r="676">
          <cell r="A676" t="str">
            <v>2-002-067</v>
          </cell>
          <cell r="B676" t="str">
            <v>Holder base</v>
          </cell>
          <cell r="C676" t="str">
            <v>NHD</v>
          </cell>
        </row>
        <row r="677">
          <cell r="A677" t="str">
            <v>2-002-068</v>
          </cell>
          <cell r="B677" t="str">
            <v>Connector Holder</v>
          </cell>
          <cell r="C677" t="str">
            <v>NHD</v>
          </cell>
        </row>
        <row r="678">
          <cell r="A678" t="str">
            <v>2-002-071</v>
          </cell>
          <cell r="B678" t="str">
            <v>SILICONE TUBE</v>
          </cell>
          <cell r="C678" t="str">
            <v>NHD</v>
          </cell>
        </row>
        <row r="679">
          <cell r="A679" t="str">
            <v>2-002-071A</v>
          </cell>
          <cell r="B679" t="str">
            <v>Silicon Tube 3 x 6 HS Potongan</v>
          </cell>
          <cell r="C679" t="str">
            <v>NHD</v>
          </cell>
        </row>
        <row r="680">
          <cell r="A680" t="str">
            <v>2-002-071-ST</v>
          </cell>
          <cell r="B680" t="str">
            <v>SILICONE TUBE</v>
          </cell>
          <cell r="C680" t="str">
            <v>NHD</v>
          </cell>
        </row>
        <row r="681">
          <cell r="A681" t="str">
            <v>2-006-008</v>
          </cell>
          <cell r="B681" t="str">
            <v>TWO-WAY SOLENOID VALVE (V46)SV2-322-S</v>
          </cell>
          <cell r="C681" t="str">
            <v>NHD</v>
          </cell>
        </row>
        <row r="682">
          <cell r="A682" t="str">
            <v>2-006-020</v>
          </cell>
          <cell r="B682" t="str">
            <v>CAP BLUE</v>
          </cell>
          <cell r="C682" t="str">
            <v>NHD</v>
          </cell>
        </row>
        <row r="683">
          <cell r="A683" t="str">
            <v>2-006-021</v>
          </cell>
          <cell r="B683" t="str">
            <v>CAP RED</v>
          </cell>
          <cell r="C683" t="str">
            <v>NHD</v>
          </cell>
        </row>
        <row r="684">
          <cell r="A684" t="str">
            <v>4-023-009</v>
          </cell>
          <cell r="B684" t="str">
            <v>Three Way Valve Electromagnetic (AV-3302-63-S)</v>
          </cell>
          <cell r="C684" t="str">
            <v>NHD</v>
          </cell>
        </row>
        <row r="685">
          <cell r="A685" t="str">
            <v>4-023-030</v>
          </cell>
          <cell r="B685" t="str">
            <v>HOSE CONNECTOR</v>
          </cell>
          <cell r="C685" t="str">
            <v>NHD</v>
          </cell>
        </row>
        <row r="686">
          <cell r="A686" t="str">
            <v>4-028-013</v>
          </cell>
          <cell r="B686" t="str">
            <v>STEPPING MOTOR</v>
          </cell>
          <cell r="C686" t="str">
            <v>NHD</v>
          </cell>
        </row>
        <row r="687">
          <cell r="A687" t="str">
            <v>4-030-020</v>
          </cell>
          <cell r="B687" t="str">
            <v>SPARE KIT  MDG-R2RA230-33/11 5-32 (SK-R2N)</v>
          </cell>
          <cell r="C687" t="str">
            <v>NHD</v>
          </cell>
        </row>
        <row r="688">
          <cell r="A688" t="str">
            <v>4-030-060</v>
          </cell>
          <cell r="B688" t="str">
            <v>WATER SUPPLY FILTER ASSY (F1) 93532000</v>
          </cell>
          <cell r="C688" t="str">
            <v>NHD</v>
          </cell>
        </row>
        <row r="689">
          <cell r="A689" t="str">
            <v>4-030-066</v>
          </cell>
          <cell r="B689" t="str">
            <v>PACKING</v>
          </cell>
          <cell r="C689" t="str">
            <v>NHD</v>
          </cell>
        </row>
        <row r="690">
          <cell r="A690" t="str">
            <v>4-030-077</v>
          </cell>
          <cell r="B690" t="str">
            <v>BLD CALIBRATION CARTRIDGE</v>
          </cell>
          <cell r="C690" t="str">
            <v>NHD</v>
          </cell>
        </row>
        <row r="691">
          <cell r="A691" t="str">
            <v>4-030-078</v>
          </cell>
          <cell r="B691" t="str">
            <v>BLOOD LEAK DETECTOR SENSOR (BLD)</v>
          </cell>
          <cell r="C691" t="str">
            <v>NHD</v>
          </cell>
        </row>
        <row r="692">
          <cell r="A692" t="str">
            <v>4-030-113</v>
          </cell>
          <cell r="B692" t="str">
            <v>PUMP HEAD TYPE B</v>
          </cell>
          <cell r="C692" t="str">
            <v>NHD</v>
          </cell>
        </row>
        <row r="693">
          <cell r="A693" t="str">
            <v>4-030-115</v>
          </cell>
          <cell r="B693" t="str">
            <v>PANEL HOSE CONNECTOR</v>
          </cell>
          <cell r="C693" t="str">
            <v>NHD</v>
          </cell>
        </row>
        <row r="694">
          <cell r="A694" t="str">
            <v>4-070-012</v>
          </cell>
          <cell r="B694" t="str">
            <v>PUMP BODY SET</v>
          </cell>
          <cell r="C694" t="str">
            <v>NHD</v>
          </cell>
        </row>
        <row r="695">
          <cell r="A695" t="str">
            <v>4-070-014</v>
          </cell>
          <cell r="B695" t="str">
            <v>MAGNET GEAR PUMP FOR P1</v>
          </cell>
          <cell r="C695" t="str">
            <v>NHD</v>
          </cell>
        </row>
        <row r="696">
          <cell r="A696" t="str">
            <v>4-091-004</v>
          </cell>
          <cell r="B696" t="str">
            <v>SENSOR HOLDER UNIT</v>
          </cell>
          <cell r="C696" t="str">
            <v>NHD</v>
          </cell>
        </row>
        <row r="697">
          <cell r="A697" t="str">
            <v>5-100-036</v>
          </cell>
          <cell r="B697" t="str">
            <v>Flat Kabel</v>
          </cell>
          <cell r="C697" t="str">
            <v>NHD</v>
          </cell>
        </row>
        <row r="698">
          <cell r="A698" t="str">
            <v>5-NRO-BAS-700-UG</v>
          </cell>
          <cell r="B698" t="str">
            <v>RO Medical Basic 700 L/H</v>
          </cell>
          <cell r="C698" t="str">
            <v>NHD</v>
          </cell>
        </row>
        <row r="699">
          <cell r="A699" t="str">
            <v>5-NRO-MED-1400-UG</v>
          </cell>
          <cell r="B699" t="str">
            <v>RO Medical 1400 L/H</v>
          </cell>
          <cell r="C699" t="str">
            <v>NHD</v>
          </cell>
        </row>
        <row r="700">
          <cell r="A700" t="str">
            <v>62-0390050-11LF</v>
          </cell>
          <cell r="B700" t="str">
            <v>POWER SUPPLY</v>
          </cell>
          <cell r="C700" t="str">
            <v>NHD</v>
          </cell>
        </row>
        <row r="701">
          <cell r="A701" t="str">
            <v>65-0390001-00LF</v>
          </cell>
          <cell r="B701" t="str">
            <v>STEPPING MOTOR</v>
          </cell>
          <cell r="C701" t="str">
            <v>NHD</v>
          </cell>
        </row>
        <row r="702">
          <cell r="A702" t="str">
            <v>6-NIA-0060-01</v>
          </cell>
          <cell r="B702" t="str">
            <v>hd pack-1b</v>
          </cell>
          <cell r="C702" t="str">
            <v>NHD</v>
          </cell>
        </row>
        <row r="703">
          <cell r="A703" t="str">
            <v>7022 PDM-11-WHITE</v>
          </cell>
          <cell r="B703" t="str">
            <v>Thermal Wristband 7022 PDM-11 WHITE</v>
          </cell>
          <cell r="C703" t="str">
            <v>NHD</v>
          </cell>
        </row>
        <row r="704">
          <cell r="A704" t="str">
            <v>7022 PDM-12-PINK</v>
          </cell>
          <cell r="B704" t="str">
            <v>Thermal Wristband 7022-12-PDM PINK</v>
          </cell>
          <cell r="C704" t="str">
            <v>NHD</v>
          </cell>
        </row>
        <row r="705">
          <cell r="A705" t="str">
            <v>7022 PDM-13-BLUE</v>
          </cell>
          <cell r="B705" t="str">
            <v>Thermal Wristband 7022-13-PDM BLUE</v>
          </cell>
          <cell r="C705" t="str">
            <v>NHD</v>
          </cell>
        </row>
        <row r="706">
          <cell r="A706" t="str">
            <v>7022 PDM-14-YELLOW</v>
          </cell>
          <cell r="B706" t="str">
            <v>Thermal Wristband 7022 PDM-14 YELLOW</v>
          </cell>
          <cell r="C706" t="str">
            <v>NHD</v>
          </cell>
        </row>
        <row r="707">
          <cell r="A707" t="str">
            <v>7022S PDM-12-PINK</v>
          </cell>
          <cell r="B707" t="str">
            <v>Thermal Wristband 7022S-12-PDM PINK</v>
          </cell>
          <cell r="C707" t="str">
            <v>NHD</v>
          </cell>
        </row>
        <row r="708">
          <cell r="A708" t="str">
            <v>7022S PDM-13-BLUE</v>
          </cell>
          <cell r="B708" t="str">
            <v>Thermal Wristband 7022S-13-PDM BLUE</v>
          </cell>
          <cell r="C708" t="str">
            <v>NHD</v>
          </cell>
        </row>
        <row r="709">
          <cell r="A709" t="str">
            <v>7022V PDM-12-PINK</v>
          </cell>
          <cell r="B709" t="str">
            <v>Thermal Wristband 7022V-12-PDM PINK</v>
          </cell>
          <cell r="C709" t="str">
            <v>NHD</v>
          </cell>
        </row>
        <row r="710">
          <cell r="A710" t="str">
            <v>7022V PDM-13-BLUE</v>
          </cell>
          <cell r="B710" t="str">
            <v>Thermal Wristband 7022V-13-PDM BLUE</v>
          </cell>
          <cell r="C710" t="str">
            <v>NHD</v>
          </cell>
        </row>
        <row r="711">
          <cell r="A711" t="str">
            <v>7023S PDM-11-WHITE</v>
          </cell>
          <cell r="B711" t="str">
            <v>Thermal Wristband 7023S PDM-11 WHITE</v>
          </cell>
          <cell r="C711" t="str">
            <v>NHD</v>
          </cell>
        </row>
        <row r="712">
          <cell r="A712" t="str">
            <v>7023S PDM-12-PINK</v>
          </cell>
          <cell r="B712" t="str">
            <v>Thermal Wristband 7023S-12-PDM PINK</v>
          </cell>
          <cell r="C712" t="str">
            <v>NHD</v>
          </cell>
        </row>
        <row r="713">
          <cell r="A713" t="str">
            <v>7023S PDM-13-BLUE</v>
          </cell>
          <cell r="B713" t="str">
            <v>Thermal Wristband 7023S-13-PDM BLUE</v>
          </cell>
          <cell r="C713" t="str">
            <v>NHD</v>
          </cell>
        </row>
        <row r="714">
          <cell r="A714" t="str">
            <v>7023S PDM-16-RED</v>
          </cell>
          <cell r="B714" t="str">
            <v>Thermal Wristband 7023S-16-PDM RED</v>
          </cell>
          <cell r="C714" t="str">
            <v>NHD</v>
          </cell>
        </row>
        <row r="715">
          <cell r="A715" t="str">
            <v>7023STC PDM-12-PINK</v>
          </cell>
          <cell r="B715" t="str">
            <v>Thermal Wristband 7023STC-12-PDM PINK</v>
          </cell>
          <cell r="C715" t="str">
            <v>NHD</v>
          </cell>
        </row>
        <row r="716">
          <cell r="A716" t="str">
            <v>7023STC PDM-13-BLUE</v>
          </cell>
          <cell r="B716" t="str">
            <v>Thermal Wristband 7023STC-13-PDM BLUE</v>
          </cell>
          <cell r="C716" t="str">
            <v>NHD</v>
          </cell>
        </row>
        <row r="717">
          <cell r="A717" t="str">
            <v>7041S PDM-11-WHITE</v>
          </cell>
          <cell r="B717" t="str">
            <v>Thermal Wristband 7041S PDM-11 WHITE</v>
          </cell>
          <cell r="C717" t="str">
            <v>NHD</v>
          </cell>
        </row>
        <row r="718">
          <cell r="A718" t="str">
            <v>7041S PDM-13-BLUE</v>
          </cell>
          <cell r="B718" t="str">
            <v>Thermal Wristband 7041S PDM-13 BLUE</v>
          </cell>
          <cell r="C718" t="str">
            <v>NHD</v>
          </cell>
        </row>
        <row r="719">
          <cell r="A719" t="str">
            <v>7041S PDM-16-RED</v>
          </cell>
          <cell r="B719" t="str">
            <v>Thermal Wristband 7041S PDM-16 RED</v>
          </cell>
          <cell r="C719" t="str">
            <v>NHD</v>
          </cell>
        </row>
        <row r="720">
          <cell r="A720" t="str">
            <v>7042 PDM-11-WHITE</v>
          </cell>
          <cell r="B720" t="str">
            <v>Thermal Wristband 7042 PDM-11 WHITE</v>
          </cell>
          <cell r="C720" t="str">
            <v>NHD</v>
          </cell>
        </row>
        <row r="721">
          <cell r="A721" t="str">
            <v>7042 PDM-13-BLUE</v>
          </cell>
          <cell r="B721" t="str">
            <v>Thermal Wristband 7042 PDM-13 BLUE</v>
          </cell>
          <cell r="C721" t="str">
            <v>NHD</v>
          </cell>
        </row>
        <row r="722">
          <cell r="A722" t="str">
            <v>7081 PDL-12-PINK</v>
          </cell>
          <cell r="B722" t="str">
            <v>Thermal Wristband 7081-12-PDL PINK</v>
          </cell>
          <cell r="C722" t="str">
            <v>NHD</v>
          </cell>
        </row>
        <row r="723">
          <cell r="A723" t="str">
            <v>7081 PDL-13-BLUE</v>
          </cell>
          <cell r="B723" t="str">
            <v>Thermal Wristband 7081-13-PDL BLUE</v>
          </cell>
          <cell r="C723" t="str">
            <v>NHD</v>
          </cell>
        </row>
        <row r="724">
          <cell r="A724" t="str">
            <v>7081 PDM-11-WHITE</v>
          </cell>
          <cell r="B724" t="str">
            <v>Thermal Wristband 7081 PDM-11 WHITE</v>
          </cell>
          <cell r="C724" t="str">
            <v>NHD</v>
          </cell>
        </row>
        <row r="725">
          <cell r="A725" t="str">
            <v>7081 PDM-12-PINK</v>
          </cell>
          <cell r="B725" t="str">
            <v>Thermal Wristband 7081 PDM-12 PINK</v>
          </cell>
          <cell r="C725" t="str">
            <v>NHD</v>
          </cell>
        </row>
        <row r="726">
          <cell r="A726" t="str">
            <v>7701 PDL-11-WHITE</v>
          </cell>
          <cell r="B726" t="str">
            <v>Thermal Wristband 7701-11-PDL WHITE</v>
          </cell>
          <cell r="C726" t="str">
            <v>NHD</v>
          </cell>
        </row>
        <row r="727">
          <cell r="A727" t="str">
            <v>7701 PDL-12-PINK</v>
          </cell>
          <cell r="B727" t="str">
            <v>Thermal Wristband 7701-12-PDL PINK</v>
          </cell>
          <cell r="C727" t="str">
            <v>NHD</v>
          </cell>
        </row>
        <row r="728">
          <cell r="A728" t="str">
            <v>7701 PDL-13-BLUE</v>
          </cell>
          <cell r="B728" t="str">
            <v>Thermal Wristband 7701-13-PDL BLUE</v>
          </cell>
          <cell r="C728" t="str">
            <v>NHD</v>
          </cell>
        </row>
        <row r="729">
          <cell r="A729" t="str">
            <v>7701-49 PDL-PBLUE</v>
          </cell>
          <cell r="B729" t="str">
            <v>Thermal Wristband 7701-49-PDL PANDA BLUE</v>
          </cell>
          <cell r="C729" t="str">
            <v>NHD</v>
          </cell>
        </row>
        <row r="730">
          <cell r="A730" t="str">
            <v>7702 PDL-12-PINK</v>
          </cell>
          <cell r="B730" t="str">
            <v>Thermal Wristband 7702-12-PDL PINK</v>
          </cell>
          <cell r="C730" t="str">
            <v>NHD</v>
          </cell>
        </row>
        <row r="731">
          <cell r="A731" t="str">
            <v>7702-49 PDL-PPINK</v>
          </cell>
          <cell r="B731" t="str">
            <v>Thermal Wristband 7702-49-PDL PANDA PINK</v>
          </cell>
          <cell r="C731" t="str">
            <v>NHD</v>
          </cell>
        </row>
        <row r="732">
          <cell r="A732" t="str">
            <v>7751-12-PDO-PINK</v>
          </cell>
          <cell r="B732" t="str">
            <v>TenderCare Maternal Child Thermal 7751-12-PDO-PINK</v>
          </cell>
          <cell r="C732" t="str">
            <v>NHD</v>
          </cell>
        </row>
        <row r="733">
          <cell r="A733" t="str">
            <v>7751-13-PDO-B</v>
          </cell>
          <cell r="B733" t="str">
            <v>TenderCare Maternal Child Thermal 7751-13-PDO-BLUE</v>
          </cell>
          <cell r="C733" t="str">
            <v>NHD</v>
          </cell>
        </row>
        <row r="734">
          <cell r="A734" t="str">
            <v>7751-13-PDO-BLUE</v>
          </cell>
          <cell r="B734" t="str">
            <v>TenderCare Maternal Child Thermal 7751-13-PDO-BLUE</v>
          </cell>
          <cell r="C734" t="str">
            <v>NHD</v>
          </cell>
        </row>
        <row r="735">
          <cell r="A735" t="str">
            <v>7751T-PDO-13-BLUE</v>
          </cell>
          <cell r="B735" t="str">
            <v>Tendercare 2 Part Maternal Child Thermal BLUE</v>
          </cell>
          <cell r="C735" t="str">
            <v>NHD</v>
          </cell>
        </row>
        <row r="736">
          <cell r="A736" t="str">
            <v>8620A-16-PDO</v>
          </cell>
          <cell r="B736" t="str">
            <v>ALERT COLORED SNAPS 8620A-16-PDO ALLERGY RED</v>
          </cell>
          <cell r="C736" t="str">
            <v>NHD</v>
          </cell>
        </row>
        <row r="737">
          <cell r="A737" t="str">
            <v>8620D-33-PDO</v>
          </cell>
          <cell r="B737" t="str">
            <v>ALERT COLORED SNAPS 8620D-33-PDO DNR PURPLE</v>
          </cell>
          <cell r="C737" t="str">
            <v>NHD</v>
          </cell>
        </row>
        <row r="738">
          <cell r="A738" t="str">
            <v>8620F-14-PDO</v>
          </cell>
          <cell r="B738" t="str">
            <v>ALERT COLORED SNAPS 8620F-14-PDO FALL RISK YELLOW</v>
          </cell>
          <cell r="C738" t="str">
            <v>NHD</v>
          </cell>
        </row>
        <row r="739">
          <cell r="A739" t="str">
            <v>8620L-37-PDO</v>
          </cell>
          <cell r="B739" t="str">
            <v>ALERT COLORED SNAPS 8620L-37-PDO LIMB ALERT PINK</v>
          </cell>
          <cell r="C739" t="str">
            <v>NHD</v>
          </cell>
        </row>
        <row r="740">
          <cell r="A740" t="str">
            <v>8620LT-22-PDO</v>
          </cell>
          <cell r="B740" t="str">
            <v>ALERT COLORED SNAPS 8620LT-22-PDO NO LATEX-GREEN</v>
          </cell>
          <cell r="C740" t="str">
            <v>NHD</v>
          </cell>
        </row>
        <row r="741">
          <cell r="A741" t="str">
            <v>8620T-22-PDO</v>
          </cell>
          <cell r="B741" t="str">
            <v>ALERT COLORED SNAPS 8620T-22-PDO NO LATEX GREEN</v>
          </cell>
          <cell r="C741" t="str">
            <v>NHD</v>
          </cell>
        </row>
        <row r="742">
          <cell r="A742" t="str">
            <v>9-001-025</v>
          </cell>
          <cell r="B742" t="str">
            <v>INSULOCK</v>
          </cell>
          <cell r="C742" t="str">
            <v>NHD</v>
          </cell>
        </row>
        <row r="743">
          <cell r="A743" t="str">
            <v>9-001-056</v>
          </cell>
          <cell r="B743" t="str">
            <v>SEAL TAPE.</v>
          </cell>
          <cell r="C743" t="str">
            <v>NHD</v>
          </cell>
        </row>
        <row r="744">
          <cell r="A744" t="str">
            <v>9-001-102</v>
          </cell>
          <cell r="B744" t="str">
            <v>GASKET</v>
          </cell>
          <cell r="C744" t="str">
            <v>NHD</v>
          </cell>
        </row>
        <row r="745">
          <cell r="A745" t="str">
            <v>9-001-103</v>
          </cell>
          <cell r="B745" t="str">
            <v>O RING</v>
          </cell>
          <cell r="C745" t="str">
            <v>NHD</v>
          </cell>
        </row>
        <row r="746">
          <cell r="A746" t="str">
            <v>9-001-121</v>
          </cell>
          <cell r="B746" t="str">
            <v>O RING</v>
          </cell>
          <cell r="C746" t="str">
            <v>NHD</v>
          </cell>
        </row>
        <row r="747">
          <cell r="A747" t="str">
            <v>9-001-123</v>
          </cell>
          <cell r="B747" t="str">
            <v>O RING</v>
          </cell>
          <cell r="C747" t="str">
            <v>NHD</v>
          </cell>
        </row>
        <row r="748">
          <cell r="A748" t="str">
            <v>9-001-131</v>
          </cell>
          <cell r="B748" t="str">
            <v>SEAL TAPE (0.1 mm X 8 mm)</v>
          </cell>
          <cell r="C748" t="str">
            <v>NHD</v>
          </cell>
        </row>
        <row r="749">
          <cell r="A749" t="str">
            <v>9-004-038</v>
          </cell>
          <cell r="B749" t="str">
            <v>Silicon Tube 5 x 11v HS</v>
          </cell>
          <cell r="C749" t="str">
            <v>NHD</v>
          </cell>
        </row>
        <row r="750">
          <cell r="A750" t="str">
            <v>9-004-038-ST</v>
          </cell>
          <cell r="B750" t="str">
            <v>Silicon Tube 5 x 11v HS</v>
          </cell>
          <cell r="C750" t="str">
            <v>NHD</v>
          </cell>
        </row>
        <row r="751">
          <cell r="A751" t="str">
            <v>9-006-123</v>
          </cell>
          <cell r="B751" t="str">
            <v>FILTER</v>
          </cell>
          <cell r="C751" t="str">
            <v>NHD</v>
          </cell>
        </row>
        <row r="752">
          <cell r="A752" t="str">
            <v>9-006-130</v>
          </cell>
          <cell r="B752" t="str">
            <v>CL FILTER TYPE B SSM-10069</v>
          </cell>
          <cell r="C752" t="str">
            <v>NHD</v>
          </cell>
        </row>
        <row r="753">
          <cell r="A753" t="str">
            <v>9-006-132</v>
          </cell>
          <cell r="B753" t="str">
            <v>PACKING</v>
          </cell>
          <cell r="C753" t="str">
            <v>NHD</v>
          </cell>
        </row>
        <row r="754">
          <cell r="A754" t="str">
            <v>9-506-056</v>
          </cell>
          <cell r="B754" t="str">
            <v>SEAL TAPE (0.1 mm X 13 mm)</v>
          </cell>
          <cell r="C754" t="str">
            <v>NHD</v>
          </cell>
        </row>
        <row r="755">
          <cell r="A755" t="str">
            <v>98-0390005-00LF</v>
          </cell>
          <cell r="B755" t="str">
            <v>PRINT HEAD MODULE</v>
          </cell>
          <cell r="C755" t="str">
            <v>NHD</v>
          </cell>
        </row>
        <row r="756">
          <cell r="A756" t="str">
            <v>98-0390009-00LF</v>
          </cell>
          <cell r="B756" t="str">
            <v>PLATTEN ROLLER ASSEMBLY</v>
          </cell>
          <cell r="C756" t="str">
            <v>NHD</v>
          </cell>
        </row>
        <row r="757">
          <cell r="A757" t="str">
            <v>98-0390020-10LF</v>
          </cell>
          <cell r="B757" t="str">
            <v>MEDIA SENSOR ASSEMBLY</v>
          </cell>
          <cell r="C757" t="str">
            <v>NHD</v>
          </cell>
        </row>
        <row r="758">
          <cell r="A758" t="str">
            <v>98-0390026-00LF</v>
          </cell>
          <cell r="B758" t="str">
            <v>GAP SENSOR ASSEMBLY-RECEIVER</v>
          </cell>
          <cell r="C758" t="str">
            <v>NHD</v>
          </cell>
        </row>
        <row r="759">
          <cell r="A759" t="str">
            <v>98-0390036-10LF</v>
          </cell>
          <cell r="B759" t="str">
            <v>FEED BUTTON PCB ASSEMBLY-LCD MODULE</v>
          </cell>
          <cell r="C759" t="str">
            <v>NHD</v>
          </cell>
        </row>
        <row r="760">
          <cell r="A760" t="str">
            <v>98-0390039-50LF</v>
          </cell>
          <cell r="B760" t="str">
            <v>MAIN BOARD ASSEMBLY</v>
          </cell>
          <cell r="C760" t="str">
            <v>NHD</v>
          </cell>
        </row>
        <row r="761">
          <cell r="A761" t="str">
            <v>98-0400020-51LF</v>
          </cell>
          <cell r="B761" t="str">
            <v>ETHERNET INTERFACE BOARD ASSEMBLY</v>
          </cell>
          <cell r="C761" t="str">
            <v>NHD</v>
          </cell>
        </row>
        <row r="762">
          <cell r="A762" t="str">
            <v>A016-R-V604R</v>
          </cell>
          <cell r="B762" t="str">
            <v>BLOOD TUBING SET A016+R/V604R-N</v>
          </cell>
          <cell r="C762" t="str">
            <v>HD</v>
          </cell>
        </row>
        <row r="763">
          <cell r="A763" t="str">
            <v>A057-V657</v>
          </cell>
          <cell r="B763" t="str">
            <v>BLOOD LINE A057/V657</v>
          </cell>
          <cell r="C763" t="str">
            <v>NHD</v>
          </cell>
        </row>
        <row r="764">
          <cell r="A764" t="str">
            <v>A060-V658</v>
          </cell>
          <cell r="B764" t="str">
            <v>BLOOD TUBING SET A060/V658</v>
          </cell>
          <cell r="C764" t="str">
            <v>NHD</v>
          </cell>
        </row>
        <row r="765">
          <cell r="A765" t="str">
            <v>A073-V650</v>
          </cell>
          <cell r="B765" t="str">
            <v>BLOOD TUBING SET A073/V650 (G3D) Without Scale</v>
          </cell>
          <cell r="C765" t="str">
            <v>NHD</v>
          </cell>
        </row>
        <row r="766">
          <cell r="A766" t="str">
            <v>A107</v>
          </cell>
          <cell r="B766" t="str">
            <v>BLOOD TUBING SET A107</v>
          </cell>
          <cell r="C766" t="str">
            <v>NHD</v>
          </cell>
        </row>
        <row r="767">
          <cell r="A767" t="str">
            <v>A133-V702</v>
          </cell>
          <cell r="B767" t="str">
            <v>BLOOD TUBING SET PEDIATRIC A133/V702</v>
          </cell>
          <cell r="C767" t="str">
            <v>HD</v>
          </cell>
        </row>
        <row r="768">
          <cell r="A768" t="str">
            <v>A268-V778</v>
          </cell>
          <cell r="B768" t="str">
            <v>BLOOD TUBING SET A268 / V 778</v>
          </cell>
          <cell r="C768" t="str">
            <v>NHD</v>
          </cell>
        </row>
        <row r="769">
          <cell r="A769" t="str">
            <v>A368-05L</v>
          </cell>
          <cell r="B769" t="str">
            <v>HESOL A368-5L Acid Concentrate</v>
          </cell>
          <cell r="C769" t="str">
            <v>NHD</v>
          </cell>
        </row>
        <row r="770">
          <cell r="A770" t="str">
            <v>ABSBH</v>
          </cell>
          <cell r="B770" t="str">
            <v>Bed Bracket Bulat SS ABSBH</v>
          </cell>
          <cell r="C770" t="str">
            <v>NHD</v>
          </cell>
        </row>
        <row r="771">
          <cell r="A771" t="str">
            <v>AB-SD-2518</v>
          </cell>
          <cell r="B771" t="str">
            <v>AB-SD-2518 (ABRAX DRUG ELUTING STENT)</v>
          </cell>
          <cell r="C771" t="str">
            <v>NHD</v>
          </cell>
        </row>
        <row r="772">
          <cell r="A772" t="str">
            <v>AB-SD-2538</v>
          </cell>
          <cell r="B772" t="str">
            <v>AB-SD-2538 (ABRAX DRUG ELUTING STENT)</v>
          </cell>
          <cell r="C772" t="str">
            <v>NHD</v>
          </cell>
        </row>
        <row r="773">
          <cell r="A773" t="str">
            <v>AB-SD-2718</v>
          </cell>
          <cell r="B773" t="str">
            <v>AB-SD-2718 (ABRAX DRUG ELUTING STENT)</v>
          </cell>
          <cell r="C773" t="str">
            <v>NHD</v>
          </cell>
        </row>
        <row r="774">
          <cell r="A774" t="str">
            <v>AB-SD-2724</v>
          </cell>
          <cell r="B774" t="str">
            <v>AB-SD-2724 (ABRAX DRUG ELUTING STENT)</v>
          </cell>
          <cell r="C774" t="str">
            <v>NHD</v>
          </cell>
        </row>
        <row r="775">
          <cell r="A775" t="str">
            <v>AB-SD-2728</v>
          </cell>
          <cell r="B775" t="str">
            <v>AB-SD-2728 (ABRAX DRUG ELUTING STENT)</v>
          </cell>
          <cell r="C775" t="str">
            <v>NHD</v>
          </cell>
        </row>
        <row r="776">
          <cell r="A776" t="str">
            <v>AB-SD-2738</v>
          </cell>
          <cell r="B776" t="str">
            <v>AB-SD-2738 (ABRAX DRUG ELUTING STENT)</v>
          </cell>
          <cell r="C776" t="str">
            <v>NHD</v>
          </cell>
        </row>
        <row r="777">
          <cell r="A777" t="str">
            <v>AB-SD-3018</v>
          </cell>
          <cell r="B777" t="str">
            <v>AB-SD-3018 (ABRAX DRUG ELUTING STENT)</v>
          </cell>
          <cell r="C777" t="str">
            <v>NHD</v>
          </cell>
        </row>
        <row r="778">
          <cell r="A778" t="str">
            <v>AB-SD-3024</v>
          </cell>
          <cell r="B778" t="str">
            <v>AB-SD-3024 (ABRAX DRUG ELUTING STENT)</v>
          </cell>
          <cell r="C778" t="str">
            <v>NHD</v>
          </cell>
        </row>
        <row r="779">
          <cell r="A779" t="str">
            <v>AB-SD-3028</v>
          </cell>
          <cell r="B779" t="str">
            <v>AB-SD-3028 (ABRAX DRUG ELUTING STENT)</v>
          </cell>
          <cell r="C779" t="str">
            <v>NHD</v>
          </cell>
        </row>
        <row r="780">
          <cell r="A780" t="str">
            <v>AB-SD-3038</v>
          </cell>
          <cell r="B780" t="str">
            <v>AB-SD-3038 (ABRAX DRUG ELUTING STENT)</v>
          </cell>
          <cell r="C780" t="str">
            <v>NHD</v>
          </cell>
        </row>
        <row r="781">
          <cell r="A781" t="str">
            <v>AB-SD-3518</v>
          </cell>
          <cell r="B781" t="str">
            <v>AB-SD-3518 (ABRAX DRUG ELUTING STENT)</v>
          </cell>
          <cell r="C781" t="str">
            <v>NHD</v>
          </cell>
        </row>
        <row r="782">
          <cell r="A782" t="str">
            <v>AB-SD-3524</v>
          </cell>
          <cell r="B782" t="str">
            <v>AB-SD-3524 (ABRAX DRUG ELUTING STENT)</v>
          </cell>
          <cell r="C782" t="str">
            <v>NHD</v>
          </cell>
        </row>
        <row r="783">
          <cell r="A783" t="str">
            <v>ACSWAB</v>
          </cell>
          <cell r="B783" t="str">
            <v>ACSWAB (Alkohol Swab)</v>
          </cell>
          <cell r="C783" t="str">
            <v>NHD</v>
          </cell>
        </row>
        <row r="784">
          <cell r="A784" t="str">
            <v>A-GUIDEPLUSK-E</v>
          </cell>
          <cell r="B784" t="str">
            <v>GUIDE EXTENSION CATHETER</v>
          </cell>
          <cell r="C784" t="str">
            <v>NHD</v>
          </cell>
        </row>
        <row r="785">
          <cell r="A785" t="str">
            <v>AHMOB</v>
          </cell>
          <cell r="B785" t="str">
            <v>HEMAPO Inj 3000 Iu/Ml</v>
          </cell>
          <cell r="C785" t="str">
            <v>NHD</v>
          </cell>
        </row>
        <row r="786">
          <cell r="A786" t="str">
            <v>AK05L</v>
          </cell>
          <cell r="B786" t="str">
            <v>CONCENTRATE TYPE AK @5 LTR</v>
          </cell>
          <cell r="C786" t="str">
            <v>NHD</v>
          </cell>
        </row>
        <row r="787">
          <cell r="A787" t="str">
            <v>AK05-P</v>
          </cell>
          <cell r="B787" t="str">
            <v>CONCENTRATE TYPE AK5LTR-P</v>
          </cell>
          <cell r="C787" t="str">
            <v>NHD</v>
          </cell>
        </row>
        <row r="788">
          <cell r="A788" t="str">
            <v>AK10L</v>
          </cell>
          <cell r="B788" t="str">
            <v>ACID CONCENTRATE TYPE AK @10 LTR</v>
          </cell>
          <cell r="C788" t="str">
            <v>HD</v>
          </cell>
        </row>
        <row r="789">
          <cell r="A789" t="str">
            <v>AK10L-MA1</v>
          </cell>
          <cell r="B789" t="str">
            <v>RENAL ACID CONCENTRATE TYPE A1 @10 LTR</v>
          </cell>
          <cell r="C789" t="str">
            <v>NHD</v>
          </cell>
        </row>
        <row r="790">
          <cell r="A790" t="str">
            <v>AK1-10L</v>
          </cell>
          <cell r="B790" t="str">
            <v>ACID CONCENTRATE TYPE AK1 @10 LTR</v>
          </cell>
          <cell r="C790" t="str">
            <v>HD</v>
          </cell>
        </row>
        <row r="791">
          <cell r="A791" t="str">
            <v>AK1-10LMA23</v>
          </cell>
          <cell r="B791" t="str">
            <v>HD RENAL ACID CONCENTRATE TYPE A23 @10 LTR</v>
          </cell>
          <cell r="C791" t="str">
            <v>NHD</v>
          </cell>
        </row>
        <row r="792">
          <cell r="A792" t="str">
            <v>AK1-5L</v>
          </cell>
          <cell r="B792" t="str">
            <v>CONCENTRATE TYPE AK1 @5 LTR</v>
          </cell>
          <cell r="C792" t="str">
            <v>NHD</v>
          </cell>
        </row>
        <row r="793">
          <cell r="A793" t="str">
            <v>AK1-5L SET</v>
          </cell>
          <cell r="B793" t="str">
            <v>CONCENTRATE TYPE AK1 @5 LTR</v>
          </cell>
          <cell r="C793" t="str">
            <v>NHD</v>
          </cell>
        </row>
        <row r="794">
          <cell r="A794" t="str">
            <v>ALKOHOL 70 1 LITER</v>
          </cell>
          <cell r="B794" t="str">
            <v>ALKOHOL 70% 1 Liter</v>
          </cell>
          <cell r="C794" t="str">
            <v>NHD</v>
          </cell>
        </row>
        <row r="795">
          <cell r="A795" t="str">
            <v>ALKOHOL PAD</v>
          </cell>
          <cell r="B795" t="str">
            <v>ALKOHOL PAD</v>
          </cell>
          <cell r="C795" t="str">
            <v>NHD</v>
          </cell>
        </row>
        <row r="796">
          <cell r="A796" t="str">
            <v>AMPOULE01</v>
          </cell>
          <cell r="B796" t="str">
            <v>Ampoule 1 ml</v>
          </cell>
          <cell r="C796" t="str">
            <v>NHD</v>
          </cell>
        </row>
        <row r="797">
          <cell r="A797" t="str">
            <v>AMPOULE02</v>
          </cell>
          <cell r="B797" t="str">
            <v>Ampoule 2 ml</v>
          </cell>
          <cell r="C797" t="str">
            <v>NHD</v>
          </cell>
        </row>
        <row r="798">
          <cell r="A798" t="str">
            <v>AMPOULE05</v>
          </cell>
          <cell r="B798" t="str">
            <v>Ampoule 5 ml</v>
          </cell>
          <cell r="C798" t="str">
            <v>NHD</v>
          </cell>
        </row>
        <row r="799">
          <cell r="A799" t="str">
            <v>AMPOULE10</v>
          </cell>
          <cell r="B799" t="str">
            <v>Ampoule 10 ml</v>
          </cell>
          <cell r="C799" t="str">
            <v>NHD</v>
          </cell>
        </row>
        <row r="800">
          <cell r="A800" t="str">
            <v>ANFRA</v>
          </cell>
          <cell r="B800" t="str">
            <v>ANFRA (Nefrofer 5ml @ 5 Ampul)</v>
          </cell>
          <cell r="C800" t="str">
            <v>NHD</v>
          </cell>
        </row>
        <row r="801">
          <cell r="A801" t="str">
            <v>AP 520T-11</v>
          </cell>
          <cell r="B801" t="str">
            <v>ADULT PEDIATRIC A520T-11 WHITE</v>
          </cell>
          <cell r="C801" t="str">
            <v>NHD</v>
          </cell>
        </row>
        <row r="802">
          <cell r="A802" t="str">
            <v>AP 520T-12</v>
          </cell>
          <cell r="B802" t="str">
            <v>ADULT PEDIATRIC AP520T-12 PINK</v>
          </cell>
          <cell r="C802" t="str">
            <v>NHD</v>
          </cell>
        </row>
        <row r="803">
          <cell r="A803" t="str">
            <v>AP 520T-13</v>
          </cell>
          <cell r="B803" t="str">
            <v>ADULT PEDIATRIC AP520T-13 DARK BLUE</v>
          </cell>
          <cell r="C803" t="str">
            <v>NHD</v>
          </cell>
        </row>
        <row r="804">
          <cell r="A804" t="str">
            <v>AP 520T-14</v>
          </cell>
          <cell r="B804" t="str">
            <v>ADULT PEDIATRIC AP520T-14 YELLOW</v>
          </cell>
          <cell r="C804" t="str">
            <v>NHD</v>
          </cell>
        </row>
        <row r="805">
          <cell r="A805" t="str">
            <v>AP 520T-16</v>
          </cell>
          <cell r="B805" t="str">
            <v>ADULT PEDIATRIC AP520T-16 RED</v>
          </cell>
          <cell r="C805" t="str">
            <v>NHD</v>
          </cell>
        </row>
        <row r="806">
          <cell r="A806" t="str">
            <v>AP 520T-18</v>
          </cell>
          <cell r="B806" t="str">
            <v>ADULT/PEDIATRIC 520T-18 (LIGHT BLUE)</v>
          </cell>
          <cell r="C806" t="str">
            <v>NHD</v>
          </cell>
        </row>
        <row r="807">
          <cell r="A807" t="str">
            <v>AP120-11</v>
          </cell>
          <cell r="B807" t="str">
            <v>ADULT PEDIATRIC AP120-11 WHITE</v>
          </cell>
          <cell r="C807" t="str">
            <v>NHD</v>
          </cell>
        </row>
        <row r="808">
          <cell r="A808" t="str">
            <v>AP120-12</v>
          </cell>
          <cell r="B808" t="str">
            <v>ADULT PEDIATRIC AP120-12 PINK</v>
          </cell>
          <cell r="C808" t="str">
            <v>NHD</v>
          </cell>
        </row>
        <row r="809">
          <cell r="A809" t="str">
            <v>AP120-15</v>
          </cell>
          <cell r="B809" t="str">
            <v>ADULT PEDIATRIC 120-15(GREEN)</v>
          </cell>
          <cell r="C809" t="str">
            <v>NHD</v>
          </cell>
        </row>
        <row r="810">
          <cell r="A810" t="str">
            <v>AP120-16</v>
          </cell>
          <cell r="B810" t="str">
            <v>ADULT PEDIATRIC AP120-16 RED</v>
          </cell>
          <cell r="C810" t="str">
            <v>NHD</v>
          </cell>
        </row>
        <row r="811">
          <cell r="A811" t="str">
            <v>AP120-18</v>
          </cell>
          <cell r="B811" t="str">
            <v>ADULT PEDIATRIC AP120-18 BLUE</v>
          </cell>
          <cell r="C811" t="str">
            <v>NHD</v>
          </cell>
        </row>
        <row r="812">
          <cell r="A812" t="str">
            <v>AP120T-11</v>
          </cell>
          <cell r="B812" t="str">
            <v>ADULT PEDIATRIC AP120T-11 WHITE</v>
          </cell>
          <cell r="C812" t="str">
            <v>NHD</v>
          </cell>
        </row>
        <row r="813">
          <cell r="A813" t="str">
            <v>AP120T-12</v>
          </cell>
          <cell r="B813" t="str">
            <v>ADULT PEDIATRIC AP120T-12 PINK</v>
          </cell>
          <cell r="C813" t="str">
            <v>NHD</v>
          </cell>
        </row>
        <row r="814">
          <cell r="A814" t="str">
            <v>AP120T-12-RSAM</v>
          </cell>
          <cell r="B814" t="str">
            <v>ADULT PEDIATRIC AP120T-12 PINK RSAM</v>
          </cell>
          <cell r="C814" t="str">
            <v>NHD</v>
          </cell>
        </row>
        <row r="815">
          <cell r="A815" t="str">
            <v>AP120T-12-RSFM</v>
          </cell>
          <cell r="B815" t="str">
            <v>ADULT PEDIATRIC AP120T-12 PINK RSFM</v>
          </cell>
          <cell r="C815" t="str">
            <v>NHD</v>
          </cell>
        </row>
        <row r="816">
          <cell r="A816" t="str">
            <v>AP120T-12-RSPC</v>
          </cell>
          <cell r="B816" t="str">
            <v>ADULT PEDIATRIC AP120T-12 PINK RSPC</v>
          </cell>
          <cell r="C816" t="str">
            <v>NHD</v>
          </cell>
        </row>
        <row r="817">
          <cell r="A817" t="str">
            <v>AP120T-16</v>
          </cell>
          <cell r="B817" t="str">
            <v>ADULT PEDIATRIC AP120T-16 RED</v>
          </cell>
          <cell r="C817" t="str">
            <v>NHD</v>
          </cell>
        </row>
        <row r="818">
          <cell r="A818" t="str">
            <v>AP120T-18</v>
          </cell>
          <cell r="B818" t="str">
            <v>ADULT PEDIATRIC AP120T-18 BLUE</v>
          </cell>
          <cell r="C818" t="str">
            <v>NHD</v>
          </cell>
        </row>
        <row r="819">
          <cell r="A819" t="str">
            <v>AP120T-18-RSAM</v>
          </cell>
          <cell r="B819" t="str">
            <v>ADULT PEDIATRIC AP120T-18 BLUE RSAM</v>
          </cell>
          <cell r="C819" t="str">
            <v>NHD</v>
          </cell>
        </row>
        <row r="820">
          <cell r="A820" t="str">
            <v>AP120T-18-RSFM</v>
          </cell>
          <cell r="B820" t="str">
            <v>ADULT PEDIATRIC AP120T-18 BLUE RSFM</v>
          </cell>
          <cell r="C820" t="str">
            <v>NHD</v>
          </cell>
        </row>
        <row r="821">
          <cell r="A821" t="str">
            <v>AP120T-18-RSPC</v>
          </cell>
          <cell r="B821" t="str">
            <v>ADULT PEDIATRIC AP120T-18 BLUE RSPC</v>
          </cell>
          <cell r="C821" t="str">
            <v>NHD</v>
          </cell>
        </row>
        <row r="822">
          <cell r="A822" t="str">
            <v>APD-BAJU 50 GRAM</v>
          </cell>
          <cell r="B822" t="str">
            <v>BAJU APD 50 GRAM SPOUNBOUND</v>
          </cell>
          <cell r="C822" t="str">
            <v>NHD</v>
          </cell>
        </row>
        <row r="823">
          <cell r="A823" t="str">
            <v>APRN</v>
          </cell>
          <cell r="B823" t="str">
            <v>APRN (Apron)</v>
          </cell>
          <cell r="C823" t="str">
            <v>NHD</v>
          </cell>
        </row>
        <row r="824">
          <cell r="A824" t="str">
            <v>AQ 32260 AR</v>
          </cell>
          <cell r="B824" t="str">
            <v>Aqualiner Guidewire 32260 Angled Regular</v>
          </cell>
          <cell r="C824" t="str">
            <v>NHD</v>
          </cell>
        </row>
        <row r="825">
          <cell r="A825" t="str">
            <v>AQ 35150 AR</v>
          </cell>
          <cell r="B825" t="str">
            <v>Aqualiner Guidewire 35150 Angled Regular</v>
          </cell>
          <cell r="C825" t="str">
            <v>NHD</v>
          </cell>
        </row>
        <row r="826">
          <cell r="A826" t="str">
            <v>AQ 35180 AR</v>
          </cell>
          <cell r="B826" t="str">
            <v>Aqualiner Guidewire 35180 Angled Regular</v>
          </cell>
          <cell r="C826" t="str">
            <v>NHD</v>
          </cell>
        </row>
        <row r="827">
          <cell r="A827" t="str">
            <v>AQ 35180 AS</v>
          </cell>
          <cell r="B827" t="str">
            <v>Aqualiner Guidewire 35180 Angled Stiff</v>
          </cell>
          <cell r="C827" t="str">
            <v>NHD</v>
          </cell>
        </row>
        <row r="828">
          <cell r="A828" t="str">
            <v>AQ 35260 AR</v>
          </cell>
          <cell r="B828" t="str">
            <v>Aqualiner Guidewire 35260 Angled Regular</v>
          </cell>
          <cell r="C828" t="str">
            <v>NHD</v>
          </cell>
        </row>
        <row r="829">
          <cell r="A829" t="str">
            <v>AQ 35260 AS</v>
          </cell>
          <cell r="B829" t="str">
            <v>Aqualiner Guidewire 35260 Angled Stiff</v>
          </cell>
          <cell r="C829" t="str">
            <v>NHD</v>
          </cell>
        </row>
        <row r="830">
          <cell r="A830" t="str">
            <v>AQ 38150 AR</v>
          </cell>
          <cell r="B830" t="str">
            <v>Aqualiner Guidewire 38150 Angled Regular</v>
          </cell>
          <cell r="C830" t="str">
            <v>NHD</v>
          </cell>
        </row>
        <row r="831">
          <cell r="A831" t="str">
            <v>AQ 38260 AS</v>
          </cell>
          <cell r="B831" t="str">
            <v>Aqualiner Guidewire 38260 Angled Stiff</v>
          </cell>
          <cell r="C831" t="str">
            <v>NHD</v>
          </cell>
        </row>
        <row r="832">
          <cell r="A832" t="str">
            <v>ASEPTAN</v>
          </cell>
          <cell r="B832" t="str">
            <v>ASEPTAN (Hand Rub Cair)</v>
          </cell>
          <cell r="C832" t="str">
            <v>NHD</v>
          </cell>
        </row>
        <row r="833">
          <cell r="A833" t="str">
            <v>ASW-NSC</v>
          </cell>
          <cell r="B833" t="str">
            <v>Alcohol Swab Nesco</v>
          </cell>
          <cell r="C833" t="str">
            <v>NHD</v>
          </cell>
        </row>
        <row r="834">
          <cell r="A834" t="str">
            <v>AT07L</v>
          </cell>
          <cell r="B834" t="str">
            <v>CONCENTRAT TYPE AT@07LTR</v>
          </cell>
          <cell r="C834" t="str">
            <v>NHD</v>
          </cell>
        </row>
        <row r="835">
          <cell r="A835" t="str">
            <v>AT08L</v>
          </cell>
          <cell r="B835" t="str">
            <v>CONCENTRAT TYPE AT@08LTR</v>
          </cell>
          <cell r="C835" t="str">
            <v>NHD</v>
          </cell>
        </row>
        <row r="836">
          <cell r="A836" t="str">
            <v>AT10L</v>
          </cell>
          <cell r="B836" t="str">
            <v>BICARBONATE CONCENTRATE TYPE AT @10 LTR</v>
          </cell>
          <cell r="C836" t="str">
            <v>HD</v>
          </cell>
        </row>
        <row r="837">
          <cell r="A837" t="str">
            <v>AT10L-MB1</v>
          </cell>
          <cell r="B837" t="str">
            <v>RENAL BICARBONATE CONCENTRATE TYPE B1@10 LTR</v>
          </cell>
          <cell r="C837" t="str">
            <v>NHD</v>
          </cell>
        </row>
        <row r="838">
          <cell r="A838" t="str">
            <v>AVF15GX1</v>
          </cell>
          <cell r="B838" t="str">
            <v>A.V. FISTULA DULL NEEDLE AVF 15G X 1"</v>
          </cell>
          <cell r="C838" t="str">
            <v>NHD</v>
          </cell>
        </row>
        <row r="839">
          <cell r="A839" t="str">
            <v>AVF1625 DULL</v>
          </cell>
          <cell r="B839" t="str">
            <v>AVF1625 DULL</v>
          </cell>
          <cell r="C839" t="str">
            <v>NHD</v>
          </cell>
        </row>
        <row r="840">
          <cell r="A840" t="str">
            <v>AVF1625-HC</v>
          </cell>
          <cell r="B840" t="str">
            <v>A.V.FISTULA 16G X 1"/1625-HC</v>
          </cell>
          <cell r="C840" t="str">
            <v>NHD</v>
          </cell>
        </row>
        <row r="841">
          <cell r="A841" t="str">
            <v>AVF1625-HC-N</v>
          </cell>
          <cell r="B841" t="str">
            <v>A.V.FISTULA 16G X 1"/1625-HC-30W-N</v>
          </cell>
          <cell r="C841" t="str">
            <v>HD</v>
          </cell>
        </row>
        <row r="842">
          <cell r="A842" t="str">
            <v>AVF1625-HC-N SET</v>
          </cell>
          <cell r="B842" t="str">
            <v>A.V.FISTULA 16G X 1"/1625-HC-30W-N</v>
          </cell>
          <cell r="C842" t="str">
            <v>NHD</v>
          </cell>
        </row>
        <row r="843">
          <cell r="A843" t="str">
            <v>AVF1632 DULL</v>
          </cell>
          <cell r="B843" t="str">
            <v>A.V.FISTULA 16 X 1"- DULL</v>
          </cell>
          <cell r="C843" t="str">
            <v>NHD</v>
          </cell>
        </row>
        <row r="844">
          <cell r="A844" t="str">
            <v>AVF1632-HC</v>
          </cell>
          <cell r="B844" t="str">
            <v>A.V.FISTULA 16G X 1 1/4"/1632-HC</v>
          </cell>
          <cell r="C844" t="str">
            <v>NHD</v>
          </cell>
        </row>
        <row r="845">
          <cell r="A845" t="str">
            <v>AVF1632-HC-N</v>
          </cell>
          <cell r="B845" t="str">
            <v>A.V.FISTULA 16G X 1 1/4"/1632-HC-30W-N</v>
          </cell>
          <cell r="C845" t="str">
            <v>HD</v>
          </cell>
        </row>
        <row r="846">
          <cell r="A846" t="str">
            <v>AVF1632-HC-N SET</v>
          </cell>
          <cell r="B846" t="str">
            <v>A.V.FISTULA 16G X 1 1/4"/1632-HC-30W-N (SET)</v>
          </cell>
          <cell r="C846" t="str">
            <v>NHD</v>
          </cell>
        </row>
        <row r="847">
          <cell r="A847" t="str">
            <v>AVF1632-HTC</v>
          </cell>
          <cell r="B847" t="str">
            <v>A.V.FISTULA 16G X 1 1/4"/1632-HTC</v>
          </cell>
          <cell r="C847" t="str">
            <v>NHD</v>
          </cell>
        </row>
        <row r="848">
          <cell r="A848" t="str">
            <v>AVF1632-TC</v>
          </cell>
          <cell r="B848" t="str">
            <v>A.V.FISTULA 16G X 1 1/4"/1632-TC</v>
          </cell>
          <cell r="C848" t="str">
            <v>NHD</v>
          </cell>
        </row>
        <row r="849">
          <cell r="A849" t="str">
            <v>AVF16GX1</v>
          </cell>
          <cell r="B849" t="str">
            <v>A.V.FISTULA 16G X 1"- DULL"</v>
          </cell>
          <cell r="C849" t="str">
            <v>NHD</v>
          </cell>
        </row>
        <row r="850">
          <cell r="A850" t="str">
            <v>AVF1732-HC</v>
          </cell>
          <cell r="B850" t="str">
            <v>A.V.FISTULA 17G X 1 1/4"/1732-HC</v>
          </cell>
          <cell r="C850" t="str">
            <v>NHD</v>
          </cell>
        </row>
        <row r="851">
          <cell r="A851" t="str">
            <v>AVF1732-HC-N</v>
          </cell>
          <cell r="B851" t="str">
            <v>A.V.FISTULA 17G X 1 1/4"/1732-HC-30W-N</v>
          </cell>
          <cell r="C851" t="str">
            <v>NHD</v>
          </cell>
        </row>
        <row r="852">
          <cell r="A852" t="str">
            <v>AVF1732-TC</v>
          </cell>
          <cell r="B852" t="str">
            <v>A.V.FISTULA 17G X 1 1/4"/1732-TC</v>
          </cell>
          <cell r="C852" t="str">
            <v>NHD</v>
          </cell>
        </row>
        <row r="853">
          <cell r="A853" t="str">
            <v>AVF-SET</v>
          </cell>
          <cell r="B853" t="str">
            <v>A.V.FISTULA</v>
          </cell>
          <cell r="C853" t="str">
            <v>NHD</v>
          </cell>
        </row>
        <row r="854">
          <cell r="A854" t="str">
            <v>AXEON PRO 2140</v>
          </cell>
          <cell r="B854" t="str">
            <v>AXEON PRO 2140</v>
          </cell>
          <cell r="C854" t="str">
            <v>NHD</v>
          </cell>
        </row>
        <row r="855">
          <cell r="A855" t="str">
            <v>AXEON R1-1140</v>
          </cell>
          <cell r="B855" t="str">
            <v>AXEON R1-1140</v>
          </cell>
          <cell r="C855" t="str">
            <v>NHD</v>
          </cell>
        </row>
        <row r="856">
          <cell r="A856" t="str">
            <v>AXEON R1-1140 SS</v>
          </cell>
          <cell r="B856" t="str">
            <v>AXEON R1-1140 SS</v>
          </cell>
          <cell r="C856" t="str">
            <v>NHD</v>
          </cell>
        </row>
        <row r="857">
          <cell r="A857" t="str">
            <v>AXEON R1-2140</v>
          </cell>
          <cell r="B857" t="str">
            <v>AXEON R1-2140</v>
          </cell>
          <cell r="C857" t="str">
            <v>NHD</v>
          </cell>
        </row>
        <row r="858">
          <cell r="A858" t="str">
            <v>AXEON R1-2140 SS</v>
          </cell>
          <cell r="B858" t="str">
            <v>AXEON RI-2140 SS</v>
          </cell>
          <cell r="C858" t="str">
            <v>NHD</v>
          </cell>
        </row>
        <row r="859">
          <cell r="A859" t="str">
            <v>AXEON R1-3140</v>
          </cell>
          <cell r="B859" t="str">
            <v>AXEON R1-3140</v>
          </cell>
          <cell r="C859" t="str">
            <v>NHD</v>
          </cell>
        </row>
        <row r="860">
          <cell r="A860" t="str">
            <v>AXEON R1-3140 SS</v>
          </cell>
          <cell r="B860" t="str">
            <v>AXEON R1-3140 SS</v>
          </cell>
          <cell r="C860" t="str">
            <v>NHD</v>
          </cell>
        </row>
        <row r="861">
          <cell r="A861" t="str">
            <v>AXEON R1-4140 SS</v>
          </cell>
          <cell r="B861" t="str">
            <v>AXEON R1-4140 SS</v>
          </cell>
          <cell r="C861" t="str">
            <v>NHD</v>
          </cell>
        </row>
        <row r="862">
          <cell r="A862" t="str">
            <v>AXEON T3-4140</v>
          </cell>
          <cell r="B862" t="str">
            <v>AXEON T3-4140</v>
          </cell>
          <cell r="C862" t="str">
            <v>NHD</v>
          </cell>
        </row>
        <row r="863">
          <cell r="A863" t="str">
            <v>B368-10L</v>
          </cell>
          <cell r="B863" t="str">
            <v>HESOL B368-10L Bicarbonate Concentrate</v>
          </cell>
          <cell r="C863" t="str">
            <v>NHD</v>
          </cell>
        </row>
        <row r="864">
          <cell r="A864" t="str">
            <v>BAYC-REG-1L</v>
          </cell>
          <cell r="B864" t="str">
            <v>BAYCLIN REGULER 1 LITER</v>
          </cell>
          <cell r="C864" t="str">
            <v>NHD</v>
          </cell>
        </row>
        <row r="865">
          <cell r="A865" t="str">
            <v>B-CDD38</v>
          </cell>
          <cell r="B865" t="str">
            <v>Brizio Disposable Set w/ Bypass and</v>
          </cell>
          <cell r="C865" t="str">
            <v>NHD</v>
          </cell>
        </row>
        <row r="866">
          <cell r="A866" t="str">
            <v>BGM SET</v>
          </cell>
          <cell r="B866" t="str">
            <v>PAKET BGM PREMIER S. NIPRO</v>
          </cell>
          <cell r="C866" t="str">
            <v>NHD</v>
          </cell>
        </row>
        <row r="867">
          <cell r="A867" t="str">
            <v>BGM SET-1</v>
          </cell>
          <cell r="B867" t="str">
            <v>PAKET BGM PREMIER S. NIPRO BUNDLING 1</v>
          </cell>
          <cell r="C867" t="str">
            <v>NHD</v>
          </cell>
        </row>
        <row r="868">
          <cell r="A868" t="str">
            <v>BGM SET-2</v>
          </cell>
          <cell r="B868" t="str">
            <v>PAKET BGM PREMIER S. NIPRO BUNDLING 2</v>
          </cell>
          <cell r="C868" t="str">
            <v>NHD</v>
          </cell>
        </row>
        <row r="869">
          <cell r="A869" t="str">
            <v>BGM SET-3</v>
          </cell>
          <cell r="B869" t="str">
            <v>PAKET BGM PREMIER S. NIPRO BUNDLING 3</v>
          </cell>
          <cell r="C869" t="str">
            <v>NHD</v>
          </cell>
        </row>
        <row r="870">
          <cell r="A870" t="str">
            <v>BGM SET-4</v>
          </cell>
          <cell r="B870" t="str">
            <v>PAKET BGM PREMIER S. NIPRO BUNDLING 4</v>
          </cell>
          <cell r="C870" t="str">
            <v>NHD</v>
          </cell>
        </row>
        <row r="871">
          <cell r="A871" t="str">
            <v>BIA-001</v>
          </cell>
          <cell r="B871" t="str">
            <v>ATK</v>
          </cell>
          <cell r="C871" t="str">
            <v>NHD</v>
          </cell>
        </row>
        <row r="872">
          <cell r="A872" t="str">
            <v>BIA-002</v>
          </cell>
          <cell r="B872" t="str">
            <v>Cetakan</v>
          </cell>
          <cell r="C872" t="str">
            <v>NHD</v>
          </cell>
        </row>
        <row r="873">
          <cell r="A873" t="str">
            <v>BIA-003</v>
          </cell>
          <cell r="B873" t="str">
            <v>Jasa Cetak</v>
          </cell>
          <cell r="C873" t="str">
            <v>NHD</v>
          </cell>
        </row>
        <row r="874">
          <cell r="A874" t="str">
            <v>BIA-004</v>
          </cell>
          <cell r="B874" t="str">
            <v>Pantry Supplies</v>
          </cell>
          <cell r="C874" t="str">
            <v>NHD</v>
          </cell>
        </row>
        <row r="875">
          <cell r="A875" t="str">
            <v>BIA-005</v>
          </cell>
          <cell r="B875" t="str">
            <v>Sparepart Mobil</v>
          </cell>
          <cell r="C875" t="str">
            <v>NHD</v>
          </cell>
        </row>
        <row r="876">
          <cell r="A876" t="str">
            <v>BIA-006</v>
          </cell>
          <cell r="B876" t="str">
            <v>Service Berkala Kendaraan</v>
          </cell>
          <cell r="C876" t="str">
            <v>NHD</v>
          </cell>
        </row>
        <row r="877">
          <cell r="A877" t="str">
            <v>BIA-007</v>
          </cell>
          <cell r="B877" t="str">
            <v>Service Berkala Kendaraan (SKB)</v>
          </cell>
          <cell r="C877" t="str">
            <v>NHD</v>
          </cell>
        </row>
        <row r="878">
          <cell r="A878" t="str">
            <v>BIA-008</v>
          </cell>
          <cell r="B878" t="str">
            <v>Jasa Service AC</v>
          </cell>
          <cell r="C878" t="str">
            <v>NHD</v>
          </cell>
        </row>
        <row r="879">
          <cell r="A879" t="str">
            <v>BIA-009</v>
          </cell>
          <cell r="B879" t="str">
            <v>Barang-Barang Perlengkapan utk AC</v>
          </cell>
          <cell r="C879" t="str">
            <v>NHD</v>
          </cell>
        </row>
        <row r="880">
          <cell r="A880" t="str">
            <v>BIA-010</v>
          </cell>
          <cell r="B880" t="str">
            <v>Perpanjangan STNK</v>
          </cell>
          <cell r="C880" t="str">
            <v>NHD</v>
          </cell>
        </row>
        <row r="881">
          <cell r="A881" t="str">
            <v>BIA-011</v>
          </cell>
          <cell r="B881" t="str">
            <v>Biaya Jasa Perantara</v>
          </cell>
          <cell r="C881" t="str">
            <v>NHD</v>
          </cell>
        </row>
        <row r="882">
          <cell r="A882" t="str">
            <v>BIA-012</v>
          </cell>
          <cell r="B882" t="str">
            <v>Perpanjangan KIR</v>
          </cell>
          <cell r="C882" t="str">
            <v>NHD</v>
          </cell>
        </row>
        <row r="883">
          <cell r="A883" t="str">
            <v>BIA-013</v>
          </cell>
          <cell r="B883" t="str">
            <v>Jasa Service Lift/Jasa Pemeliharaan gedung</v>
          </cell>
          <cell r="C883" t="str">
            <v>NHD</v>
          </cell>
        </row>
        <row r="884">
          <cell r="A884" t="str">
            <v>BIA-014</v>
          </cell>
          <cell r="B884" t="str">
            <v>Jasa Pest Control</v>
          </cell>
          <cell r="C884" t="str">
            <v>NHD</v>
          </cell>
        </row>
        <row r="885">
          <cell r="A885" t="str">
            <v>BIA-015</v>
          </cell>
          <cell r="B885" t="str">
            <v>Jasa Calmic</v>
          </cell>
          <cell r="C885" t="str">
            <v>NHD</v>
          </cell>
        </row>
        <row r="886">
          <cell r="A886" t="str">
            <v>BIA-016</v>
          </cell>
          <cell r="B886" t="str">
            <v>Jasa Konsultan</v>
          </cell>
          <cell r="C886" t="str">
            <v>NHD</v>
          </cell>
        </row>
        <row r="887">
          <cell r="A887" t="str">
            <v>BIA-017</v>
          </cell>
          <cell r="B887" t="str">
            <v>Jasa Perbaikan Inventaris Kantor</v>
          </cell>
          <cell r="C887" t="str">
            <v>NHD</v>
          </cell>
        </row>
        <row r="888">
          <cell r="A888" t="str">
            <v>BIA-018</v>
          </cell>
          <cell r="B888" t="str">
            <v>Isi APAR, Perlengkapan Inventaris</v>
          </cell>
          <cell r="C888" t="str">
            <v>NHD</v>
          </cell>
        </row>
        <row r="889">
          <cell r="A889" t="str">
            <v>BIA-019</v>
          </cell>
          <cell r="B889" t="str">
            <v>JASA KEAMANAN, KEBERSIHAN DAN MANAJEMEN</v>
          </cell>
          <cell r="C889" t="str">
            <v>NHD</v>
          </cell>
        </row>
        <row r="890">
          <cell r="A890" t="str">
            <v>BIA-020</v>
          </cell>
          <cell r="B890" t="str">
            <v>Sewa Kantor</v>
          </cell>
          <cell r="C890" t="str">
            <v>NHD</v>
          </cell>
        </row>
        <row r="891">
          <cell r="A891" t="str">
            <v>BIA-0-201-048</v>
          </cell>
          <cell r="B891" t="str">
            <v>PURE CHLOROFLUOROCARBON FEP TUBE</v>
          </cell>
          <cell r="C891" t="str">
            <v>NHD</v>
          </cell>
        </row>
        <row r="892">
          <cell r="A892" t="str">
            <v>BIA-0-201-051</v>
          </cell>
          <cell r="B892" t="str">
            <v>DISINFECTANT SUCTION TUBE</v>
          </cell>
          <cell r="C892" t="str">
            <v>NHD</v>
          </cell>
        </row>
        <row r="893">
          <cell r="A893" t="str">
            <v>BIA-0-201-069</v>
          </cell>
          <cell r="B893" t="str">
            <v>COUPLER HOLDER</v>
          </cell>
          <cell r="C893" t="str">
            <v>NHD</v>
          </cell>
        </row>
        <row r="894">
          <cell r="A894" t="str">
            <v>BIA-0-201-213</v>
          </cell>
          <cell r="B894" t="str">
            <v>FILTER</v>
          </cell>
          <cell r="C894" t="str">
            <v>NHD</v>
          </cell>
        </row>
        <row r="895">
          <cell r="A895" t="str">
            <v>BIA-0-201-332</v>
          </cell>
          <cell r="B895" t="str">
            <v>REDUCING VALVE (PVS-10)</v>
          </cell>
          <cell r="C895" t="str">
            <v>NHD</v>
          </cell>
        </row>
        <row r="896">
          <cell r="A896" t="str">
            <v>BIA-0-201-336</v>
          </cell>
          <cell r="B896" t="str">
            <v>REDUCING VALVE (PVS-10) HEAD</v>
          </cell>
          <cell r="C896" t="str">
            <v>NHD</v>
          </cell>
        </row>
        <row r="897">
          <cell r="A897" t="str">
            <v>BIA-021</v>
          </cell>
          <cell r="B897" t="str">
            <v>Sewa Gudang</v>
          </cell>
          <cell r="C897" t="str">
            <v>NHD</v>
          </cell>
        </row>
        <row r="898">
          <cell r="A898" t="str">
            <v>BIA-022</v>
          </cell>
          <cell r="B898" t="str">
            <v>Perizinan</v>
          </cell>
          <cell r="C898" t="str">
            <v>NHD</v>
          </cell>
        </row>
        <row r="899">
          <cell r="A899" t="str">
            <v>BIA-023</v>
          </cell>
          <cell r="B899" t="str">
            <v>Rental Kend utk Operasional</v>
          </cell>
          <cell r="C899" t="str">
            <v>NHD</v>
          </cell>
        </row>
        <row r="900">
          <cell r="A900" t="str">
            <v>BIA-024</v>
          </cell>
          <cell r="B900" t="str">
            <v>Sewa Kendaraan utk Angkutan Darat (SKB)</v>
          </cell>
          <cell r="C900" t="str">
            <v>NHD</v>
          </cell>
        </row>
        <row r="901">
          <cell r="A901" t="str">
            <v>BIA-025</v>
          </cell>
          <cell r="B901" t="str">
            <v>Sparepart Mesin HD</v>
          </cell>
          <cell r="C901" t="str">
            <v>NHD</v>
          </cell>
        </row>
        <row r="902">
          <cell r="A902" t="str">
            <v>BIA-026</v>
          </cell>
          <cell r="B902" t="str">
            <v>Sparepart Mesin RO</v>
          </cell>
          <cell r="C902" t="str">
            <v>NHD</v>
          </cell>
        </row>
        <row r="903">
          <cell r="A903" t="str">
            <v>BIA-027</v>
          </cell>
          <cell r="B903" t="str">
            <v>Sparepart Pompa</v>
          </cell>
          <cell r="C903" t="str">
            <v>NHD</v>
          </cell>
        </row>
        <row r="904">
          <cell r="A904" t="str">
            <v>BIA-028</v>
          </cell>
          <cell r="B904" t="str">
            <v>Jasa Pengiriman Barang</v>
          </cell>
          <cell r="C904" t="str">
            <v>NHD</v>
          </cell>
        </row>
        <row r="905">
          <cell r="A905" t="str">
            <v>BIA-029</v>
          </cell>
          <cell r="B905" t="str">
            <v>Jasa Pengiriman Dokumen</v>
          </cell>
          <cell r="C905" t="str">
            <v>NHD</v>
          </cell>
        </row>
        <row r="906">
          <cell r="A906" t="str">
            <v>BIA-030</v>
          </cell>
          <cell r="B906" t="str">
            <v>Biaya Pemasaran</v>
          </cell>
          <cell r="C906" t="str">
            <v>NHD</v>
          </cell>
        </row>
        <row r="907">
          <cell r="A907" t="str">
            <v>BIA-031</v>
          </cell>
          <cell r="B907" t="str">
            <v>Biaya Material utk Perbaikan/Renov Gedung Kantor</v>
          </cell>
          <cell r="C907" t="str">
            <v>NHD</v>
          </cell>
        </row>
        <row r="908">
          <cell r="A908" t="str">
            <v>BIA-032</v>
          </cell>
          <cell r="B908" t="str">
            <v>Jasa Perbaikan/Renov Gedung Kantor/Gudang</v>
          </cell>
          <cell r="C908" t="str">
            <v>NHD</v>
          </cell>
        </row>
        <row r="909">
          <cell r="A909" t="str">
            <v>BIA-033</v>
          </cell>
          <cell r="B909" t="str">
            <v>Biaya Material utk Perbaikan/Renov Gudang</v>
          </cell>
          <cell r="C909" t="str">
            <v>NHD</v>
          </cell>
        </row>
        <row r="910">
          <cell r="A910" t="str">
            <v>BIA-034</v>
          </cell>
          <cell r="B910" t="str">
            <v>Barang Sparepart IT, Kabel, Mouse</v>
          </cell>
          <cell r="C910" t="str">
            <v>NHD</v>
          </cell>
        </row>
        <row r="911">
          <cell r="A911" t="str">
            <v>BIA-035</v>
          </cell>
          <cell r="B911" t="str">
            <v>Barang Perlengkapan utk Furniture</v>
          </cell>
          <cell r="C911" t="str">
            <v>NHD</v>
          </cell>
        </row>
        <row r="912">
          <cell r="A912" t="str">
            <v>BIA-036</v>
          </cell>
          <cell r="B912" t="str">
            <v>Biaya Kirim Surat</v>
          </cell>
          <cell r="C912" t="str">
            <v>NHD</v>
          </cell>
        </row>
        <row r="913">
          <cell r="A913" t="str">
            <v>BIA-037</v>
          </cell>
          <cell r="B913" t="str">
            <v>Jasa Provider Internet/IT</v>
          </cell>
          <cell r="C913" t="str">
            <v>NHD</v>
          </cell>
        </row>
        <row r="914">
          <cell r="A914" t="str">
            <v>BIA-038</v>
          </cell>
          <cell r="B914" t="str">
            <v>Software</v>
          </cell>
          <cell r="C914" t="str">
            <v>NHD</v>
          </cell>
        </row>
        <row r="915">
          <cell r="A915" t="str">
            <v>BIA-039</v>
          </cell>
          <cell r="B915" t="str">
            <v>Cetak ID Card/Kartu Nama - Bahan</v>
          </cell>
          <cell r="C915" t="str">
            <v>NHD</v>
          </cell>
        </row>
        <row r="916">
          <cell r="A916" t="str">
            <v>BIA-040</v>
          </cell>
          <cell r="B916" t="str">
            <v>Biaya Sewa Mesin Fotocopy</v>
          </cell>
          <cell r="C916" t="str">
            <v>NHD</v>
          </cell>
        </row>
        <row r="917">
          <cell r="A917" t="str">
            <v>BIA-041</v>
          </cell>
          <cell r="B917" t="str">
            <v>Biaya Design Stand</v>
          </cell>
          <cell r="C917" t="str">
            <v>NHD</v>
          </cell>
        </row>
        <row r="918">
          <cell r="A918" t="str">
            <v>BIA-042</v>
          </cell>
          <cell r="B918" t="str">
            <v>Biaya Iklan</v>
          </cell>
          <cell r="C918" t="str">
            <v>NHD</v>
          </cell>
        </row>
        <row r="919">
          <cell r="A919" t="str">
            <v>BIA-043</v>
          </cell>
          <cell r="B919" t="str">
            <v>Biaya Presentasi Selain Sewa Ruangan</v>
          </cell>
          <cell r="C919" t="str">
            <v>NHD</v>
          </cell>
        </row>
        <row r="920">
          <cell r="A920" t="str">
            <v>BIA-044</v>
          </cell>
          <cell r="B920" t="str">
            <v>Sewa Ruangan utk Presentasi</v>
          </cell>
          <cell r="C920" t="str">
            <v>NHD</v>
          </cell>
        </row>
        <row r="921">
          <cell r="A921" t="str">
            <v>BIA-045</v>
          </cell>
          <cell r="B921" t="str">
            <v>Sewa Stand utk Pameran</v>
          </cell>
          <cell r="C921" t="str">
            <v>NHD</v>
          </cell>
        </row>
        <row r="922">
          <cell r="A922" t="str">
            <v>BIA-046</v>
          </cell>
          <cell r="B922" t="str">
            <v>Honorarium</v>
          </cell>
          <cell r="C922" t="str">
            <v>NHD</v>
          </cell>
        </row>
        <row r="923">
          <cell r="A923" t="str">
            <v>BIA-047</v>
          </cell>
          <cell r="B923" t="str">
            <v>Biaya Audit</v>
          </cell>
          <cell r="C923" t="str">
            <v>NHD</v>
          </cell>
        </row>
        <row r="924">
          <cell r="A924" t="str">
            <v>BIA-048</v>
          </cell>
          <cell r="B924" t="str">
            <v>Sewa Kendaraan utk Angkutan Darat</v>
          </cell>
          <cell r="C924" t="str">
            <v>NHD</v>
          </cell>
        </row>
        <row r="925">
          <cell r="A925" t="str">
            <v>BIA-049</v>
          </cell>
          <cell r="B925" t="str">
            <v>Perlengkapan Rumah Sakit</v>
          </cell>
          <cell r="C925" t="str">
            <v>NHD</v>
          </cell>
        </row>
        <row r="926">
          <cell r="A926" t="str">
            <v>BIA-050</v>
          </cell>
          <cell r="B926" t="str">
            <v>Biaya Bbm Kirim Barang</v>
          </cell>
          <cell r="C926" t="str">
            <v>NHD</v>
          </cell>
        </row>
        <row r="927">
          <cell r="A927" t="str">
            <v>BIA-0-501-012</v>
          </cell>
          <cell r="B927" t="str">
            <v>SPARE KIT</v>
          </cell>
          <cell r="C927" t="str">
            <v>NHD</v>
          </cell>
        </row>
        <row r="928">
          <cell r="A928" t="str">
            <v>BIA-0-501-049</v>
          </cell>
          <cell r="B928" t="str">
            <v>BACK SHEET</v>
          </cell>
          <cell r="C928" t="str">
            <v>NHD</v>
          </cell>
        </row>
        <row r="929">
          <cell r="A929" t="str">
            <v>BIA-0-501-050</v>
          </cell>
          <cell r="B929" t="str">
            <v>LIP SEAL</v>
          </cell>
          <cell r="C929" t="str">
            <v>NHD</v>
          </cell>
        </row>
        <row r="930">
          <cell r="A930" t="str">
            <v>BIA-0-501-051</v>
          </cell>
          <cell r="B930" t="str">
            <v>Pump for Solution A Assy Type A (P3) (AS)</v>
          </cell>
          <cell r="C930" t="str">
            <v>NHD</v>
          </cell>
        </row>
        <row r="931">
          <cell r="A931" t="str">
            <v>BIA-0-501-052</v>
          </cell>
          <cell r="B931" t="str">
            <v>BACK SHEET</v>
          </cell>
          <cell r="C931" t="str">
            <v>NHD</v>
          </cell>
        </row>
        <row r="932">
          <cell r="A932" t="str">
            <v>BIA-0-501-053</v>
          </cell>
          <cell r="B932" t="str">
            <v>LIP SEAL</v>
          </cell>
          <cell r="C932" t="str">
            <v>NHD</v>
          </cell>
        </row>
        <row r="933">
          <cell r="A933" t="str">
            <v>BIA-0-501-084</v>
          </cell>
          <cell r="B933" t="str">
            <v>DISINFECTANT SUCTION TUBE</v>
          </cell>
          <cell r="C933" t="str">
            <v>NHD</v>
          </cell>
        </row>
        <row r="934">
          <cell r="A934" t="str">
            <v>BIA-0-501-114</v>
          </cell>
          <cell r="B934" t="str">
            <v>T-SHAPED CONECTOR</v>
          </cell>
          <cell r="C934" t="str">
            <v>NHD</v>
          </cell>
        </row>
        <row r="935">
          <cell r="A935" t="str">
            <v>BIA-0-501-120</v>
          </cell>
          <cell r="B935" t="str">
            <v>TWO-WAY SOLENOID VALVE SV2-422-S</v>
          </cell>
          <cell r="C935" t="str">
            <v>NHD</v>
          </cell>
        </row>
        <row r="936">
          <cell r="A936" t="str">
            <v>BIA-0-501-125</v>
          </cell>
          <cell r="B936" t="str">
            <v>TWO-WAY SOLENOID VALVE SV2-422-SHP</v>
          </cell>
          <cell r="C936" t="str">
            <v>NHD</v>
          </cell>
        </row>
        <row r="937">
          <cell r="A937" t="str">
            <v>BIA-0-501-126</v>
          </cell>
          <cell r="B937" t="str">
            <v>TWO-WAY SOLENOID VALVE SV2-322-SHW</v>
          </cell>
          <cell r="C937" t="str">
            <v>NHD</v>
          </cell>
        </row>
        <row r="938">
          <cell r="A938" t="str">
            <v>BIA-0-501-127</v>
          </cell>
          <cell r="B938" t="str">
            <v>TWO-WAY SOLENOID VALVE SV2-322S13-SRHW</v>
          </cell>
          <cell r="C938" t="str">
            <v>NHD</v>
          </cell>
        </row>
        <row r="939">
          <cell r="A939" t="str">
            <v>BIA-0-501-128</v>
          </cell>
          <cell r="B939" t="str">
            <v>MAGNET GEAR PUMP P1 TYPE A</v>
          </cell>
          <cell r="C939" t="str">
            <v>NHD</v>
          </cell>
        </row>
        <row r="940">
          <cell r="A940" t="str">
            <v>BIA-0-501-129</v>
          </cell>
          <cell r="B940" t="str">
            <v>MAGNET GEAR PUMP P2 TYPE A</v>
          </cell>
          <cell r="C940" t="str">
            <v>NHD</v>
          </cell>
        </row>
        <row r="941">
          <cell r="A941" t="str">
            <v>BIA-0-501-133</v>
          </cell>
          <cell r="B941" t="str">
            <v>PUMP BODY SET P1 TYPE A</v>
          </cell>
          <cell r="C941" t="str">
            <v>NHD</v>
          </cell>
        </row>
        <row r="942">
          <cell r="A942" t="str">
            <v>BIA-0-501-153</v>
          </cell>
          <cell r="B942" t="str">
            <v>FLOAT SWITCH ASSY</v>
          </cell>
          <cell r="C942" t="str">
            <v>NHD</v>
          </cell>
        </row>
        <row r="943">
          <cell r="A943" t="str">
            <v>BIA-0-501-156</v>
          </cell>
          <cell r="B943" t="str">
            <v>PACKING</v>
          </cell>
          <cell r="C943" t="str">
            <v>NHD</v>
          </cell>
        </row>
        <row r="944">
          <cell r="A944" t="str">
            <v>BIA-0-501-168</v>
          </cell>
          <cell r="B944" t="str">
            <v>ULTRAFILTRATION PUMP ASSY (PISTON PUMP)</v>
          </cell>
          <cell r="C944" t="str">
            <v>NHD</v>
          </cell>
        </row>
        <row r="945">
          <cell r="A945" t="str">
            <v>BIA-0-501-169</v>
          </cell>
          <cell r="B945" t="str">
            <v>PUMP FOR A CONCENTRATE ASSY (P3) V-07AUM-P2AH</v>
          </cell>
          <cell r="C945" t="str">
            <v>NHD</v>
          </cell>
        </row>
        <row r="946">
          <cell r="A946" t="str">
            <v>BIA-0-501-172</v>
          </cell>
          <cell r="B946" t="str">
            <v>PUMP FOR B CONCENTRATE ASSY (P4) V-10AUM-P3BH</v>
          </cell>
          <cell r="C946" t="str">
            <v>NHD</v>
          </cell>
        </row>
        <row r="947">
          <cell r="A947" t="str">
            <v>BIA-0-501-189</v>
          </cell>
          <cell r="B947" t="str">
            <v>JOINT OF CONCENTRATE TANK FOR A CONCENTRATE</v>
          </cell>
          <cell r="C947" t="str">
            <v>NHD</v>
          </cell>
        </row>
        <row r="948">
          <cell r="A948" t="str">
            <v>BIA-0-501-190</v>
          </cell>
          <cell r="B948" t="str">
            <v>JOINT OF CONCENTRATE TANK FOR B CONCENTRATE</v>
          </cell>
          <cell r="C948" t="str">
            <v>NHD</v>
          </cell>
        </row>
        <row r="949">
          <cell r="A949" t="str">
            <v>BIA-0-501-193</v>
          </cell>
          <cell r="B949" t="str">
            <v>WASHER</v>
          </cell>
          <cell r="C949" t="str">
            <v>NHD</v>
          </cell>
        </row>
        <row r="950">
          <cell r="A950" t="str">
            <v>BIA-0-501-196</v>
          </cell>
          <cell r="B950" t="str">
            <v>SOCKET FOR A CONCENTRATE</v>
          </cell>
          <cell r="C950" t="str">
            <v>NHD</v>
          </cell>
        </row>
        <row r="951">
          <cell r="A951" t="str">
            <v>BIA-0-501-197</v>
          </cell>
          <cell r="B951" t="str">
            <v>SOCKET FOR B CONCENTRATE</v>
          </cell>
          <cell r="C951" t="str">
            <v>NHD</v>
          </cell>
        </row>
        <row r="952">
          <cell r="A952" t="str">
            <v>BIA-0-501-200</v>
          </cell>
          <cell r="B952" t="str">
            <v>SOCKET FOR A CONCENTRATE SAS-08016</v>
          </cell>
          <cell r="C952" t="str">
            <v>NHD</v>
          </cell>
        </row>
        <row r="953">
          <cell r="A953" t="str">
            <v>BIA-0-501-201</v>
          </cell>
          <cell r="B953" t="str">
            <v>SOCKET FOR B CONCENTRATE BLUE</v>
          </cell>
          <cell r="C953" t="str">
            <v>NHD</v>
          </cell>
        </row>
        <row r="954">
          <cell r="A954" t="str">
            <v>BIA-0-501-202</v>
          </cell>
          <cell r="B954" t="str">
            <v>PLUG S</v>
          </cell>
          <cell r="C954" t="str">
            <v>NHD</v>
          </cell>
        </row>
        <row r="955">
          <cell r="A955" t="str">
            <v>BIA-0-501-203</v>
          </cell>
          <cell r="B955" t="str">
            <v>PLUG L</v>
          </cell>
          <cell r="C955" t="str">
            <v>NHD</v>
          </cell>
        </row>
        <row r="956">
          <cell r="A956" t="str">
            <v>BIA-0-501-216</v>
          </cell>
          <cell r="B956" t="str">
            <v>PLUG</v>
          </cell>
          <cell r="C956" t="str">
            <v>NHD</v>
          </cell>
        </row>
        <row r="957">
          <cell r="A957" t="str">
            <v>BIA-0-501-217</v>
          </cell>
          <cell r="B957" t="str">
            <v>FILTER</v>
          </cell>
          <cell r="C957" t="str">
            <v>NHD</v>
          </cell>
        </row>
        <row r="958">
          <cell r="A958" t="str">
            <v>BIA-0-501-218</v>
          </cell>
          <cell r="B958" t="str">
            <v>COUPLER LINE FILTER</v>
          </cell>
          <cell r="C958" t="str">
            <v>NHD</v>
          </cell>
        </row>
        <row r="959">
          <cell r="A959" t="str">
            <v>BIA-0-501-219</v>
          </cell>
          <cell r="B959" t="str">
            <v>CONCENTRATE LINE FILTER</v>
          </cell>
          <cell r="C959" t="str">
            <v>NHD</v>
          </cell>
        </row>
        <row r="960">
          <cell r="A960" t="str">
            <v>BIA-0-501-232</v>
          </cell>
          <cell r="B960" t="str">
            <v>Pump head Assy</v>
          </cell>
          <cell r="C960" t="str">
            <v>NHD</v>
          </cell>
        </row>
        <row r="961">
          <cell r="A961" t="str">
            <v>BIA-0-501-233</v>
          </cell>
          <cell r="B961" t="str">
            <v>PUMP HEAD ASSY FOR P4</v>
          </cell>
          <cell r="C961" t="str">
            <v>NHD</v>
          </cell>
        </row>
        <row r="962">
          <cell r="A962" t="str">
            <v>BIA-0-501-236</v>
          </cell>
          <cell r="B962" t="str">
            <v>PUMP HEAD ASSY</v>
          </cell>
          <cell r="C962" t="str">
            <v>NHD</v>
          </cell>
        </row>
        <row r="963">
          <cell r="A963" t="str">
            <v>BIA-0-501-261</v>
          </cell>
          <cell r="B963" t="str">
            <v>O-RING</v>
          </cell>
          <cell r="C963" t="str">
            <v>NHD</v>
          </cell>
        </row>
        <row r="964">
          <cell r="A964" t="str">
            <v>BIA-0-501-262</v>
          </cell>
          <cell r="B964" t="str">
            <v>GASKET</v>
          </cell>
          <cell r="C964" t="str">
            <v>NHD</v>
          </cell>
        </row>
        <row r="965">
          <cell r="A965" t="str">
            <v>BIA-0-501-280</v>
          </cell>
          <cell r="B965" t="str">
            <v>DISINFECTANT RINSE PORT</v>
          </cell>
          <cell r="C965" t="str">
            <v>NHD</v>
          </cell>
        </row>
        <row r="966">
          <cell r="A966" t="str">
            <v>BIA-0-501-295</v>
          </cell>
          <cell r="B966" t="str">
            <v>PACKING</v>
          </cell>
          <cell r="C966" t="str">
            <v>NHD</v>
          </cell>
        </row>
        <row r="967">
          <cell r="A967" t="str">
            <v>BIA-0-501-297</v>
          </cell>
          <cell r="B967" t="str">
            <v>TEMPERATURE SENSOR ASSY T1</v>
          </cell>
          <cell r="C967" t="str">
            <v>NHD</v>
          </cell>
        </row>
        <row r="968">
          <cell r="A968" t="str">
            <v>BIA-0-501-298</v>
          </cell>
          <cell r="B968" t="str">
            <v>TEMPERATURE SENSOR ASSY T2</v>
          </cell>
          <cell r="C968" t="str">
            <v>NHD</v>
          </cell>
        </row>
        <row r="969">
          <cell r="A969" t="str">
            <v>BIA-0-501-299</v>
          </cell>
          <cell r="B969" t="str">
            <v>TEMPERATURE SENSOR ASSY T3</v>
          </cell>
          <cell r="C969" t="str">
            <v>NHD</v>
          </cell>
        </row>
        <row r="970">
          <cell r="A970" t="str">
            <v>BIA-0-501-300</v>
          </cell>
          <cell r="B970" t="str">
            <v>TEMPERATURE SENSOR ASSY T4</v>
          </cell>
          <cell r="C970" t="str">
            <v>NHD</v>
          </cell>
        </row>
        <row r="971">
          <cell r="A971" t="str">
            <v>BIA-0-501-301</v>
          </cell>
          <cell r="B971" t="str">
            <v>TEMPERATURE SENSOR ASSY T5</v>
          </cell>
          <cell r="C971" t="str">
            <v>NHD</v>
          </cell>
        </row>
        <row r="972">
          <cell r="A972" t="str">
            <v>BIA-0-501-302</v>
          </cell>
          <cell r="B972" t="str">
            <v>TEMPERATURE SENSOR ASSY T6</v>
          </cell>
          <cell r="C972" t="str">
            <v>NHD</v>
          </cell>
        </row>
        <row r="973">
          <cell r="A973" t="str">
            <v>BIA-0-501-303</v>
          </cell>
          <cell r="B973" t="str">
            <v>TEMPERATURE SENSOR ASSY T7</v>
          </cell>
          <cell r="C973" t="str">
            <v>NHD</v>
          </cell>
        </row>
        <row r="974">
          <cell r="A974" t="str">
            <v>BIA-0-501-305</v>
          </cell>
          <cell r="B974" t="str">
            <v>PACKING</v>
          </cell>
          <cell r="C974" t="str">
            <v>NHD</v>
          </cell>
        </row>
        <row r="975">
          <cell r="A975" t="str">
            <v>BIA-0-501-307</v>
          </cell>
          <cell r="B975" t="str">
            <v>WATER SUPPLY FILTER ASSY</v>
          </cell>
          <cell r="C975" t="str">
            <v>NHD</v>
          </cell>
        </row>
        <row r="976">
          <cell r="A976" t="str">
            <v>BIA-0-501-319</v>
          </cell>
          <cell r="B976" t="str">
            <v>AIR ELIMINATION TANK(FSW/AS2) TYPE II</v>
          </cell>
          <cell r="C976" t="str">
            <v>NHD</v>
          </cell>
        </row>
        <row r="977">
          <cell r="A977" t="str">
            <v>BIA-0-501-320</v>
          </cell>
          <cell r="B977" t="str">
            <v>VENOUS CLAMP (CLV,BD,BSV)</v>
          </cell>
          <cell r="C977" t="str">
            <v>NHD</v>
          </cell>
        </row>
        <row r="978">
          <cell r="A978" t="str">
            <v>BIA-0-501-324</v>
          </cell>
          <cell r="B978" t="str">
            <v>WATER SUPPLY FILTER ASSY</v>
          </cell>
          <cell r="C978" t="str">
            <v>NHD</v>
          </cell>
        </row>
        <row r="979">
          <cell r="A979" t="str">
            <v>BIA-0-501-350</v>
          </cell>
          <cell r="B979" t="str">
            <v>ULTRAFILTRATION PUMP ASSY FOR TYPE II</v>
          </cell>
          <cell r="C979" t="str">
            <v>NHD</v>
          </cell>
        </row>
        <row r="980">
          <cell r="A980" t="str">
            <v>BIA-0-501-359</v>
          </cell>
          <cell r="B980" t="str">
            <v>PLUG FOR A CONCENTRATE (PPSU)</v>
          </cell>
          <cell r="C980" t="str">
            <v>NHD</v>
          </cell>
        </row>
        <row r="981">
          <cell r="A981" t="str">
            <v>BIA-0-501-360</v>
          </cell>
          <cell r="B981" t="str">
            <v>PLUG FOR B CONCENTRATE (PPSU)</v>
          </cell>
          <cell r="C981" t="str">
            <v>NHD</v>
          </cell>
        </row>
        <row r="982">
          <cell r="A982" t="str">
            <v>BIA-0-501-367</v>
          </cell>
          <cell r="B982" t="str">
            <v>SOCKET FOR A CONCENTRATE SAS-08016</v>
          </cell>
          <cell r="C982" t="str">
            <v>NHD</v>
          </cell>
        </row>
        <row r="983">
          <cell r="A983" t="str">
            <v>BIA-0-501-368</v>
          </cell>
          <cell r="B983" t="str">
            <v>SOCKET FOR B CONCENTRATE BLUE</v>
          </cell>
          <cell r="C983" t="str">
            <v>NHD</v>
          </cell>
        </row>
        <row r="984">
          <cell r="A984" t="str">
            <v>BIA-0-501-370</v>
          </cell>
          <cell r="B984" t="str">
            <v>LIP SEAL</v>
          </cell>
          <cell r="C984" t="str">
            <v>NHD</v>
          </cell>
        </row>
        <row r="985">
          <cell r="A985" t="str">
            <v>BIA-0-501-371</v>
          </cell>
          <cell r="B985" t="str">
            <v>BACK SHEET</v>
          </cell>
          <cell r="C985" t="str">
            <v>NHD</v>
          </cell>
        </row>
        <row r="986">
          <cell r="A986" t="str">
            <v>BIA-0-501-375</v>
          </cell>
          <cell r="B986" t="str">
            <v>PUMP HEAD ASSY</v>
          </cell>
          <cell r="C986" t="str">
            <v>NHD</v>
          </cell>
        </row>
        <row r="987">
          <cell r="A987" t="str">
            <v>BIA-0-501-380</v>
          </cell>
          <cell r="B987" t="str">
            <v>CONCENTRATE PUMP ASSY</v>
          </cell>
          <cell r="C987" t="str">
            <v>NHD</v>
          </cell>
        </row>
        <row r="988">
          <cell r="A988" t="str">
            <v>BIA-0-501-382</v>
          </cell>
          <cell r="B988" t="str">
            <v>ULTRAFILTRATION PUMP ASSY KDP75-315</v>
          </cell>
          <cell r="C988" t="str">
            <v>NHD</v>
          </cell>
        </row>
        <row r="989">
          <cell r="A989" t="str">
            <v>BIA-0-501-384</v>
          </cell>
          <cell r="B989" t="str">
            <v>ATTACHMENT PLATE</v>
          </cell>
          <cell r="C989" t="str">
            <v>NHD</v>
          </cell>
        </row>
        <row r="990">
          <cell r="A990" t="str">
            <v>BIA-0-502-074</v>
          </cell>
          <cell r="B990" t="str">
            <v>PV/PA BOARD</v>
          </cell>
          <cell r="C990" t="str">
            <v>NHD</v>
          </cell>
        </row>
        <row r="991">
          <cell r="A991" t="str">
            <v>BIA-0-502-085</v>
          </cell>
          <cell r="B991" t="str">
            <v>NICD BATTERY (20KR-CH(3AH))</v>
          </cell>
          <cell r="C991" t="str">
            <v>NHD</v>
          </cell>
        </row>
        <row r="992">
          <cell r="A992" t="str">
            <v>BIA-0-502-091</v>
          </cell>
          <cell r="B992" t="str">
            <v>ENCODER (RECW20D50-201-1)</v>
          </cell>
          <cell r="C992" t="str">
            <v>NHD</v>
          </cell>
        </row>
        <row r="993">
          <cell r="A993" t="str">
            <v>BIA-0-502-092</v>
          </cell>
          <cell r="B993" t="str">
            <v>CPU BOARD (SSM-3048)</v>
          </cell>
          <cell r="C993" t="str">
            <v>NHD</v>
          </cell>
        </row>
        <row r="994">
          <cell r="A994" t="str">
            <v>BIA-0-502-096</v>
          </cell>
          <cell r="B994" t="str">
            <v>DRIVE BOARD</v>
          </cell>
          <cell r="C994" t="str">
            <v>NHD</v>
          </cell>
        </row>
        <row r="995">
          <cell r="A995" t="str">
            <v>BIA-0-502-097</v>
          </cell>
          <cell r="B995" t="str">
            <v>UFP SENSOR BOARD (SSM-3045)</v>
          </cell>
          <cell r="C995" t="str">
            <v>NHD</v>
          </cell>
        </row>
        <row r="996">
          <cell r="A996" t="str">
            <v>BIA-0-502-100</v>
          </cell>
          <cell r="B996" t="str">
            <v>LCD CONNECTOR BOARD (SSM-3046)</v>
          </cell>
          <cell r="C996" t="str">
            <v>NHD</v>
          </cell>
        </row>
        <row r="997">
          <cell r="A997" t="str">
            <v>BIA-0-502-164</v>
          </cell>
          <cell r="B997" t="str">
            <v>FAN</v>
          </cell>
          <cell r="C997" t="str">
            <v>NHD</v>
          </cell>
        </row>
        <row r="998">
          <cell r="A998" t="str">
            <v>BIA-0-502-184</v>
          </cell>
          <cell r="B998" t="str">
            <v>CD1 HARNESS</v>
          </cell>
          <cell r="C998" t="str">
            <v>NHD</v>
          </cell>
        </row>
        <row r="999">
          <cell r="A999" t="str">
            <v>BIA-0-502-196</v>
          </cell>
          <cell r="B999" t="str">
            <v>CD2 HARNESS</v>
          </cell>
          <cell r="C999" t="str">
            <v>NHD</v>
          </cell>
        </row>
        <row r="1000">
          <cell r="A1000" t="str">
            <v>BIA-0-502-197</v>
          </cell>
          <cell r="B1000" t="str">
            <v>BP HARNESS</v>
          </cell>
          <cell r="C1000" t="str">
            <v>NHD</v>
          </cell>
        </row>
        <row r="1001">
          <cell r="A1001" t="str">
            <v>BIA-0-502-207</v>
          </cell>
          <cell r="B1001" t="str">
            <v>FAN 3B HARNESS</v>
          </cell>
          <cell r="C1001" t="str">
            <v>NHD</v>
          </cell>
        </row>
        <row r="1002">
          <cell r="A1002" t="str">
            <v>BIA-0-502-216</v>
          </cell>
          <cell r="B1002" t="str">
            <v>POWER BOARD (SSM-08003)</v>
          </cell>
          <cell r="C1002" t="str">
            <v>NHD</v>
          </cell>
        </row>
        <row r="1003">
          <cell r="A1003" t="str">
            <v>BIA-0-502-217</v>
          </cell>
          <cell r="B1003" t="str">
            <v>I/O BOARD (SSM-08004)</v>
          </cell>
          <cell r="C1003" t="str">
            <v>NHD</v>
          </cell>
        </row>
        <row r="1004">
          <cell r="A1004" t="str">
            <v>BIA-0-502-218</v>
          </cell>
          <cell r="B1004" t="str">
            <v>PANEL CPU BOARD (SSM-07015)</v>
          </cell>
          <cell r="C1004" t="str">
            <v>NHD</v>
          </cell>
        </row>
        <row r="1005">
          <cell r="A1005" t="str">
            <v>BIA-0-502-221</v>
          </cell>
          <cell r="B1005" t="str">
            <v>CONDUCTIVITY SENSOR MODULE BOARD</v>
          </cell>
          <cell r="C1005" t="str">
            <v>NHD</v>
          </cell>
        </row>
        <row r="1006">
          <cell r="A1006" t="str">
            <v>BIA-0-502-226</v>
          </cell>
          <cell r="B1006" t="str">
            <v>INFUSION STAND LOCK BOLT</v>
          </cell>
          <cell r="C1006" t="str">
            <v>NHD</v>
          </cell>
        </row>
        <row r="1007">
          <cell r="A1007" t="str">
            <v>BIA-0-502-253</v>
          </cell>
          <cell r="B1007" t="str">
            <v>MICRO LIMIT SW WITH SENS2 HARNESS</v>
          </cell>
          <cell r="C1007" t="str">
            <v>NHD</v>
          </cell>
        </row>
        <row r="1008">
          <cell r="A1008" t="str">
            <v>BIA-0-502-262</v>
          </cell>
          <cell r="B1008" t="str">
            <v>SPEAKER</v>
          </cell>
          <cell r="C1008" t="str">
            <v>NHD</v>
          </cell>
        </row>
        <row r="1009">
          <cell r="A1009" t="str">
            <v>BIA-0-502-267</v>
          </cell>
          <cell r="B1009" t="str">
            <v>CD3 HARNESS</v>
          </cell>
          <cell r="C1009" t="str">
            <v>NHD</v>
          </cell>
        </row>
        <row r="1010">
          <cell r="A1010" t="str">
            <v>BIA-0-502-272</v>
          </cell>
          <cell r="B1010" t="str">
            <v>FAN</v>
          </cell>
          <cell r="C1010" t="str">
            <v>NHD</v>
          </cell>
        </row>
        <row r="1011">
          <cell r="A1011" t="str">
            <v>BIA-0-502-277</v>
          </cell>
          <cell r="B1011" t="str">
            <v>PROXIMITY SENSOR</v>
          </cell>
          <cell r="C1011" t="str">
            <v>NHD</v>
          </cell>
        </row>
        <row r="1012">
          <cell r="A1012" t="str">
            <v>BIA-0-502-279</v>
          </cell>
          <cell r="B1012" t="str">
            <v>PROXIMITY SENSOR</v>
          </cell>
          <cell r="C1012" t="str">
            <v>NHD</v>
          </cell>
        </row>
        <row r="1013">
          <cell r="A1013" t="str">
            <v>BIA-0-502-290</v>
          </cell>
          <cell r="B1013" t="str">
            <v>I/O BOARD</v>
          </cell>
          <cell r="C1013" t="str">
            <v>NHD</v>
          </cell>
        </row>
        <row r="1014">
          <cell r="A1014" t="str">
            <v>BIA-0-502-293</v>
          </cell>
          <cell r="B1014" t="str">
            <v>SYSTEM KNOB</v>
          </cell>
          <cell r="C1014" t="str">
            <v>NHD</v>
          </cell>
        </row>
        <row r="1015">
          <cell r="A1015" t="str">
            <v>BIA-0-502-296</v>
          </cell>
          <cell r="B1015" t="str">
            <v>POWER SOURCE CABLE WITH 3P-PLUG</v>
          </cell>
          <cell r="C1015" t="str">
            <v>NHD</v>
          </cell>
        </row>
        <row r="1016">
          <cell r="A1016" t="str">
            <v>BIA-0-502-309</v>
          </cell>
          <cell r="B1016" t="str">
            <v>LIGHT INDICATOR</v>
          </cell>
          <cell r="C1016" t="str">
            <v>NHD</v>
          </cell>
        </row>
        <row r="1017">
          <cell r="A1017" t="str">
            <v>BIA-0-502-310</v>
          </cell>
          <cell r="B1017" t="str">
            <v>CPU BOARD NEW TYPE</v>
          </cell>
          <cell r="C1017" t="str">
            <v>NHD</v>
          </cell>
        </row>
        <row r="1018">
          <cell r="A1018" t="str">
            <v>BIA-0-502-311</v>
          </cell>
          <cell r="B1018" t="str">
            <v>LCD ASSY TYPE II</v>
          </cell>
          <cell r="C1018" t="str">
            <v>NHD</v>
          </cell>
        </row>
        <row r="1019">
          <cell r="A1019" t="str">
            <v>BIA-0-502-320</v>
          </cell>
          <cell r="B1019" t="str">
            <v>COUPLER SWITCH ASSY</v>
          </cell>
          <cell r="C1019" t="str">
            <v>NHD</v>
          </cell>
        </row>
        <row r="1020">
          <cell r="A1020" t="str">
            <v>BIA-0-502-323</v>
          </cell>
          <cell r="B1020" t="str">
            <v>SSR (TYPE 2)</v>
          </cell>
          <cell r="C1020" t="str">
            <v>NHD</v>
          </cell>
        </row>
        <row r="1021">
          <cell r="A1021" t="str">
            <v>BIA-0-502-324</v>
          </cell>
          <cell r="B1021" t="str">
            <v>FAN</v>
          </cell>
          <cell r="C1021" t="str">
            <v>NHD</v>
          </cell>
        </row>
        <row r="1022">
          <cell r="A1022" t="str">
            <v>BIA-0-502-325</v>
          </cell>
          <cell r="B1022" t="str">
            <v>CPU BOARD</v>
          </cell>
          <cell r="C1022" t="str">
            <v>NHD</v>
          </cell>
        </row>
        <row r="1023">
          <cell r="A1023" t="str">
            <v>BIA-0-502-326</v>
          </cell>
          <cell r="B1023" t="str">
            <v>POWER BOARD SSM-17005 TYPE II</v>
          </cell>
          <cell r="C1023" t="str">
            <v>NHD</v>
          </cell>
        </row>
        <row r="1024">
          <cell r="A1024" t="str">
            <v>BIA-0-502-327</v>
          </cell>
          <cell r="B1024" t="str">
            <v>I/O BOARD (TYPE 2)</v>
          </cell>
          <cell r="C1024" t="str">
            <v>NHD</v>
          </cell>
        </row>
        <row r="1025">
          <cell r="A1025" t="str">
            <v>BIA-0-502-328</v>
          </cell>
          <cell r="B1025" t="str">
            <v>FAN 2</v>
          </cell>
          <cell r="C1025" t="str">
            <v>NHD</v>
          </cell>
        </row>
        <row r="1026">
          <cell r="A1026" t="str">
            <v>BIA-0-502-358</v>
          </cell>
          <cell r="B1026" t="str">
            <v>FAN</v>
          </cell>
          <cell r="C1026" t="str">
            <v>NHD</v>
          </cell>
        </row>
        <row r="1027">
          <cell r="A1027" t="str">
            <v>BIA-0-502-361</v>
          </cell>
          <cell r="B1027" t="str">
            <v>FAN 3B</v>
          </cell>
          <cell r="C1027" t="str">
            <v>NHD</v>
          </cell>
        </row>
        <row r="1028">
          <cell r="A1028" t="str">
            <v>BIA-0-502-363</v>
          </cell>
          <cell r="B1028" t="str">
            <v>BPC HARNESS</v>
          </cell>
          <cell r="C1028" t="str">
            <v>NHD</v>
          </cell>
        </row>
        <row r="1029">
          <cell r="A1029" t="str">
            <v>BIA-0-502-366</v>
          </cell>
          <cell r="B1029" t="str">
            <v>OVER VOLTAGE PROTECT BOARD</v>
          </cell>
          <cell r="C1029" t="str">
            <v>NHD</v>
          </cell>
        </row>
        <row r="1030">
          <cell r="A1030" t="str">
            <v>BIA-0-502-368</v>
          </cell>
          <cell r="B1030" t="str">
            <v>OVER VOLTAGE BOARD</v>
          </cell>
          <cell r="C1030" t="str">
            <v>NHD</v>
          </cell>
        </row>
        <row r="1031">
          <cell r="A1031" t="str">
            <v>BIA-0-504-024</v>
          </cell>
          <cell r="B1031" t="str">
            <v>DIALYSATE PRESSURE SENSOR ASSY (PD02)</v>
          </cell>
          <cell r="C1031" t="str">
            <v>NHD</v>
          </cell>
        </row>
        <row r="1032">
          <cell r="A1032" t="str">
            <v>BIA-0-504-035</v>
          </cell>
          <cell r="B1032" t="str">
            <v>HEPARIN PUMP (HP)</v>
          </cell>
          <cell r="C1032" t="str">
            <v>NHD</v>
          </cell>
        </row>
        <row r="1033">
          <cell r="A1033" t="str">
            <v>BIA-0-504-036</v>
          </cell>
          <cell r="B1033" t="str">
            <v>PUSHER E</v>
          </cell>
          <cell r="C1033" t="str">
            <v>NHD</v>
          </cell>
        </row>
        <row r="1034">
          <cell r="A1034" t="str">
            <v>BIA-0-504-045</v>
          </cell>
          <cell r="B1034" t="str">
            <v>MICRO LIMIT SW</v>
          </cell>
          <cell r="C1034" t="str">
            <v>NHD</v>
          </cell>
        </row>
        <row r="1035">
          <cell r="A1035" t="str">
            <v>BIA-0-504-048</v>
          </cell>
          <cell r="B1035" t="str">
            <v>SYRINGE HOLDER</v>
          </cell>
          <cell r="C1035" t="str">
            <v>NHD</v>
          </cell>
        </row>
        <row r="1036">
          <cell r="A1036" t="str">
            <v>BIA-0-504-050</v>
          </cell>
          <cell r="B1036" t="str">
            <v>SCREW</v>
          </cell>
          <cell r="C1036" t="str">
            <v>NHD</v>
          </cell>
        </row>
        <row r="1037">
          <cell r="A1037" t="str">
            <v>BIA-0-504-101</v>
          </cell>
          <cell r="B1037" t="str">
            <v>MICRO LIMIT SW</v>
          </cell>
          <cell r="C1037" t="str">
            <v>NHD</v>
          </cell>
        </row>
        <row r="1038">
          <cell r="A1038" t="str">
            <v>BIA-0-504-133</v>
          </cell>
          <cell r="B1038" t="str">
            <v>Flow Sensor Assy (FS 2/4)</v>
          </cell>
          <cell r="C1038" t="str">
            <v>NHD</v>
          </cell>
        </row>
        <row r="1039">
          <cell r="A1039" t="str">
            <v>BIA-0-504-155</v>
          </cell>
          <cell r="B1039" t="str">
            <v>Air Bubble Detector Assy Type 1 (BH)</v>
          </cell>
          <cell r="C1039" t="str">
            <v>NHD</v>
          </cell>
        </row>
        <row r="1040">
          <cell r="A1040" t="str">
            <v>BIA-0-504-161</v>
          </cell>
          <cell r="B1040" t="str">
            <v>CONDUCTIVITY SENSOR ASSY (CD1) SAS-08030</v>
          </cell>
          <cell r="C1040" t="str">
            <v>NHD</v>
          </cell>
        </row>
        <row r="1041">
          <cell r="A1041" t="str">
            <v>BIA-0-504-162</v>
          </cell>
          <cell r="B1041" t="str">
            <v>CONDUCTIVITY SENSOR ASSY (CD2) SAS-08031</v>
          </cell>
          <cell r="C1041" t="str">
            <v>NHD</v>
          </cell>
        </row>
        <row r="1042">
          <cell r="A1042" t="str">
            <v>BIA-0-504-163</v>
          </cell>
          <cell r="B1042" t="str">
            <v>CONDUCTIVITY SENSOR ASSY (CD3) SAS-08032</v>
          </cell>
          <cell r="C1042" t="str">
            <v>NHD</v>
          </cell>
        </row>
        <row r="1043">
          <cell r="A1043" t="str">
            <v>BIA-0-504-164</v>
          </cell>
          <cell r="B1043" t="str">
            <v>SENSOR HOLDER</v>
          </cell>
          <cell r="C1043" t="str">
            <v>NHD</v>
          </cell>
        </row>
        <row r="1044">
          <cell r="A1044" t="str">
            <v>BIA-0-504-178</v>
          </cell>
          <cell r="B1044" t="str">
            <v>HOUSING ASSY</v>
          </cell>
          <cell r="C1044" t="str">
            <v>NHD</v>
          </cell>
        </row>
        <row r="1045">
          <cell r="A1045" t="str">
            <v>BIA-0-504-179</v>
          </cell>
          <cell r="B1045" t="str">
            <v>ROTOR ASSY</v>
          </cell>
          <cell r="C1045" t="str">
            <v>NHD</v>
          </cell>
        </row>
        <row r="1046">
          <cell r="A1046" t="str">
            <v>BIA-0-504-184</v>
          </cell>
          <cell r="B1046" t="str">
            <v>FLOW SENSOR ASSY FS 2/4</v>
          </cell>
          <cell r="C1046" t="str">
            <v>NHD</v>
          </cell>
        </row>
        <row r="1047">
          <cell r="A1047" t="str">
            <v>BIA-0-504-187</v>
          </cell>
          <cell r="B1047" t="str">
            <v>LEVEL SENSOR FS5</v>
          </cell>
          <cell r="C1047" t="str">
            <v>NHD</v>
          </cell>
        </row>
        <row r="1048">
          <cell r="A1048" t="str">
            <v>BIA-0-504-190</v>
          </cell>
          <cell r="B1048" t="str">
            <v>BP COVER ASSY</v>
          </cell>
          <cell r="C1048" t="str">
            <v>NHD</v>
          </cell>
        </row>
        <row r="1049">
          <cell r="A1049" t="str">
            <v>BIA-0-504-191</v>
          </cell>
          <cell r="B1049" t="str">
            <v>MOTOR</v>
          </cell>
          <cell r="C1049" t="str">
            <v>NHD</v>
          </cell>
        </row>
        <row r="1050">
          <cell r="A1050" t="str">
            <v>BIA-0-504-200</v>
          </cell>
          <cell r="B1050" t="str">
            <v>BLOOD PUMP ASSY MRP22-011</v>
          </cell>
          <cell r="C1050" t="str">
            <v>NHD</v>
          </cell>
        </row>
        <row r="1051">
          <cell r="A1051" t="str">
            <v>BIA-0-504-201</v>
          </cell>
          <cell r="B1051" t="str">
            <v>PHOTO SENSOR</v>
          </cell>
          <cell r="C1051" t="str">
            <v>NHD</v>
          </cell>
        </row>
        <row r="1052">
          <cell r="A1052" t="str">
            <v>BIA-0-504-215</v>
          </cell>
          <cell r="B1052" t="str">
            <v>BLOOD PUMP ASSY (BP)</v>
          </cell>
          <cell r="C1052" t="str">
            <v>NHD</v>
          </cell>
        </row>
        <row r="1053">
          <cell r="A1053" t="str">
            <v>BIA-0-504-221</v>
          </cell>
          <cell r="B1053" t="str">
            <v>BLOOD SENSOR ASSY (BP)</v>
          </cell>
          <cell r="C1053" t="str">
            <v>NHD</v>
          </cell>
        </row>
        <row r="1054">
          <cell r="A1054" t="str">
            <v>BIA-0-504-222</v>
          </cell>
          <cell r="B1054" t="str">
            <v>CLAMP BOX</v>
          </cell>
          <cell r="C1054" t="str">
            <v>NHD</v>
          </cell>
        </row>
        <row r="1055">
          <cell r="A1055" t="str">
            <v>BIA-0-504-225</v>
          </cell>
          <cell r="B1055" t="str">
            <v>BLOOD PUMP ASSY</v>
          </cell>
          <cell r="C1055" t="str">
            <v>NHD</v>
          </cell>
        </row>
        <row r="1056">
          <cell r="A1056" t="str">
            <v>BIA-0-504-229</v>
          </cell>
          <cell r="B1056" t="str">
            <v>CLAMP BOX</v>
          </cell>
          <cell r="C1056" t="str">
            <v>NHD</v>
          </cell>
        </row>
        <row r="1057">
          <cell r="A1057" t="str">
            <v>BIA-0-504-230</v>
          </cell>
          <cell r="B1057" t="str">
            <v>CLV ASSY SAS-19014</v>
          </cell>
          <cell r="C1057" t="str">
            <v>NHD</v>
          </cell>
        </row>
        <row r="1058">
          <cell r="A1058" t="str">
            <v>BIA-0-504-232</v>
          </cell>
          <cell r="B1058" t="str">
            <v>CLAMP BOX SAS-19016</v>
          </cell>
          <cell r="C1058" t="str">
            <v>NHD</v>
          </cell>
        </row>
        <row r="1059">
          <cell r="A1059" t="str">
            <v>BIA-0-504-233</v>
          </cell>
          <cell r="B1059" t="str">
            <v>CLAMP BOX</v>
          </cell>
          <cell r="C1059" t="str">
            <v>NHD</v>
          </cell>
        </row>
        <row r="1060">
          <cell r="A1060" t="str">
            <v>BIA-0-504-238</v>
          </cell>
          <cell r="B1060" t="str">
            <v>PUMP FOR A CONCENTRATE ASSY</v>
          </cell>
          <cell r="C1060" t="str">
            <v>NHD</v>
          </cell>
        </row>
        <row r="1061">
          <cell r="A1061" t="str">
            <v>BIA-0-504-239</v>
          </cell>
          <cell r="B1061" t="str">
            <v>Ultrafiltration Pump Update Kit</v>
          </cell>
          <cell r="C1061" t="str">
            <v>NHD</v>
          </cell>
        </row>
        <row r="1062">
          <cell r="A1062" t="str">
            <v>BIA-0-504-248</v>
          </cell>
          <cell r="B1062" t="str">
            <v>MAGNET GEAR PUMP UPDATE KIT</v>
          </cell>
          <cell r="C1062" t="str">
            <v>NHD</v>
          </cell>
        </row>
        <row r="1063">
          <cell r="A1063" t="str">
            <v>BIA-0-505-009</v>
          </cell>
          <cell r="B1063" t="str">
            <v>POWER SW</v>
          </cell>
          <cell r="C1063" t="str">
            <v>NHD</v>
          </cell>
        </row>
        <row r="1064">
          <cell r="A1064" t="str">
            <v>BIA-0-505-025</v>
          </cell>
          <cell r="B1064" t="str">
            <v>ELECTRIC UPGRADE KIT</v>
          </cell>
          <cell r="C1064" t="str">
            <v>NHD</v>
          </cell>
        </row>
        <row r="1065">
          <cell r="A1065" t="str">
            <v>BIA-0-506-001</v>
          </cell>
          <cell r="B1065" t="str">
            <v>RESISTANCE SWITCH BOX (FOR TEMPERATURE SENSOR)</v>
          </cell>
          <cell r="C1065" t="str">
            <v>NHD</v>
          </cell>
        </row>
        <row r="1066">
          <cell r="A1066" t="str">
            <v>BIA-0-506-007</v>
          </cell>
          <cell r="B1066" t="str">
            <v>RESISTANCE SWITCH BOX (FOR CONDUCTIVITY SENSOR)</v>
          </cell>
          <cell r="C1066" t="str">
            <v>NHD</v>
          </cell>
        </row>
        <row r="1067">
          <cell r="A1067" t="str">
            <v>BIA-0-506-032</v>
          </cell>
          <cell r="B1067" t="str">
            <v>D-MANOMETER (COPAL ELECTRONICS PG-100102GH)</v>
          </cell>
          <cell r="C1067" t="str">
            <v>NHD</v>
          </cell>
        </row>
        <row r="1068">
          <cell r="A1068" t="str">
            <v>BIA-0-507-019</v>
          </cell>
          <cell r="B1068" t="str">
            <v>NOZZLE SUPPORT</v>
          </cell>
          <cell r="C1068" t="str">
            <v>NHD</v>
          </cell>
        </row>
        <row r="1069">
          <cell r="A1069" t="str">
            <v>BIA-0-507-020</v>
          </cell>
          <cell r="B1069" t="str">
            <v>CHECK VALVE</v>
          </cell>
          <cell r="C1069" t="str">
            <v>NHD</v>
          </cell>
        </row>
        <row r="1070">
          <cell r="A1070" t="str">
            <v>BIA-0-507-024</v>
          </cell>
          <cell r="B1070" t="str">
            <v>PACKING</v>
          </cell>
          <cell r="C1070" t="str">
            <v>NHD</v>
          </cell>
        </row>
        <row r="1071">
          <cell r="A1071" t="str">
            <v>BIA-0-507-048</v>
          </cell>
          <cell r="B1071" t="str">
            <v>BUILT-IN AUTOMATIC BLOOD PRESSURE MONITOR UNIT</v>
          </cell>
          <cell r="C1071" t="str">
            <v>NHD</v>
          </cell>
        </row>
        <row r="1072">
          <cell r="A1072" t="str">
            <v>BIA-0-507-053</v>
          </cell>
          <cell r="B1072" t="str">
            <v>NOZZLE PACKING</v>
          </cell>
          <cell r="C1072" t="str">
            <v>NHD</v>
          </cell>
        </row>
        <row r="1073">
          <cell r="A1073" t="str">
            <v>BIA-0-507-059</v>
          </cell>
          <cell r="B1073" t="str">
            <v>HEAT EXCHANGER (HEX)</v>
          </cell>
          <cell r="C1073" t="str">
            <v>NHD</v>
          </cell>
        </row>
        <row r="1074">
          <cell r="A1074" t="str">
            <v>BIA-0-507-062</v>
          </cell>
          <cell r="B1074" t="str">
            <v>POWDER BICARBONATE CARTRIDGE HOLDER / B</v>
          </cell>
          <cell r="C1074" t="str">
            <v>NHD</v>
          </cell>
        </row>
        <row r="1075">
          <cell r="A1075" t="str">
            <v>BIA-0-507-079</v>
          </cell>
          <cell r="B1075" t="str">
            <v>BUILT-IN AUTOMATIC BLOOD PRESSURE MONITOR UNIT</v>
          </cell>
          <cell r="C1075" t="str">
            <v>NHD</v>
          </cell>
        </row>
        <row r="1076">
          <cell r="A1076" t="str">
            <v>BIA-0-507-080</v>
          </cell>
          <cell r="B1076" t="str">
            <v>POWDER BICARBONATE CARTRIDGE</v>
          </cell>
          <cell r="C1076" t="str">
            <v>NHD</v>
          </cell>
        </row>
        <row r="1077">
          <cell r="A1077" t="str">
            <v>BIA-051</v>
          </cell>
          <cell r="B1077" t="str">
            <v>Televisi</v>
          </cell>
          <cell r="C1077" t="str">
            <v>NHD</v>
          </cell>
        </row>
        <row r="1078">
          <cell r="A1078" t="str">
            <v>BIA-052</v>
          </cell>
          <cell r="B1078" t="str">
            <v>AC</v>
          </cell>
          <cell r="C1078" t="str">
            <v>NHD</v>
          </cell>
        </row>
        <row r="1079">
          <cell r="A1079" t="str">
            <v>BIA-053</v>
          </cell>
          <cell r="B1079" t="str">
            <v>Bed Pasien</v>
          </cell>
          <cell r="C1079" t="str">
            <v>NHD</v>
          </cell>
        </row>
        <row r="1080">
          <cell r="A1080" t="str">
            <v>BIA-054</v>
          </cell>
          <cell r="B1080" t="str">
            <v>Biaya Perjalanan Dinas</v>
          </cell>
          <cell r="C1080" t="str">
            <v>NHD</v>
          </cell>
        </row>
        <row r="1081">
          <cell r="A1081" t="str">
            <v>BIA-055</v>
          </cell>
          <cell r="B1081" t="str">
            <v>Biaya Parkir, Toll Dan Retribusi Kirim Barang</v>
          </cell>
          <cell r="C1081" t="str">
            <v>NHD</v>
          </cell>
        </row>
        <row r="1082">
          <cell r="A1082" t="str">
            <v>BIA-056</v>
          </cell>
          <cell r="B1082" t="str">
            <v>Biaya Makan</v>
          </cell>
          <cell r="C1082" t="str">
            <v>NHD</v>
          </cell>
        </row>
        <row r="1083">
          <cell r="A1083" t="str">
            <v>BIA-057</v>
          </cell>
          <cell r="B1083" t="str">
            <v>Biaya Bongkar Muat</v>
          </cell>
          <cell r="C1083" t="str">
            <v>NHD</v>
          </cell>
        </row>
        <row r="1084">
          <cell r="A1084" t="str">
            <v>BIA-058</v>
          </cell>
          <cell r="B1084" t="str">
            <v>Asset Dalam Penyelesaian - Bangunan</v>
          </cell>
          <cell r="C1084" t="str">
            <v>NHD</v>
          </cell>
        </row>
        <row r="1085">
          <cell r="A1085" t="str">
            <v>BIA-059</v>
          </cell>
          <cell r="B1085" t="str">
            <v>Biaya Jasa Teknik</v>
          </cell>
          <cell r="C1085" t="str">
            <v>NHD</v>
          </cell>
        </row>
        <row r="1086">
          <cell r="A1086" t="str">
            <v>BIA-060</v>
          </cell>
          <cell r="B1086" t="str">
            <v>Biaya Jasa Penyelanggara Kegiatan</v>
          </cell>
          <cell r="C1086" t="str">
            <v>NHD</v>
          </cell>
        </row>
        <row r="1087">
          <cell r="A1087" t="str">
            <v>BIA-061</v>
          </cell>
          <cell r="B1087" t="str">
            <v>Bed Elevator</v>
          </cell>
          <cell r="C1087" t="str">
            <v>NHD</v>
          </cell>
        </row>
        <row r="1088">
          <cell r="A1088" t="str">
            <v>BIA-062</v>
          </cell>
          <cell r="B1088" t="str">
            <v>Biaya Instalasi</v>
          </cell>
          <cell r="C1088" t="str">
            <v>NHD</v>
          </cell>
        </row>
        <row r="1089">
          <cell r="A1089" t="str">
            <v>BIA-063</v>
          </cell>
          <cell r="B1089" t="str">
            <v>Biaya Instalasi Gas Medis</v>
          </cell>
          <cell r="C1089" t="str">
            <v>NHD</v>
          </cell>
        </row>
        <row r="1090">
          <cell r="A1090" t="str">
            <v>BIA-064</v>
          </cell>
          <cell r="B1090" t="str">
            <v>Biaya Jasa Pemasangan AC</v>
          </cell>
          <cell r="C1090" t="str">
            <v>NHD</v>
          </cell>
        </row>
        <row r="1091">
          <cell r="A1091" t="str">
            <v>BIA-065</v>
          </cell>
          <cell r="B1091" t="str">
            <v>Biaya Materai</v>
          </cell>
          <cell r="C1091" t="str">
            <v>NHD</v>
          </cell>
        </row>
        <row r="1092">
          <cell r="A1092" t="str">
            <v>BIA-066</v>
          </cell>
          <cell r="B1092" t="str">
            <v>BEA MASUK</v>
          </cell>
          <cell r="C1092" t="str">
            <v>NHD</v>
          </cell>
        </row>
        <row r="1093">
          <cell r="A1093" t="str">
            <v>BIA-067</v>
          </cell>
          <cell r="B1093" t="str">
            <v>PPN IMPORT</v>
          </cell>
          <cell r="C1093" t="str">
            <v>NHD</v>
          </cell>
        </row>
        <row r="1094">
          <cell r="A1094" t="str">
            <v>BIA-068</v>
          </cell>
          <cell r="B1094" t="str">
            <v>PPH 22 IMPORT</v>
          </cell>
          <cell r="C1094" t="str">
            <v>NHD</v>
          </cell>
        </row>
        <row r="1095">
          <cell r="A1095" t="str">
            <v>BIA-069</v>
          </cell>
          <cell r="B1095" t="str">
            <v>Perlengkapan Gedung</v>
          </cell>
          <cell r="C1095" t="str">
            <v>NHD</v>
          </cell>
        </row>
        <row r="1096">
          <cell r="A1096" t="str">
            <v>BIA-070</v>
          </cell>
          <cell r="B1096" t="str">
            <v>BIAYA JASA PENYEDIA TENAGA/OUTSOURCING SERVICE</v>
          </cell>
          <cell r="C1096" t="str">
            <v>NHD</v>
          </cell>
        </row>
        <row r="1097">
          <cell r="A1097" t="str">
            <v>BIA-0-701-008</v>
          </cell>
          <cell r="B1097" t="str">
            <v>Sensor Holder A</v>
          </cell>
          <cell r="C1097" t="str">
            <v>NHD</v>
          </cell>
        </row>
        <row r="1098">
          <cell r="A1098" t="str">
            <v>BIA-0-701-009</v>
          </cell>
          <cell r="B1098" t="str">
            <v>O-ring</v>
          </cell>
          <cell r="C1098" t="str">
            <v>NHD</v>
          </cell>
        </row>
        <row r="1099">
          <cell r="A1099" t="str">
            <v>BIA-0-701-010</v>
          </cell>
          <cell r="B1099" t="str">
            <v>Sensor Holder B</v>
          </cell>
          <cell r="C1099" t="str">
            <v>NHD</v>
          </cell>
        </row>
        <row r="1100">
          <cell r="A1100" t="str">
            <v>BIA-0-701-011</v>
          </cell>
          <cell r="B1100" t="str">
            <v>O-ring</v>
          </cell>
          <cell r="C1100" t="str">
            <v>NHD</v>
          </cell>
        </row>
        <row r="1101">
          <cell r="A1101" t="str">
            <v>BIA-0-701-015</v>
          </cell>
          <cell r="B1101" t="str">
            <v>CONDUCTIVITY SENSOR (CD1,CD2,CD3)</v>
          </cell>
          <cell r="C1101" t="str">
            <v>NHD</v>
          </cell>
        </row>
        <row r="1102">
          <cell r="A1102" t="str">
            <v>BIA-0-701-021</v>
          </cell>
          <cell r="B1102" t="str">
            <v>FLOW SENSOR ASSY (FS1)</v>
          </cell>
          <cell r="C1102" t="str">
            <v>NHD</v>
          </cell>
        </row>
        <row r="1103">
          <cell r="A1103" t="str">
            <v>BIA-0-701-023</v>
          </cell>
          <cell r="B1103" t="str">
            <v>JOINT A</v>
          </cell>
          <cell r="C1103" t="str">
            <v>NHD</v>
          </cell>
        </row>
        <row r="1104">
          <cell r="A1104" t="str">
            <v>BIA-0-701-025</v>
          </cell>
          <cell r="B1104" t="str">
            <v>ROTATIONAL POSITION SENSOR</v>
          </cell>
          <cell r="C1104" t="str">
            <v>NHD</v>
          </cell>
        </row>
        <row r="1105">
          <cell r="A1105" t="str">
            <v>BIA-0-701-028</v>
          </cell>
          <cell r="B1105" t="str">
            <v>CONCENTRATE PUMP/A (P3)</v>
          </cell>
          <cell r="C1105" t="str">
            <v>NHD</v>
          </cell>
        </row>
        <row r="1106">
          <cell r="A1106" t="str">
            <v>BIA-0-701-031</v>
          </cell>
          <cell r="B1106" t="str">
            <v>REDUCING VALVE (PR)</v>
          </cell>
          <cell r="C1106" t="str">
            <v>NHD</v>
          </cell>
        </row>
        <row r="1107">
          <cell r="A1107" t="str">
            <v>BIA-0-701-169</v>
          </cell>
          <cell r="B1107" t="str">
            <v>FLOW SENSOR ASSY (FS3)</v>
          </cell>
          <cell r="C1107" t="str">
            <v>NHD</v>
          </cell>
        </row>
        <row r="1108">
          <cell r="A1108" t="str">
            <v>BIA-0-701-170</v>
          </cell>
          <cell r="B1108" t="str">
            <v>DIALYSATE PRESSURE SENSOR ASSY (PD)</v>
          </cell>
          <cell r="C1108" t="str">
            <v>NHD</v>
          </cell>
        </row>
        <row r="1109">
          <cell r="A1109" t="str">
            <v>BIA-0-701-190</v>
          </cell>
          <cell r="B1109" t="str">
            <v>PLAIN WASHER</v>
          </cell>
          <cell r="C1109" t="str">
            <v>NHD</v>
          </cell>
        </row>
        <row r="1110">
          <cell r="A1110" t="str">
            <v>BIA-0-701-298</v>
          </cell>
          <cell r="B1110" t="str">
            <v>C TYPE RETAINING RING</v>
          </cell>
          <cell r="C1110" t="str">
            <v>NHD</v>
          </cell>
        </row>
        <row r="1111">
          <cell r="A1111" t="str">
            <v>BIA-0-701-310</v>
          </cell>
          <cell r="B1111" t="str">
            <v>ORIFICE 17 A</v>
          </cell>
          <cell r="C1111" t="str">
            <v>NHD</v>
          </cell>
        </row>
        <row r="1112">
          <cell r="A1112" t="str">
            <v>BIA-0-701-362</v>
          </cell>
          <cell r="B1112" t="str">
            <v>MEDIL TUBE 2.38×?5.56</v>
          </cell>
          <cell r="C1112" t="str">
            <v>NHD</v>
          </cell>
        </row>
        <row r="1113">
          <cell r="A1113" t="str">
            <v>BIA-0-701-702</v>
          </cell>
          <cell r="B1113" t="str">
            <v>MAGNET GEAR PUMP FOR P2</v>
          </cell>
          <cell r="C1113" t="str">
            <v>NHD</v>
          </cell>
        </row>
        <row r="1114">
          <cell r="A1114" t="str">
            <v>BIA-0-701-739</v>
          </cell>
          <cell r="B1114" t="str">
            <v>TEMPERATURE SENSOR ASSY T1</v>
          </cell>
          <cell r="C1114" t="str">
            <v>NHD</v>
          </cell>
        </row>
        <row r="1115">
          <cell r="A1115" t="str">
            <v>BIA-0-701-740</v>
          </cell>
          <cell r="B1115" t="str">
            <v>TEMPERATURE SENSOR ASSY T2</v>
          </cell>
          <cell r="C1115" t="str">
            <v>NHD</v>
          </cell>
        </row>
        <row r="1116">
          <cell r="A1116" t="str">
            <v>BIA-0-701-741</v>
          </cell>
          <cell r="B1116" t="str">
            <v>TEMPERATURE SENSOR T3</v>
          </cell>
          <cell r="C1116" t="str">
            <v>NHD</v>
          </cell>
        </row>
        <row r="1117">
          <cell r="A1117" t="str">
            <v>BIA-0-701-742</v>
          </cell>
          <cell r="B1117" t="str">
            <v>TEMPERATURE SENSOR ASSY T4</v>
          </cell>
          <cell r="C1117" t="str">
            <v>NHD</v>
          </cell>
        </row>
        <row r="1118">
          <cell r="A1118" t="str">
            <v>BIA-0-701-743</v>
          </cell>
          <cell r="B1118" t="str">
            <v>TEMPERATURE SENSOR ASSY T5</v>
          </cell>
          <cell r="C1118" t="str">
            <v>NHD</v>
          </cell>
        </row>
        <row r="1119">
          <cell r="A1119" t="str">
            <v>BIA-0-701-744</v>
          </cell>
          <cell r="B1119" t="str">
            <v>TEMPERATURE SENSOR ASSY T6</v>
          </cell>
          <cell r="C1119" t="str">
            <v>NHD</v>
          </cell>
        </row>
        <row r="1120">
          <cell r="A1120" t="str">
            <v>BIA-0-701-745</v>
          </cell>
          <cell r="B1120" t="str">
            <v>TEMPERATURE SENSOR ASSY T7</v>
          </cell>
          <cell r="C1120" t="str">
            <v>NHD</v>
          </cell>
        </row>
        <row r="1121">
          <cell r="A1121" t="str">
            <v>BIA-0-701-747</v>
          </cell>
          <cell r="B1121" t="str">
            <v>SENSOR HOLDER</v>
          </cell>
          <cell r="C1121" t="str">
            <v>NHD</v>
          </cell>
        </row>
        <row r="1122">
          <cell r="A1122" t="str">
            <v>BIA-0-701-748</v>
          </cell>
          <cell r="B1122" t="str">
            <v>CLIP</v>
          </cell>
          <cell r="C1122" t="str">
            <v>NHD</v>
          </cell>
        </row>
        <row r="1123">
          <cell r="A1123" t="str">
            <v>BIA-0-701-749</v>
          </cell>
          <cell r="B1123" t="str">
            <v>SUPPORT PLATE</v>
          </cell>
          <cell r="C1123" t="str">
            <v>NHD</v>
          </cell>
        </row>
        <row r="1124">
          <cell r="A1124" t="str">
            <v>BIA-0-701-750</v>
          </cell>
          <cell r="B1124" t="str">
            <v>O-RING</v>
          </cell>
          <cell r="C1124" t="str">
            <v>NHD</v>
          </cell>
        </row>
        <row r="1125">
          <cell r="A1125" t="str">
            <v>BIA-0-701-751</v>
          </cell>
          <cell r="B1125" t="str">
            <v>BACKUP RING</v>
          </cell>
          <cell r="C1125" t="str">
            <v>NHD</v>
          </cell>
        </row>
        <row r="1126">
          <cell r="A1126" t="str">
            <v>BIA-0-701-759</v>
          </cell>
          <cell r="B1126" t="str">
            <v>FLOW SENSOR (FS2)</v>
          </cell>
          <cell r="C1126" t="str">
            <v>NHD</v>
          </cell>
        </row>
        <row r="1127">
          <cell r="A1127" t="str">
            <v>BIA-0-701-775</v>
          </cell>
          <cell r="B1127" t="str">
            <v>BTD/BTW ASSY</v>
          </cell>
          <cell r="C1127" t="str">
            <v>NHD</v>
          </cell>
        </row>
        <row r="1128">
          <cell r="A1128" t="str">
            <v>BIA-0-701-820</v>
          </cell>
          <cell r="B1128" t="str">
            <v>JOINT A</v>
          </cell>
          <cell r="C1128" t="str">
            <v>NHD</v>
          </cell>
        </row>
        <row r="1129">
          <cell r="A1129" t="str">
            <v>BIA-0-701-821</v>
          </cell>
          <cell r="B1129" t="str">
            <v>FLOW SENSOR ASSY</v>
          </cell>
          <cell r="C1129" t="str">
            <v>NHD</v>
          </cell>
        </row>
        <row r="1130">
          <cell r="A1130" t="str">
            <v>BIA-0-701-822</v>
          </cell>
          <cell r="B1130" t="str">
            <v>FLOW SENSOR ASSY</v>
          </cell>
          <cell r="C1130" t="str">
            <v>NHD</v>
          </cell>
        </row>
        <row r="1131">
          <cell r="A1131" t="str">
            <v>BIA-0-702-044</v>
          </cell>
          <cell r="B1131" t="str">
            <v>LEVEL SENSOR</v>
          </cell>
          <cell r="C1131" t="str">
            <v>NHD</v>
          </cell>
        </row>
        <row r="1132">
          <cell r="A1132" t="str">
            <v>BIA-0-702-085</v>
          </cell>
          <cell r="B1132" t="str">
            <v>THERMISTOR FOR T4 WITH HARNESS (TYPE 3)</v>
          </cell>
          <cell r="C1132" t="str">
            <v>NHD</v>
          </cell>
        </row>
        <row r="1133">
          <cell r="A1133" t="str">
            <v>BIA-0-702-174</v>
          </cell>
          <cell r="B1133" t="str">
            <v>BAME2152C ( New Type )</v>
          </cell>
          <cell r="C1133" t="str">
            <v>NHD</v>
          </cell>
        </row>
        <row r="1134">
          <cell r="A1134" t="str">
            <v>BIA-0-702-185</v>
          </cell>
          <cell r="B1134" t="str">
            <v>BATTERAY NP5-12</v>
          </cell>
          <cell r="C1134" t="str">
            <v>NHD</v>
          </cell>
        </row>
        <row r="1135">
          <cell r="A1135" t="str">
            <v>BIA-0-704-101</v>
          </cell>
          <cell r="B1135" t="str">
            <v>MIXING SOLENOID VALVE (V12,V17,V24,V45)</v>
          </cell>
          <cell r="C1135" t="str">
            <v>NHD</v>
          </cell>
        </row>
        <row r="1136">
          <cell r="A1136" t="str">
            <v>BIA-0-704-113</v>
          </cell>
          <cell r="B1136" t="str">
            <v>FAN FILTER 92 (FAN1)</v>
          </cell>
          <cell r="C1136" t="str">
            <v>NHD</v>
          </cell>
        </row>
        <row r="1137">
          <cell r="A1137" t="str">
            <v>BIA-0-704-175</v>
          </cell>
          <cell r="B1137" t="str">
            <v>PUMP FOR A CONCENTRATE ASSY</v>
          </cell>
          <cell r="C1137" t="str">
            <v>NHD</v>
          </cell>
        </row>
        <row r="1138">
          <cell r="A1138" t="str">
            <v>BIA-0-704-335</v>
          </cell>
          <cell r="B1138" t="str">
            <v>PUMP BODY SET</v>
          </cell>
          <cell r="C1138" t="str">
            <v>NHD</v>
          </cell>
        </row>
        <row r="1139">
          <cell r="A1139" t="str">
            <v>BIA-0-704-341</v>
          </cell>
          <cell r="B1139" t="str">
            <v>MAGNET GEAR PUMP</v>
          </cell>
          <cell r="C1139" t="str">
            <v>NHD</v>
          </cell>
        </row>
        <row r="1140">
          <cell r="A1140" t="str">
            <v>BIA-0-704-343</v>
          </cell>
          <cell r="B1140" t="str">
            <v>MAGNET GEAR PUMP ASSY</v>
          </cell>
          <cell r="C1140" t="str">
            <v>NHD</v>
          </cell>
        </row>
        <row r="1141">
          <cell r="A1141" t="str">
            <v>BIA-0-706-001</v>
          </cell>
          <cell r="B1141" t="str">
            <v>Flow Meter</v>
          </cell>
          <cell r="C1141" t="str">
            <v>NHD</v>
          </cell>
        </row>
        <row r="1142">
          <cell r="A1142" t="str">
            <v>BIA-0-707-019</v>
          </cell>
          <cell r="B1142" t="str">
            <v>CLAMP GAP SPACER</v>
          </cell>
          <cell r="C1142" t="str">
            <v>NHD</v>
          </cell>
        </row>
        <row r="1143">
          <cell r="A1143" t="str">
            <v>BIA-0-707-053</v>
          </cell>
          <cell r="B1143" t="str">
            <v>Temperature Calibrator</v>
          </cell>
          <cell r="C1143" t="str">
            <v>NHD</v>
          </cell>
        </row>
        <row r="1144">
          <cell r="A1144" t="str">
            <v>BIA-0-707-054</v>
          </cell>
          <cell r="B1144" t="str">
            <v>Conductivity Calibrator</v>
          </cell>
          <cell r="C1144" t="str">
            <v>NHD</v>
          </cell>
        </row>
        <row r="1145">
          <cell r="A1145" t="str">
            <v>BIA-071</v>
          </cell>
          <cell r="B1145" t="str">
            <v>ALMARI DIALYZER</v>
          </cell>
          <cell r="C1145" t="str">
            <v>NHD</v>
          </cell>
        </row>
        <row r="1146">
          <cell r="A1146" t="str">
            <v>BIA-072</v>
          </cell>
          <cell r="B1146" t="str">
            <v>MESIN FINGER PRINT</v>
          </cell>
          <cell r="C1146" t="str">
            <v>NHD</v>
          </cell>
        </row>
        <row r="1147">
          <cell r="A1147" t="str">
            <v>BIA-074</v>
          </cell>
          <cell r="B1147" t="str">
            <v>Penggantian Biaya Kirim Barang (Penjualan)</v>
          </cell>
          <cell r="C1147" t="str">
            <v>NHD</v>
          </cell>
        </row>
        <row r="1148">
          <cell r="A1148" t="str">
            <v>BIA-075</v>
          </cell>
          <cell r="B1148" t="str">
            <v>BIAYA JASA SEWA KENDARAAN</v>
          </cell>
          <cell r="C1148" t="str">
            <v>NHD</v>
          </cell>
        </row>
        <row r="1149">
          <cell r="A1149" t="str">
            <v>BIA-076</v>
          </cell>
          <cell r="B1149" t="str">
            <v>Pemakaian HD SET Rev Sharing</v>
          </cell>
          <cell r="C1149" t="str">
            <v>NHD</v>
          </cell>
        </row>
        <row r="1150">
          <cell r="A1150" t="str">
            <v>BIA-077</v>
          </cell>
          <cell r="B1150" t="str">
            <v>Asset Sementara</v>
          </cell>
          <cell r="C1150" t="str">
            <v>NHD</v>
          </cell>
        </row>
        <row r="1151">
          <cell r="A1151" t="str">
            <v>BIA-078</v>
          </cell>
          <cell r="B1151" t="str">
            <v>BIAYA KOMISI PENJUALAN</v>
          </cell>
          <cell r="C1151" t="str">
            <v>NHD</v>
          </cell>
        </row>
        <row r="1152">
          <cell r="A1152" t="str">
            <v>BIA-079</v>
          </cell>
          <cell r="B1152" t="str">
            <v>BIAYA JASA INKLARING</v>
          </cell>
          <cell r="C1152" t="str">
            <v>NHD</v>
          </cell>
        </row>
        <row r="1153">
          <cell r="A1153" t="str">
            <v>BIA-080</v>
          </cell>
          <cell r="B1153" t="str">
            <v>BIAYA ASURANSI KIRIM BARANG</v>
          </cell>
          <cell r="C1153" t="str">
            <v>NHD</v>
          </cell>
        </row>
        <row r="1154">
          <cell r="A1154" t="str">
            <v>BIA-0-802-129</v>
          </cell>
          <cell r="B1154" t="str">
            <v>HYDRAULICS CONTROL BOARD</v>
          </cell>
          <cell r="C1154" t="str">
            <v>NHD</v>
          </cell>
        </row>
        <row r="1155">
          <cell r="A1155" t="str">
            <v>BIA-0-802-151</v>
          </cell>
          <cell r="B1155" t="str">
            <v>CONTROL BOARD</v>
          </cell>
          <cell r="C1155" t="str">
            <v>NHD</v>
          </cell>
        </row>
        <row r="1156">
          <cell r="A1156" t="str">
            <v>BIA-0-804-002</v>
          </cell>
          <cell r="B1156" t="str">
            <v>ROTOR ASSY SAS-13034</v>
          </cell>
          <cell r="C1156" t="str">
            <v>NHD</v>
          </cell>
        </row>
        <row r="1157">
          <cell r="A1157" t="str">
            <v>BIA-0-806-001</v>
          </cell>
          <cell r="B1157" t="str">
            <v>Clamp gap spacer</v>
          </cell>
          <cell r="C1157" t="str">
            <v>NHD</v>
          </cell>
        </row>
        <row r="1158">
          <cell r="A1158" t="str">
            <v>BIA-0-806-002</v>
          </cell>
          <cell r="B1158" t="str">
            <v>Clamp gap spacer</v>
          </cell>
          <cell r="C1158" t="str">
            <v>NHD</v>
          </cell>
        </row>
        <row r="1159">
          <cell r="A1159" t="str">
            <v>BIA-0-806-003</v>
          </cell>
          <cell r="B1159" t="str">
            <v>Flow Meter</v>
          </cell>
          <cell r="C1159" t="str">
            <v>NHD</v>
          </cell>
        </row>
        <row r="1160">
          <cell r="A1160" t="str">
            <v>BIA-081</v>
          </cell>
          <cell r="B1160" t="str">
            <v>Biaya Jasa Sewa</v>
          </cell>
          <cell r="C1160" t="str">
            <v>NHD</v>
          </cell>
        </row>
        <row r="1161">
          <cell r="A1161" t="str">
            <v>BIA-082</v>
          </cell>
          <cell r="B1161" t="str">
            <v>BIAYA TENAGA AHLI</v>
          </cell>
          <cell r="C1161" t="str">
            <v>NHD</v>
          </cell>
        </row>
        <row r="1162">
          <cell r="A1162" t="str">
            <v>BIA-083</v>
          </cell>
          <cell r="B1162" t="str">
            <v>BIAYA SURAT SURAT KENDARAAN</v>
          </cell>
          <cell r="C1162" t="str">
            <v>NHD</v>
          </cell>
        </row>
        <row r="1163">
          <cell r="A1163" t="str">
            <v>BIA-084</v>
          </cell>
          <cell r="B1163" t="str">
            <v>BIAYA PERLENGKAPAN SCM</v>
          </cell>
          <cell r="C1163" t="str">
            <v>NHD</v>
          </cell>
        </row>
        <row r="1164">
          <cell r="A1164" t="str">
            <v>BIA-085</v>
          </cell>
          <cell r="B1164" t="str">
            <v>BIAYA JASA PPH FINAL ATAS PEREDARAN BRUTO TERTENTU</v>
          </cell>
          <cell r="C1164" t="str">
            <v>NHD</v>
          </cell>
        </row>
        <row r="1165">
          <cell r="A1165" t="str">
            <v>BIA-086</v>
          </cell>
          <cell r="B1165" t="str">
            <v>BIAYA PERLENGKAPAN INVENTARIS KANTOR</v>
          </cell>
          <cell r="C1165" t="str">
            <v>NHD</v>
          </cell>
        </row>
        <row r="1166">
          <cell r="A1166" t="str">
            <v>BIA-088</v>
          </cell>
          <cell r="B1166" t="str">
            <v>BIAYA ASURANSI KESEHATAN</v>
          </cell>
          <cell r="C1166" t="str">
            <v>NHD</v>
          </cell>
        </row>
        <row r="1167">
          <cell r="A1167" t="str">
            <v>BIA-089</v>
          </cell>
          <cell r="B1167" t="str">
            <v>PEMBELIAN BARANG DAGANG</v>
          </cell>
          <cell r="C1167" t="str">
            <v>NHD</v>
          </cell>
        </row>
        <row r="1168">
          <cell r="A1168" t="str">
            <v>BIA-090</v>
          </cell>
          <cell r="B1168" t="str">
            <v>BEA MASUK ITEM SAMPEL</v>
          </cell>
          <cell r="C1168" t="str">
            <v>NHD</v>
          </cell>
        </row>
        <row r="1169">
          <cell r="A1169" t="str">
            <v>BIA-091</v>
          </cell>
          <cell r="B1169" t="str">
            <v>BIAYA TELEPON</v>
          </cell>
          <cell r="C1169" t="str">
            <v>NHD</v>
          </cell>
        </row>
        <row r="1170">
          <cell r="A1170" t="str">
            <v>BIA-092</v>
          </cell>
          <cell r="B1170" t="str">
            <v>BIAYA JASA PEMELIHARAAN INVENTARIS MESIN</v>
          </cell>
          <cell r="C1170" t="str">
            <v>NHD</v>
          </cell>
        </row>
        <row r="1171">
          <cell r="A1171" t="str">
            <v>BIA-093</v>
          </cell>
          <cell r="B1171" t="str">
            <v>BIAYA ASURANSI</v>
          </cell>
          <cell r="C1171" t="str">
            <v>NHD</v>
          </cell>
        </row>
        <row r="1172">
          <cell r="A1172" t="str">
            <v>BIA-094</v>
          </cell>
          <cell r="B1172" t="str">
            <v>BIAYA ADMINISTRASI</v>
          </cell>
          <cell r="C1172" t="str">
            <v>NHD</v>
          </cell>
        </row>
        <row r="1173">
          <cell r="A1173" t="str">
            <v>BIA-095</v>
          </cell>
          <cell r="B1173" t="str">
            <v>HUTANG PEMBIAYAAN</v>
          </cell>
          <cell r="C1173" t="str">
            <v>NHD</v>
          </cell>
        </row>
        <row r="1174">
          <cell r="A1174" t="str">
            <v>BIA-096</v>
          </cell>
          <cell r="B1174" t="str">
            <v>BIAYA JASA SEDOT SEPTIC TANK</v>
          </cell>
          <cell r="C1174" t="str">
            <v>NHD</v>
          </cell>
        </row>
        <row r="1175">
          <cell r="A1175" t="str">
            <v>BIA-097</v>
          </cell>
          <cell r="B1175" t="str">
            <v>BIAYA JASA PPH FINAL (DISETOR VENDOR)</v>
          </cell>
          <cell r="C1175" t="str">
            <v>NHD</v>
          </cell>
        </row>
        <row r="1176">
          <cell r="A1176" t="str">
            <v>BIA-099</v>
          </cell>
          <cell r="B1176" t="str">
            <v>BIAYA UANG MUKA</v>
          </cell>
          <cell r="C1176" t="str">
            <v>NHD</v>
          </cell>
        </row>
        <row r="1177">
          <cell r="A1177" t="str">
            <v>BIA-100</v>
          </cell>
          <cell r="B1177" t="str">
            <v>Biaya Jasa Penyewaan Peralatan Pameran</v>
          </cell>
          <cell r="C1177" t="str">
            <v>NHD</v>
          </cell>
        </row>
        <row r="1178">
          <cell r="A1178" t="str">
            <v>BIA-101</v>
          </cell>
          <cell r="B1178" t="str">
            <v>BIAYA SERAGAM</v>
          </cell>
          <cell r="C1178" t="str">
            <v>NHD</v>
          </cell>
        </row>
        <row r="1179">
          <cell r="A1179" t="str">
            <v>BIA-102</v>
          </cell>
          <cell r="B1179" t="str">
            <v>BIAYA LISTRIK</v>
          </cell>
          <cell r="C1179" t="str">
            <v>NHD</v>
          </cell>
        </row>
        <row r="1180">
          <cell r="A1180" t="str">
            <v>BIA-103</v>
          </cell>
          <cell r="B1180" t="str">
            <v>BIAYA KIRIM BARANG</v>
          </cell>
          <cell r="C1180" t="str">
            <v>NHD</v>
          </cell>
        </row>
        <row r="1181">
          <cell r="A1181" t="str">
            <v>BIA-104</v>
          </cell>
          <cell r="B1181" t="str">
            <v>BIAYA SEWA KENDARAAN PLAT KUNING</v>
          </cell>
          <cell r="C1181" t="str">
            <v>NHD</v>
          </cell>
        </row>
        <row r="1182">
          <cell r="A1182" t="str">
            <v>BIA-105</v>
          </cell>
          <cell r="B1182" t="str">
            <v>BIAYA JASA SERTIFIKASI</v>
          </cell>
          <cell r="C1182" t="str">
            <v>NHD</v>
          </cell>
        </row>
        <row r="1183">
          <cell r="A1183" t="str">
            <v>BIA-106</v>
          </cell>
          <cell r="B1183" t="str">
            <v>ASET DALAM PENYELESAIAN SOFTWARE</v>
          </cell>
          <cell r="C1183" t="str">
            <v>NHD</v>
          </cell>
        </row>
        <row r="1184">
          <cell r="A1184" t="str">
            <v>BIA-107</v>
          </cell>
          <cell r="B1184" t="str">
            <v>BIAYA JASA TEKNIK (SKB)</v>
          </cell>
          <cell r="C1184" t="str">
            <v>NHD</v>
          </cell>
        </row>
        <row r="1185">
          <cell r="A1185" t="str">
            <v>BIA-108</v>
          </cell>
          <cell r="B1185" t="str">
            <v>BIAYA JASA ROYALTI</v>
          </cell>
          <cell r="C1185" t="str">
            <v>NHD</v>
          </cell>
        </row>
        <row r="1186">
          <cell r="A1186" t="str">
            <v>BIA-109</v>
          </cell>
          <cell r="B1186" t="str">
            <v>BIAYA MAKAN &amp; MINUM</v>
          </cell>
          <cell r="C1186" t="str">
            <v>NHD</v>
          </cell>
        </row>
        <row r="1187">
          <cell r="A1187" t="str">
            <v>BIA-110</v>
          </cell>
          <cell r="B1187" t="str">
            <v>BIAYA IMBALAN SEHUB JASA, PEKERJAAN, DAN KEGIATAN</v>
          </cell>
          <cell r="C1187" t="str">
            <v>NHD</v>
          </cell>
        </row>
        <row r="1188">
          <cell r="A1188" t="str">
            <v>BIA-111</v>
          </cell>
          <cell r="B1188" t="str">
            <v>BIAYA JASA PENGURUSAN SURAT</v>
          </cell>
          <cell r="C1188" t="str">
            <v>NHD</v>
          </cell>
        </row>
        <row r="1189">
          <cell r="A1189" t="str">
            <v>BIA-112</v>
          </cell>
          <cell r="B1189" t="str">
            <v>BIAYA PERJALANAN NON MARKETING</v>
          </cell>
          <cell r="C1189" t="str">
            <v>NHD</v>
          </cell>
        </row>
        <row r="1190">
          <cell r="A1190" t="str">
            <v>BIA-113</v>
          </cell>
          <cell r="B1190" t="str">
            <v>BIAYA JASA PERENCANAAN / PENGAWASAN KONSTRUKSI</v>
          </cell>
          <cell r="C1190" t="str">
            <v>NHD</v>
          </cell>
        </row>
        <row r="1191">
          <cell r="A1191" t="str">
            <v>BIA-114</v>
          </cell>
          <cell r="B1191" t="str">
            <v>EMKL ITEM SAMPEL</v>
          </cell>
          <cell r="C1191" t="str">
            <v>NHD</v>
          </cell>
        </row>
        <row r="1192">
          <cell r="A1192" t="str">
            <v>BIA-115</v>
          </cell>
          <cell r="B1192" t="str">
            <v>BIAYA JASA PENYELIDIKAN DAN KEAMANAN</v>
          </cell>
          <cell r="C1192" t="str">
            <v>NHD</v>
          </cell>
        </row>
        <row r="1193">
          <cell r="A1193" t="str">
            <v>BIA-116</v>
          </cell>
          <cell r="B1193" t="str">
            <v>Biaya Jasa Simpan &amp; Pengolahan Informasi &amp; Program</v>
          </cell>
          <cell r="C1193" t="str">
            <v>NHD</v>
          </cell>
        </row>
        <row r="1194">
          <cell r="A1194" t="str">
            <v>BIA-117</v>
          </cell>
          <cell r="B1194" t="str">
            <v>BIAYA JASA PELATIHAN / KURSUS</v>
          </cell>
          <cell r="C1194" t="str">
            <v>NHD</v>
          </cell>
        </row>
        <row r="1195">
          <cell r="A1195" t="str">
            <v>BIA-118</v>
          </cell>
          <cell r="B1195" t="str">
            <v>BIAYA JASA PENGOLAHAN LIMBAH</v>
          </cell>
          <cell r="C1195" t="str">
            <v>NHD</v>
          </cell>
        </row>
        <row r="1196">
          <cell r="A1196" t="str">
            <v>BIA-119</v>
          </cell>
          <cell r="B1196" t="str">
            <v>BIAYA JASA SURVEY</v>
          </cell>
          <cell r="C1196" t="str">
            <v>NHD</v>
          </cell>
        </row>
        <row r="1197">
          <cell r="A1197" t="str">
            <v>BIA-120</v>
          </cell>
          <cell r="B1197" t="str">
            <v>BIAYA TENAGA KERJA</v>
          </cell>
          <cell r="C1197" t="str">
            <v>NHD</v>
          </cell>
        </row>
        <row r="1198">
          <cell r="A1198" t="str">
            <v>BIA-121</v>
          </cell>
          <cell r="B1198" t="str">
            <v>BIAYA TRAINING</v>
          </cell>
          <cell r="C1198" t="str">
            <v>NHD</v>
          </cell>
        </row>
        <row r="1199">
          <cell r="A1199" t="str">
            <v>BIA-122</v>
          </cell>
          <cell r="B1199" t="str">
            <v>BIAYA PENYEDIA TENAGA/OUTSOURCING SERVICE</v>
          </cell>
          <cell r="C1199" t="str">
            <v>NHD</v>
          </cell>
        </row>
        <row r="1200">
          <cell r="A1200" t="str">
            <v>BIA-123</v>
          </cell>
          <cell r="B1200" t="str">
            <v>BIAYA JASA SEWA FORKLIFT</v>
          </cell>
          <cell r="C1200" t="str">
            <v>NHD</v>
          </cell>
        </row>
        <row r="1201">
          <cell r="A1201" t="str">
            <v>BIA-124</v>
          </cell>
          <cell r="B1201" t="str">
            <v>BIAYA JASA PPH FINAL (DISETOR VENDOR) - HPP</v>
          </cell>
          <cell r="C1201" t="str">
            <v>NHD</v>
          </cell>
        </row>
        <row r="1202">
          <cell r="A1202" t="str">
            <v>BIA-125</v>
          </cell>
          <cell r="B1202" t="str">
            <v>BIAYA JASA ADMINISTRASI DAN MANAJEMEN</v>
          </cell>
          <cell r="C1202" t="str">
            <v>NHD</v>
          </cell>
        </row>
        <row r="1203">
          <cell r="A1203" t="str">
            <v>BIA-126</v>
          </cell>
          <cell r="B1203" t="str">
            <v>BIAYA UANG MUKA SEWA</v>
          </cell>
          <cell r="C1203" t="str">
            <v>NHD</v>
          </cell>
        </row>
        <row r="1204">
          <cell r="A1204" t="str">
            <v>BIA-127</v>
          </cell>
          <cell r="B1204" t="str">
            <v>BIASA JASA SEWA SCAFFOLDING</v>
          </cell>
          <cell r="C1204" t="str">
            <v>NHD</v>
          </cell>
        </row>
        <row r="1205">
          <cell r="A1205" t="str">
            <v>BIA-128</v>
          </cell>
          <cell r="B1205" t="str">
            <v>BIAYA ANTISIPASI COVID-19</v>
          </cell>
          <cell r="C1205" t="str">
            <v>NHD</v>
          </cell>
        </row>
        <row r="1206">
          <cell r="A1206" t="str">
            <v>BIA-129</v>
          </cell>
          <cell r="B1206" t="str">
            <v>BIAYA FOTOKOPI</v>
          </cell>
          <cell r="C1206" t="str">
            <v>NHD</v>
          </cell>
        </row>
        <row r="1207">
          <cell r="A1207" t="str">
            <v>BIA-130</v>
          </cell>
          <cell r="B1207" t="str">
            <v>BIAYA JASA HUKUM</v>
          </cell>
          <cell r="C1207" t="str">
            <v>NHD</v>
          </cell>
        </row>
        <row r="1208">
          <cell r="A1208" t="str">
            <v>BIA-131</v>
          </cell>
          <cell r="B1208" t="str">
            <v>BIAYA JASA PENILAI</v>
          </cell>
          <cell r="C1208" t="str">
            <v>NHD</v>
          </cell>
        </row>
        <row r="1209">
          <cell r="A1209" t="str">
            <v>BIA-132</v>
          </cell>
          <cell r="B1209" t="str">
            <v>Penggantian Biaya Kirim Barang (Penjualan)</v>
          </cell>
          <cell r="C1209" t="str">
            <v>NHD</v>
          </cell>
        </row>
        <row r="1210">
          <cell r="A1210" t="str">
            <v>BIA-133</v>
          </cell>
          <cell r="B1210" t="str">
            <v>Penggantian Biaya Kirim Barang (Penjualan)</v>
          </cell>
          <cell r="C1210" t="str">
            <v>NHD</v>
          </cell>
        </row>
        <row r="1211">
          <cell r="A1211" t="str">
            <v>BIA-134</v>
          </cell>
          <cell r="B1211" t="str">
            <v>Penggantian Biaya Kirim Barang (Penjualan)</v>
          </cell>
          <cell r="C1211" t="str">
            <v>NHD</v>
          </cell>
        </row>
        <row r="1212">
          <cell r="A1212" t="str">
            <v>BIA-135</v>
          </cell>
          <cell r="B1212" t="str">
            <v>Penggantian Biaya Kirim Barang (Penjualan)</v>
          </cell>
          <cell r="C1212" t="str">
            <v>NHD</v>
          </cell>
        </row>
        <row r="1213">
          <cell r="A1213" t="str">
            <v>BIA-136</v>
          </cell>
          <cell r="B1213" t="str">
            <v>Penggantian Biaya Kirim Barang (Penjualan)</v>
          </cell>
          <cell r="C1213" t="str">
            <v>NHD</v>
          </cell>
        </row>
        <row r="1214">
          <cell r="A1214" t="str">
            <v>BIA-137</v>
          </cell>
          <cell r="B1214" t="str">
            <v>Penggantian Biaya Kirim Barang (Penjualan)</v>
          </cell>
          <cell r="C1214" t="str">
            <v>NHD</v>
          </cell>
        </row>
        <row r="1215">
          <cell r="A1215" t="str">
            <v>BIA-138</v>
          </cell>
          <cell r="B1215" t="str">
            <v>DEPOSIT JAMINAN LAIN LAIN</v>
          </cell>
          <cell r="C1215" t="str">
            <v>NHD</v>
          </cell>
        </row>
        <row r="1216">
          <cell r="A1216" t="str">
            <v>BIA-139</v>
          </cell>
          <cell r="B1216" t="str">
            <v>BIAYA KALIBRASI</v>
          </cell>
          <cell r="C1216" t="str">
            <v>NHD</v>
          </cell>
        </row>
        <row r="1217">
          <cell r="A1217" t="str">
            <v>BIA-140</v>
          </cell>
          <cell r="B1217" t="str">
            <v>BIAYA CEK LABORATORIUM</v>
          </cell>
          <cell r="C1217" t="str">
            <v>NHD</v>
          </cell>
        </row>
        <row r="1218">
          <cell r="A1218" t="str">
            <v>BIA-141</v>
          </cell>
          <cell r="B1218" t="str">
            <v>BIAYA JASA LOADING DAN UNLODING HPP</v>
          </cell>
          <cell r="C1218" t="str">
            <v>NHD</v>
          </cell>
        </row>
        <row r="1219">
          <cell r="A1219" t="str">
            <v>BIA-142</v>
          </cell>
          <cell r="B1219" t="str">
            <v>BIAYA JASA LOGISTIK HPP</v>
          </cell>
          <cell r="C1219" t="str">
            <v>NHD</v>
          </cell>
        </row>
        <row r="1220">
          <cell r="A1220" t="str">
            <v>BIA-143</v>
          </cell>
          <cell r="B1220" t="str">
            <v>BIAYA JASA PELAYANAN PELABUHAN HPP</v>
          </cell>
          <cell r="C1220" t="str">
            <v>NHD</v>
          </cell>
        </row>
        <row r="1221">
          <cell r="A1221" t="str">
            <v>BIA-144</v>
          </cell>
          <cell r="B1221" t="str">
            <v>BIAYA JASA PENUNJANG PENERBANGAN BDR UDR HPP</v>
          </cell>
          <cell r="C1221" t="str">
            <v>NHD</v>
          </cell>
        </row>
        <row r="1222">
          <cell r="A1222" t="str">
            <v>BIA-145</v>
          </cell>
          <cell r="B1222" t="str">
            <v>BIAYA JASA PERANTARA - HPP</v>
          </cell>
          <cell r="C1222" t="str">
            <v>NHD</v>
          </cell>
        </row>
        <row r="1223">
          <cell r="A1223" t="str">
            <v>BIA-146</v>
          </cell>
          <cell r="B1223" t="str">
            <v>BIAYA VAKSINASI</v>
          </cell>
          <cell r="C1223" t="str">
            <v>NHD</v>
          </cell>
        </row>
        <row r="1224">
          <cell r="A1224" t="str">
            <v>BIA-147</v>
          </cell>
          <cell r="B1224" t="str">
            <v>BIAYA PERLENGKAPAN TAM</v>
          </cell>
          <cell r="C1224" t="str">
            <v>NHD</v>
          </cell>
        </row>
        <row r="1225">
          <cell r="A1225" t="str">
            <v>BIA-148</v>
          </cell>
          <cell r="B1225" t="str">
            <v>BIAYA ASET DALAM PENYELESAIAN - MATERIAL</v>
          </cell>
          <cell r="C1225" t="str">
            <v>NHD</v>
          </cell>
        </row>
        <row r="1226">
          <cell r="A1226" t="str">
            <v>BIA-149</v>
          </cell>
          <cell r="B1226" t="str">
            <v>BIAYA JASA INKLARING-EKSPOR</v>
          </cell>
          <cell r="C1226" t="str">
            <v>NHD</v>
          </cell>
        </row>
        <row r="1227">
          <cell r="A1227" t="str">
            <v>BIA-150</v>
          </cell>
          <cell r="B1227" t="str">
            <v>BIAYA SEWA KEND ANGKTN DARAT PLAT KUNING-EKSPOR</v>
          </cell>
          <cell r="C1227" t="str">
            <v>NHD</v>
          </cell>
        </row>
        <row r="1228">
          <cell r="A1228" t="str">
            <v>BIA-151</v>
          </cell>
          <cell r="B1228" t="str">
            <v>BIAYA SPAREPART</v>
          </cell>
          <cell r="C1228" t="str">
            <v>NHD</v>
          </cell>
        </row>
        <row r="1229">
          <cell r="A1229" t="str">
            <v>BIA-152</v>
          </cell>
          <cell r="B1229" t="str">
            <v>BIAYA JASA PENUNJANG BID. PENERBANGAN BANDAR UDARA</v>
          </cell>
          <cell r="C1229" t="str">
            <v>NHD</v>
          </cell>
        </row>
        <row r="1230">
          <cell r="A1230" t="str">
            <v>BIA-153</v>
          </cell>
          <cell r="B1230" t="str">
            <v>BIAYA JASA INKLARING SPAREPART</v>
          </cell>
          <cell r="C1230" t="str">
            <v>NHD</v>
          </cell>
        </row>
        <row r="1231">
          <cell r="A1231" t="str">
            <v>BIA-154</v>
          </cell>
          <cell r="B1231" t="str">
            <v>BIAYA PEMBELIAN OBAT</v>
          </cell>
          <cell r="C1231" t="str">
            <v>NHD</v>
          </cell>
        </row>
        <row r="1232">
          <cell r="A1232" t="str">
            <v>BIA-155</v>
          </cell>
          <cell r="B1232" t="str">
            <v>BIAYA JASA PELAYANAN PELABUHAN</v>
          </cell>
          <cell r="C1232" t="str">
            <v>NHD</v>
          </cell>
        </row>
        <row r="1233">
          <cell r="A1233" t="str">
            <v>BIA-156</v>
          </cell>
          <cell r="B1233" t="str">
            <v>BIAYA PENERJEMAH</v>
          </cell>
          <cell r="C1233" t="str">
            <v>NHD</v>
          </cell>
        </row>
        <row r="1234">
          <cell r="A1234" t="str">
            <v>BIA-157</v>
          </cell>
          <cell r="B1234" t="str">
            <v>IMBALAN YG DBYR/TERUTANG KPD PLYRN DLM NEGRI-FINAL</v>
          </cell>
          <cell r="C1234" t="str">
            <v>NHD</v>
          </cell>
        </row>
        <row r="1235">
          <cell r="A1235" t="str">
            <v>BIA-158</v>
          </cell>
          <cell r="B1235" t="str">
            <v>BIAYA PERLENGKAPAN DINAS</v>
          </cell>
          <cell r="C1235" t="str">
            <v>NHD</v>
          </cell>
        </row>
        <row r="1236">
          <cell r="A1236" t="str">
            <v>BIA-159</v>
          </cell>
          <cell r="B1236" t="str">
            <v>BIAYA JASA KUSTODIAN SAMPLE</v>
          </cell>
          <cell r="C1236" t="str">
            <v>NHD</v>
          </cell>
        </row>
        <row r="1237">
          <cell r="A1237" t="str">
            <v>BIA-160</v>
          </cell>
          <cell r="B1237" t="str">
            <v>PENDAPATAN LAIN-LAIN</v>
          </cell>
          <cell r="C1237" t="str">
            <v>NHD</v>
          </cell>
        </row>
        <row r="1238">
          <cell r="A1238" t="str">
            <v>BIA-161</v>
          </cell>
          <cell r="B1238" t="str">
            <v>BIAYA PAM</v>
          </cell>
          <cell r="C1238" t="str">
            <v>NHD</v>
          </cell>
        </row>
        <row r="1239">
          <cell r="A1239" t="str">
            <v>BIA-162</v>
          </cell>
          <cell r="B1239" t="str">
            <v>BIAYA KEPERLUAN KANTOR</v>
          </cell>
          <cell r="C1239" t="str">
            <v>NHD</v>
          </cell>
        </row>
        <row r="1240">
          <cell r="A1240" t="str">
            <v>BIA-163</v>
          </cell>
          <cell r="B1240" t="str">
            <v>BIAYA KEBERSIHAN &amp; KEAMANAN</v>
          </cell>
          <cell r="C1240" t="str">
            <v>NHD</v>
          </cell>
        </row>
        <row r="1241">
          <cell r="A1241" t="str">
            <v>BIA-164</v>
          </cell>
          <cell r="B1241" t="str">
            <v>PENDAPATAN SEWA</v>
          </cell>
          <cell r="C1241" t="str">
            <v>NHD</v>
          </cell>
        </row>
        <row r="1242">
          <cell r="A1242" t="str">
            <v>BIA-165</v>
          </cell>
          <cell r="B1242" t="str">
            <v>BIAYA JASA CEK LABORATORIUM</v>
          </cell>
          <cell r="C1242" t="str">
            <v>NHD</v>
          </cell>
        </row>
        <row r="1243">
          <cell r="A1243" t="str">
            <v>BIA-166</v>
          </cell>
          <cell r="B1243" t="str">
            <v>BIAYA PACKING</v>
          </cell>
          <cell r="C1243" t="str">
            <v>NHD</v>
          </cell>
        </row>
        <row r="1244">
          <cell r="A1244" t="str">
            <v>BIA-167</v>
          </cell>
          <cell r="B1244" t="str">
            <v>BIAYA LISTRIK CIKUPA</v>
          </cell>
          <cell r="C1244" t="str">
            <v>NHD</v>
          </cell>
        </row>
        <row r="1245">
          <cell r="A1245" t="str">
            <v>BIA-168</v>
          </cell>
          <cell r="B1245" t="str">
            <v>BIAYA TELEPON CIKUPA</v>
          </cell>
          <cell r="C1245" t="str">
            <v>NHD</v>
          </cell>
        </row>
        <row r="1246">
          <cell r="A1246" t="str">
            <v>BIA-169</v>
          </cell>
          <cell r="B1246" t="str">
            <v>BIAYA ASURANSI GEDUNG CIKUPA</v>
          </cell>
          <cell r="C1246" t="str">
            <v>NHD</v>
          </cell>
        </row>
        <row r="1247">
          <cell r="A1247" t="str">
            <v>BIA-170</v>
          </cell>
          <cell r="B1247" t="str">
            <v>BIAYA JASA MANAGEMENT CIKUPA</v>
          </cell>
          <cell r="C1247" t="str">
            <v>NHD</v>
          </cell>
        </row>
        <row r="1248">
          <cell r="A1248" t="str">
            <v>BIA-171</v>
          </cell>
          <cell r="B1248" t="str">
            <v>BIAYA SEWA FORKLIFT CIKUPA</v>
          </cell>
          <cell r="C1248" t="str">
            <v>NHD</v>
          </cell>
        </row>
        <row r="1249">
          <cell r="A1249" t="str">
            <v>BIA-172</v>
          </cell>
          <cell r="B1249" t="str">
            <v>BIAYA AIR TANAH CIKUPA</v>
          </cell>
          <cell r="C1249" t="str">
            <v>NHD</v>
          </cell>
        </row>
        <row r="1250">
          <cell r="A1250" t="str">
            <v>BIA-173</v>
          </cell>
          <cell r="B1250" t="str">
            <v>BIAYA LAIN-LAIN</v>
          </cell>
          <cell r="C1250" t="str">
            <v>NHD</v>
          </cell>
        </row>
        <row r="1251">
          <cell r="A1251" t="str">
            <v>BIA-174</v>
          </cell>
          <cell r="B1251" t="str">
            <v>BIAYA JASA PENGAKUTAN EKSPEDISI SKB</v>
          </cell>
          <cell r="C1251" t="str">
            <v>NHD</v>
          </cell>
        </row>
        <row r="1252">
          <cell r="A1252" t="str">
            <v>BIA-175</v>
          </cell>
          <cell r="B1252" t="str">
            <v>BIAYA PEST CONTROL CIKUPA</v>
          </cell>
          <cell r="C1252" t="str">
            <v>NHD</v>
          </cell>
        </row>
        <row r="1253">
          <cell r="A1253" t="str">
            <v>BIA-176</v>
          </cell>
          <cell r="B1253" t="str">
            <v>BIAYA SEWA GEDUNG</v>
          </cell>
          <cell r="C1253" t="str">
            <v>NHD</v>
          </cell>
        </row>
        <row r="1254">
          <cell r="A1254" t="str">
            <v>BIA-177</v>
          </cell>
          <cell r="B1254" t="str">
            <v>BIAYA PENUNJANG HD</v>
          </cell>
          <cell r="C1254" t="str">
            <v>NHD</v>
          </cell>
        </row>
        <row r="1255">
          <cell r="A1255" t="str">
            <v>BIA-178</v>
          </cell>
          <cell r="B1255" t="str">
            <v>BIAYA ASURANSI KIRIM MESIN</v>
          </cell>
          <cell r="C1255" t="str">
            <v>NHD</v>
          </cell>
        </row>
        <row r="1256">
          <cell r="A1256" t="str">
            <v>BIA-179</v>
          </cell>
          <cell r="B1256" t="str">
            <v>UANG MUKA ASURANSI KENDARAAN</v>
          </cell>
          <cell r="C1256" t="str">
            <v>NHD</v>
          </cell>
        </row>
        <row r="1257">
          <cell r="A1257" t="str">
            <v>BIA-180</v>
          </cell>
          <cell r="B1257" t="str">
            <v>UANG MUKA ASURANSI STOK</v>
          </cell>
          <cell r="C1257" t="str">
            <v>NHD</v>
          </cell>
        </row>
        <row r="1258">
          <cell r="A1258" t="str">
            <v>BIA-181</v>
          </cell>
          <cell r="B1258" t="str">
            <v>UANG MUKA ASURANSI GEDUNG DAN INVENTARIS</v>
          </cell>
          <cell r="C1258" t="str">
            <v>NHD</v>
          </cell>
        </row>
        <row r="1259">
          <cell r="A1259" t="str">
            <v>BIA-182</v>
          </cell>
          <cell r="B1259" t="str">
            <v>UANG MUKA ASURANSI ASSET DAN INVESTASI</v>
          </cell>
          <cell r="C1259" t="str">
            <v>NHD</v>
          </cell>
        </row>
        <row r="1260">
          <cell r="A1260" t="str">
            <v>BIA-183</v>
          </cell>
          <cell r="B1260" t="str">
            <v>UANG MUKA THERMAL PRINTER</v>
          </cell>
          <cell r="C1260" t="str">
            <v>NHD</v>
          </cell>
        </row>
        <row r="1261">
          <cell r="A1261" t="str">
            <v>BIA-184</v>
          </cell>
          <cell r="B1261" t="str">
            <v>ASET DALAM PENYELESAIAN BANGUNAN PPH23</v>
          </cell>
          <cell r="C1261" t="str">
            <v>NHD</v>
          </cell>
        </row>
        <row r="1262">
          <cell r="A1262" t="str">
            <v>BIA-185</v>
          </cell>
          <cell r="B1262" t="str">
            <v>BIAYA JASA KALIBRASI</v>
          </cell>
          <cell r="C1262" t="str">
            <v>NHD</v>
          </cell>
        </row>
        <row r="1263">
          <cell r="A1263" t="str">
            <v>BIA-186</v>
          </cell>
          <cell r="B1263" t="str">
            <v>BIAYA JAMINAN PELAKSANA</v>
          </cell>
          <cell r="C1263" t="str">
            <v>NHD</v>
          </cell>
        </row>
        <row r="1264">
          <cell r="A1264" t="str">
            <v>BIA-187</v>
          </cell>
          <cell r="B1264" t="str">
            <v>SEWA ALAT PERTUKANGAN</v>
          </cell>
          <cell r="C1264" t="str">
            <v>NHD</v>
          </cell>
        </row>
        <row r="1265">
          <cell r="A1265" t="str">
            <v>BIA-188</v>
          </cell>
          <cell r="B1265" t="str">
            <v>BIAYA PAJAK AIR TANAH CIKUPA</v>
          </cell>
          <cell r="C1265" t="str">
            <v>NHD</v>
          </cell>
        </row>
        <row r="1266">
          <cell r="A1266" t="str">
            <v>BIA-189</v>
          </cell>
          <cell r="B1266" t="str">
            <v>BIAYA PERLENGKAPAN INVENTARIS MESIN</v>
          </cell>
          <cell r="C1266" t="str">
            <v>NHD</v>
          </cell>
        </row>
        <row r="1267">
          <cell r="A1267" t="str">
            <v>BIA-190</v>
          </cell>
          <cell r="B1267" t="str">
            <v>ASET DALAM PENYELESAIAN INVEN KANTOR PPH 21/23</v>
          </cell>
          <cell r="C1267" t="str">
            <v>NHD</v>
          </cell>
        </row>
        <row r="1268">
          <cell r="A1268" t="str">
            <v>BIA-191</v>
          </cell>
          <cell r="B1268" t="str">
            <v>ASET DALAM PENYELESAIAN / INVEN KANTOR PPH FINAL</v>
          </cell>
          <cell r="C1268" t="str">
            <v>NHD</v>
          </cell>
        </row>
        <row r="1269">
          <cell r="A1269" t="str">
            <v>BIA-192</v>
          </cell>
          <cell r="B1269" t="str">
            <v>BIAYA JASA SEWA TANAMAN</v>
          </cell>
          <cell r="C1269" t="str">
            <v>NHD</v>
          </cell>
        </row>
        <row r="1270">
          <cell r="A1270" t="str">
            <v>BIA-193</v>
          </cell>
          <cell r="B1270" t="str">
            <v>BIAYA ASURANSI BARANG</v>
          </cell>
          <cell r="C1270" t="str">
            <v>NHD</v>
          </cell>
        </row>
        <row r="1271">
          <cell r="A1271" t="str">
            <v>BIA-194</v>
          </cell>
          <cell r="B1271" t="str">
            <v>BIAYA JASA AKTUARIA</v>
          </cell>
          <cell r="C1271" t="str">
            <v>NHD</v>
          </cell>
        </row>
        <row r="1272">
          <cell r="A1272" t="str">
            <v>BIA-195</v>
          </cell>
          <cell r="B1272" t="str">
            <v>BIAYA JASA RENTAL KENDARAAN (NATURA) KARYAWAN</v>
          </cell>
          <cell r="C1272" t="str">
            <v>NHD</v>
          </cell>
        </row>
        <row r="1273">
          <cell r="A1273" t="str">
            <v>BIA-196</v>
          </cell>
          <cell r="B1273" t="str">
            <v>BIAYA JASA PERBAIKAN KENDARAAN (NATURA) KARYAWAN</v>
          </cell>
          <cell r="C1273" t="str">
            <v>NHD</v>
          </cell>
        </row>
        <row r="1274">
          <cell r="A1274" t="str">
            <v>BIA-197</v>
          </cell>
          <cell r="B1274" t="str">
            <v>BIAYA SPAREPART KENDARAAN (NATURA) KARYAWAN</v>
          </cell>
          <cell r="C1274" t="str">
            <v>NHD</v>
          </cell>
        </row>
        <row r="1275">
          <cell r="A1275" t="str">
            <v>BIA-198</v>
          </cell>
          <cell r="B1275" t="str">
            <v>BIAYA TELEPON (NATURA) KARYAWAN</v>
          </cell>
          <cell r="C1275" t="str">
            <v>NHD</v>
          </cell>
        </row>
        <row r="1276">
          <cell r="A1276" t="str">
            <v>BIA-199</v>
          </cell>
          <cell r="B1276" t="str">
            <v>BIAYA JASA RENTAL KENDARAAN (NATURA) PERUSAHAAN</v>
          </cell>
          <cell r="C1276" t="str">
            <v>NHD</v>
          </cell>
        </row>
        <row r="1277">
          <cell r="A1277" t="str">
            <v>BIA-200</v>
          </cell>
          <cell r="B1277" t="str">
            <v>BIAYA JASA PERBAIKAN KENDARAAN (NATURA) PERUSAHAAN</v>
          </cell>
          <cell r="C1277" t="str">
            <v>NHD</v>
          </cell>
        </row>
        <row r="1278">
          <cell r="A1278" t="str">
            <v>BIA-2-002-071</v>
          </cell>
          <cell r="B1278" t="str">
            <v>SILICON TUBE 3x6</v>
          </cell>
          <cell r="C1278" t="str">
            <v>NHD</v>
          </cell>
        </row>
        <row r="1279">
          <cell r="A1279" t="str">
            <v>BIA-2-004-039</v>
          </cell>
          <cell r="B1279" t="str">
            <v>T-TUBE</v>
          </cell>
          <cell r="C1279" t="str">
            <v>NHD</v>
          </cell>
        </row>
        <row r="1280">
          <cell r="A1280" t="str">
            <v>BIA-2-006-008</v>
          </cell>
          <cell r="B1280" t="str">
            <v>TWO-WAY SOLENOID VALVE (V46)SV2-322-S</v>
          </cell>
          <cell r="C1280" t="str">
            <v>NHD</v>
          </cell>
        </row>
        <row r="1281">
          <cell r="A1281" t="str">
            <v>BIA-2-006-020</v>
          </cell>
          <cell r="B1281" t="str">
            <v>CAP BLUE</v>
          </cell>
          <cell r="C1281" t="str">
            <v>NHD</v>
          </cell>
        </row>
        <row r="1282">
          <cell r="A1282" t="str">
            <v>BIA-2-006-021</v>
          </cell>
          <cell r="B1282" t="str">
            <v>CAP RED</v>
          </cell>
          <cell r="C1282" t="str">
            <v>NHD</v>
          </cell>
        </row>
        <row r="1283">
          <cell r="A1283" t="str">
            <v>BIA-201</v>
          </cell>
          <cell r="B1283" t="str">
            <v>BIAYA SPAREPART KENDARAAN (NATURA) PERUSAHAAN</v>
          </cell>
          <cell r="C1283" t="str">
            <v>NHD</v>
          </cell>
        </row>
        <row r="1284">
          <cell r="A1284" t="str">
            <v>BIA-202</v>
          </cell>
          <cell r="B1284" t="str">
            <v>BIAYA TELEPON (NATURA) PERUSAHAAN</v>
          </cell>
          <cell r="C1284" t="str">
            <v>NHD</v>
          </cell>
        </row>
        <row r="1285">
          <cell r="A1285" t="str">
            <v>BIA-203</v>
          </cell>
          <cell r="B1285" t="str">
            <v>BIAYA JASA KUSTODIAN (SKB)</v>
          </cell>
          <cell r="C1285" t="str">
            <v>NHD</v>
          </cell>
        </row>
        <row r="1286">
          <cell r="A1286" t="str">
            <v>BIA-204</v>
          </cell>
          <cell r="B1286" t="str">
            <v>BIAYA JASA PEMELIHARAAN TANAMAN</v>
          </cell>
          <cell r="C1286" t="str">
            <v>NHD</v>
          </cell>
        </row>
        <row r="1287">
          <cell r="A1287" t="str">
            <v>BIA-205</v>
          </cell>
          <cell r="B1287" t="str">
            <v>BY JASA PENGURUSAN SURAT KENDARAAN (NATURA-KAR)</v>
          </cell>
          <cell r="C1287" t="str">
            <v>NHD</v>
          </cell>
        </row>
        <row r="1288">
          <cell r="A1288" t="str">
            <v>BIA-206</v>
          </cell>
          <cell r="B1288" t="str">
            <v>BIAYA SURAT SURAT KENDARAAN (NATURA-KAR)</v>
          </cell>
          <cell r="C1288" t="str">
            <v>NHD</v>
          </cell>
        </row>
        <row r="1289">
          <cell r="A1289" t="str">
            <v>BIA-207</v>
          </cell>
          <cell r="B1289" t="str">
            <v>BY JASA PENGURUSAN SURAT KENDARAAN (NATURA-PER)</v>
          </cell>
          <cell r="C1289" t="str">
            <v>NHD</v>
          </cell>
        </row>
        <row r="1290">
          <cell r="A1290" t="str">
            <v>BIA-208</v>
          </cell>
          <cell r="B1290" t="str">
            <v>BIAYA SURAT SURAT KENDARAAN (NATURA-PER)</v>
          </cell>
          <cell r="C1290" t="str">
            <v>NHD</v>
          </cell>
        </row>
        <row r="1291">
          <cell r="A1291" t="str">
            <v>BIA-209</v>
          </cell>
          <cell r="B1291" t="str">
            <v>BIAYA ASURANSI BARANG DAN ASET</v>
          </cell>
          <cell r="C1291" t="str">
            <v>NHD</v>
          </cell>
        </row>
        <row r="1292">
          <cell r="A1292" t="str">
            <v>BIA-210</v>
          </cell>
          <cell r="B1292" t="str">
            <v>BIAYA JASA RENTAL KENDARAAN (NATURA) KARYAWAN SKB</v>
          </cell>
          <cell r="C1292" t="str">
            <v>NHD</v>
          </cell>
        </row>
        <row r="1293">
          <cell r="A1293" t="str">
            <v>BIA-211</v>
          </cell>
          <cell r="B1293" t="str">
            <v>BIAYA JASA RENTAL KENDARAAN (NATURA) PRSHN SKB</v>
          </cell>
          <cell r="C1293" t="str">
            <v>NHD</v>
          </cell>
        </row>
        <row r="1294">
          <cell r="A1294" t="str">
            <v>BIA-212</v>
          </cell>
          <cell r="B1294" t="str">
            <v>BIAYA JASA ATESTASI</v>
          </cell>
          <cell r="C1294" t="str">
            <v>NHD</v>
          </cell>
        </row>
        <row r="1295">
          <cell r="A1295" t="str">
            <v>BIA-213</v>
          </cell>
          <cell r="B1295" t="str">
            <v>BIAYA JASA SEWA ALAT PENGHARUM RUANGAN</v>
          </cell>
          <cell r="C1295" t="str">
            <v>NHD</v>
          </cell>
        </row>
        <row r="1296">
          <cell r="A1296" t="str">
            <v>BIA-214</v>
          </cell>
          <cell r="B1296" t="str">
            <v>Pemakaian HD SET Rev Sharing</v>
          </cell>
          <cell r="C1296" t="str">
            <v>NHD</v>
          </cell>
        </row>
        <row r="1297">
          <cell r="A1297" t="str">
            <v>BIA-215</v>
          </cell>
          <cell r="B1297" t="str">
            <v>Pemakaian HD SET Rev Sharing</v>
          </cell>
          <cell r="C1297" t="str">
            <v>NHD</v>
          </cell>
        </row>
        <row r="1298">
          <cell r="A1298" t="str">
            <v>BIA-216</v>
          </cell>
          <cell r="B1298" t="str">
            <v>Pemakaian HD SET Rev Sharing</v>
          </cell>
          <cell r="C1298" t="str">
            <v>NHD</v>
          </cell>
        </row>
        <row r="1299">
          <cell r="A1299" t="str">
            <v>BIA-217</v>
          </cell>
          <cell r="B1299" t="str">
            <v>Paket Tindakan Pelayanan Hemodialisa Single use</v>
          </cell>
          <cell r="C1299" t="str">
            <v>NHD</v>
          </cell>
        </row>
        <row r="1300">
          <cell r="A1300" t="str">
            <v>BIA-218</v>
          </cell>
          <cell r="B1300" t="str">
            <v>Paket Tindakan Pelayanan Hemodialisa Reuse</v>
          </cell>
          <cell r="C1300" t="str">
            <v>NHD</v>
          </cell>
        </row>
        <row r="1301">
          <cell r="A1301" t="str">
            <v>BIA-219</v>
          </cell>
          <cell r="B1301" t="str">
            <v>Paket Tindakan Pelayanan HD</v>
          </cell>
          <cell r="C1301" t="str">
            <v>NHD</v>
          </cell>
        </row>
        <row r="1302">
          <cell r="A1302" t="str">
            <v>BIA-220</v>
          </cell>
          <cell r="B1302" t="str">
            <v>EMKL Penunjang NHD</v>
          </cell>
          <cell r="C1302" t="str">
            <v>NHD</v>
          </cell>
        </row>
        <row r="1303">
          <cell r="A1303" t="str">
            <v>BIA-221</v>
          </cell>
          <cell r="B1303" t="str">
            <v>BEA MASUK Penunjang NHD</v>
          </cell>
          <cell r="C1303" t="str">
            <v>NHD</v>
          </cell>
        </row>
        <row r="1304">
          <cell r="A1304" t="str">
            <v>BIA-222</v>
          </cell>
          <cell r="B1304" t="str">
            <v>SEWA KENDARAAN ANGKUTAN DARAT PLAT KUNING - NHD</v>
          </cell>
          <cell r="C1304" t="str">
            <v>NHD</v>
          </cell>
        </row>
        <row r="1305">
          <cell r="A1305" t="str">
            <v>BIA-223</v>
          </cell>
          <cell r="B1305" t="str">
            <v>BIAYA JASA INKLARING - NHD</v>
          </cell>
          <cell r="C1305" t="str">
            <v>NHD</v>
          </cell>
        </row>
        <row r="1306">
          <cell r="A1306" t="str">
            <v>BIA-224</v>
          </cell>
          <cell r="B1306" t="str">
            <v>BIAYA JASA PELAYANAN PELABUHAN - NHD</v>
          </cell>
          <cell r="C1306" t="str">
            <v>NHD</v>
          </cell>
        </row>
        <row r="1307">
          <cell r="A1307" t="str">
            <v>BIA-225</v>
          </cell>
          <cell r="B1307" t="str">
            <v>Tindakan Pelayanan Hemodialisa Single use</v>
          </cell>
          <cell r="C1307" t="str">
            <v>NHD</v>
          </cell>
        </row>
        <row r="1308">
          <cell r="A1308" t="str">
            <v>BIA-226</v>
          </cell>
          <cell r="B1308" t="str">
            <v>Tindakan Pelayanan Hemodialisa Reuse</v>
          </cell>
          <cell r="C1308" t="str">
            <v>NHD</v>
          </cell>
        </row>
        <row r="1309">
          <cell r="A1309" t="str">
            <v>BIA-227</v>
          </cell>
          <cell r="B1309" t="str">
            <v>BIAYA JASA SURVEY SKB</v>
          </cell>
          <cell r="C1309" t="str">
            <v>NHD</v>
          </cell>
        </row>
        <row r="1310">
          <cell r="A1310" t="str">
            <v>BIA-228</v>
          </cell>
          <cell r="B1310" t="str">
            <v>Paket Tindakan Pelayanan HD</v>
          </cell>
          <cell r="C1310" t="str">
            <v>NHD</v>
          </cell>
        </row>
        <row r="1311">
          <cell r="A1311" t="str">
            <v>BIA-229</v>
          </cell>
          <cell r="B1311" t="str">
            <v>BIAYA JASA RENTAL KENDARAAN SKB</v>
          </cell>
          <cell r="C1311" t="str">
            <v>NHD</v>
          </cell>
        </row>
        <row r="1312">
          <cell r="A1312" t="str">
            <v>BIA-230</v>
          </cell>
          <cell r="B1312" t="str">
            <v>BIAYA PENGOLAHAN LIMBAH</v>
          </cell>
          <cell r="C1312" t="str">
            <v>NHD</v>
          </cell>
        </row>
        <row r="1313">
          <cell r="A1313" t="str">
            <v>BIA-231</v>
          </cell>
          <cell r="B1313" t="str">
            <v>BIAYA JASA LOADING DAN UNLOADING NHD</v>
          </cell>
          <cell r="C1313" t="str">
            <v>NHD</v>
          </cell>
        </row>
        <row r="1314">
          <cell r="A1314" t="str">
            <v>BIA-232</v>
          </cell>
          <cell r="B1314" t="str">
            <v>Paket Tindakan Pelayanan HD</v>
          </cell>
          <cell r="C1314" t="str">
            <v>NHD</v>
          </cell>
        </row>
        <row r="1315">
          <cell r="A1315" t="str">
            <v>BIA-233</v>
          </cell>
          <cell r="B1315" t="str">
            <v>BIAYA PAJAK</v>
          </cell>
          <cell r="C1315" t="str">
            <v>NHD</v>
          </cell>
        </row>
        <row r="1316">
          <cell r="A1316" t="str">
            <v>BIA-234</v>
          </cell>
          <cell r="B1316" t="str">
            <v>BIAYA JASA PEMELIHARAAN GUDANG</v>
          </cell>
          <cell r="C1316" t="str">
            <v>NHD</v>
          </cell>
        </row>
        <row r="1317">
          <cell r="A1317" t="str">
            <v>BIA-235</v>
          </cell>
          <cell r="B1317" t="str">
            <v>BIAYA JASA PEMELIHARAAN GUDANG</v>
          </cell>
          <cell r="C1317" t="str">
            <v>NHD</v>
          </cell>
        </row>
        <row r="1318">
          <cell r="A1318" t="str">
            <v>BIA-236</v>
          </cell>
          <cell r="B1318" t="str">
            <v>JASA CETAK (PROMOSI)</v>
          </cell>
          <cell r="C1318" t="str">
            <v>NHD</v>
          </cell>
        </row>
        <row r="1319">
          <cell r="A1319" t="str">
            <v>BIA-237</v>
          </cell>
          <cell r="B1319" t="str">
            <v>BIAYA JASA DESIGN PENUNJANG HD</v>
          </cell>
          <cell r="C1319" t="str">
            <v>NHD</v>
          </cell>
        </row>
        <row r="1320">
          <cell r="A1320" t="str">
            <v>BIA-238</v>
          </cell>
          <cell r="B1320" t="str">
            <v>BIAYA JASA PEMELIHARAAN PENUNJANG HD</v>
          </cell>
          <cell r="C1320" t="str">
            <v>NHD</v>
          </cell>
        </row>
        <row r="1321">
          <cell r="A1321" t="str">
            <v>BIA-239</v>
          </cell>
          <cell r="B1321" t="str">
            <v>Pemakaian HD SET Rev Sharing</v>
          </cell>
          <cell r="C1321" t="str">
            <v>NHD</v>
          </cell>
        </row>
        <row r="1322">
          <cell r="A1322" t="str">
            <v>BIA-240</v>
          </cell>
          <cell r="B1322" t="str">
            <v>BIAYA JASA PENGANGKUTAN / EKSPEDISI</v>
          </cell>
          <cell r="C1322" t="str">
            <v>NHD</v>
          </cell>
        </row>
        <row r="1323">
          <cell r="A1323" t="str">
            <v>BIA-241</v>
          </cell>
          <cell r="B1323" t="str">
            <v>BIAYA JASA SEWA KEND ANGKUTAN DRT (SKB) PUSAT-CAB</v>
          </cell>
          <cell r="C1323" t="str">
            <v>NHD</v>
          </cell>
        </row>
        <row r="1324">
          <cell r="A1324" t="str">
            <v>BIA-242</v>
          </cell>
          <cell r="B1324" t="str">
            <v>BIAYA JASA SEWA KEND ANGKUTAN DARAT PUSAT-CAB</v>
          </cell>
          <cell r="C1324" t="str">
            <v>NHD</v>
          </cell>
        </row>
        <row r="1325">
          <cell r="A1325" t="str">
            <v>BIA-243</v>
          </cell>
          <cell r="B1325" t="str">
            <v>BIAYA BBM KIRIM BARANG PUSAT-CAB</v>
          </cell>
          <cell r="C1325" t="str">
            <v>NHD</v>
          </cell>
        </row>
        <row r="1326">
          <cell r="A1326" t="str">
            <v>BIA-244</v>
          </cell>
          <cell r="B1326" t="str">
            <v>BIAYA PARKIR, TOLL &amp; RETRIBUSI KIRIM BRG PUSAT-CAB</v>
          </cell>
          <cell r="C1326" t="str">
            <v>NHD</v>
          </cell>
        </row>
        <row r="1327">
          <cell r="A1327" t="str">
            <v>BIA-245</v>
          </cell>
          <cell r="B1327" t="str">
            <v>BIAYA KEPERLUAN DINAS PUSAT-CAB</v>
          </cell>
          <cell r="C1327" t="str">
            <v>NHD</v>
          </cell>
        </row>
        <row r="1328">
          <cell r="A1328" t="str">
            <v>BIA-246</v>
          </cell>
          <cell r="B1328" t="str">
            <v>BIAYA BONGKAR MUAT PUSAT-CAB</v>
          </cell>
          <cell r="C1328" t="str">
            <v>NHD</v>
          </cell>
        </row>
        <row r="1329">
          <cell r="A1329" t="str">
            <v>BIA-247</v>
          </cell>
          <cell r="B1329" t="str">
            <v>BIAYA KIRIM BARANG PUSAT-CAB</v>
          </cell>
          <cell r="C1329" t="str">
            <v>NHD</v>
          </cell>
        </row>
        <row r="1330">
          <cell r="A1330" t="str">
            <v>BIA-248</v>
          </cell>
          <cell r="B1330" t="str">
            <v>BIAYA SEWA KEND ANGKUTAN DRT PLAT KUNING PUSAT-CAB</v>
          </cell>
          <cell r="C1330" t="str">
            <v>NHD</v>
          </cell>
        </row>
        <row r="1331">
          <cell r="A1331" t="str">
            <v>BIA-249</v>
          </cell>
          <cell r="B1331" t="str">
            <v>BIAYA PENGINAPAN PUSAT-CAB</v>
          </cell>
          <cell r="C1331" t="str">
            <v>NHD</v>
          </cell>
        </row>
        <row r="1332">
          <cell r="A1332" t="str">
            <v>BIA-250</v>
          </cell>
          <cell r="B1332" t="str">
            <v>BIAYA JASA PENGANGKUTAN / EKSPEDISI PUSAT-CAB</v>
          </cell>
          <cell r="C1332" t="str">
            <v>NHD</v>
          </cell>
        </row>
        <row r="1333">
          <cell r="A1333" t="str">
            <v>BIA-251</v>
          </cell>
          <cell r="B1333" t="str">
            <v>BIAYA JASA SEWA KEND ANGKUTAN DARAT (SKB) CAB-CAB</v>
          </cell>
          <cell r="C1333" t="str">
            <v>NHD</v>
          </cell>
        </row>
        <row r="1334">
          <cell r="A1334" t="str">
            <v>BIA-252</v>
          </cell>
          <cell r="B1334" t="str">
            <v>BIAYA JASA SEWA KEND ANGKUTAN DARAT CAB-CAB</v>
          </cell>
          <cell r="C1334" t="str">
            <v>NHD</v>
          </cell>
        </row>
        <row r="1335">
          <cell r="A1335" t="str">
            <v>BIA-253</v>
          </cell>
          <cell r="B1335" t="str">
            <v>BIAYA BBM KIRIM BARANG CAB-CAB</v>
          </cell>
          <cell r="C1335" t="str">
            <v>NHD</v>
          </cell>
        </row>
        <row r="1336">
          <cell r="A1336" t="str">
            <v>BIA-254</v>
          </cell>
          <cell r="B1336" t="str">
            <v>BIAYA PARKIR, TOLL DAN RETRIBUSI KIRIM BRG CAB-CAB</v>
          </cell>
          <cell r="C1336" t="str">
            <v>NHD</v>
          </cell>
        </row>
        <row r="1337">
          <cell r="A1337" t="str">
            <v>BIA-255</v>
          </cell>
          <cell r="B1337" t="str">
            <v>BIAYA KEPERLUAN DINAS CAB-CAB</v>
          </cell>
          <cell r="C1337" t="str">
            <v>NHD</v>
          </cell>
        </row>
        <row r="1338">
          <cell r="A1338" t="str">
            <v>BIA-256</v>
          </cell>
          <cell r="B1338" t="str">
            <v>BIAYA BONGKAR MUAT CAB-CAB</v>
          </cell>
          <cell r="C1338" t="str">
            <v>NHD</v>
          </cell>
        </row>
        <row r="1339">
          <cell r="A1339" t="str">
            <v>BIA-257</v>
          </cell>
          <cell r="B1339" t="str">
            <v>BIAYA KIRIM BARANG CAB-CAB</v>
          </cell>
          <cell r="C1339" t="str">
            <v>NHD</v>
          </cell>
        </row>
        <row r="1340">
          <cell r="A1340" t="str">
            <v>BIA-258</v>
          </cell>
          <cell r="B1340" t="str">
            <v>BIAYA SEWA KEND ANGKUTAN DARAT PLAT KUNING CAB-CAB</v>
          </cell>
          <cell r="C1340" t="str">
            <v>NHD</v>
          </cell>
        </row>
        <row r="1341">
          <cell r="A1341" t="str">
            <v>BIA-259</v>
          </cell>
          <cell r="B1341" t="str">
            <v>BIAYA PENGINAPAN CAB-CAB</v>
          </cell>
          <cell r="C1341" t="str">
            <v>NHD</v>
          </cell>
        </row>
        <row r="1342">
          <cell r="A1342" t="str">
            <v>BIA-260</v>
          </cell>
          <cell r="B1342" t="str">
            <v>BIAYA JASA PENGANGKUTAN / EKSPEDISI CAB-CAB</v>
          </cell>
          <cell r="C1342" t="str">
            <v>NHD</v>
          </cell>
        </row>
        <row r="1343">
          <cell r="A1343" t="str">
            <v>BIA-261</v>
          </cell>
          <cell r="B1343" t="str">
            <v>BIAYA KIRIM BARANG NON DAGANG</v>
          </cell>
          <cell r="C1343" t="str">
            <v>NHD</v>
          </cell>
        </row>
        <row r="1344">
          <cell r="A1344" t="str">
            <v>BIA-262</v>
          </cell>
          <cell r="B1344" t="str">
            <v>BIAYA SPAREPART KENDARAAN</v>
          </cell>
          <cell r="C1344" t="str">
            <v>NHD</v>
          </cell>
        </row>
        <row r="1345">
          <cell r="A1345" t="str">
            <v>BIA-263</v>
          </cell>
          <cell r="B1345" t="str">
            <v>BIAYA JASA PERBAIKAN KENDARAAN</v>
          </cell>
          <cell r="C1345" t="str">
            <v>NHD</v>
          </cell>
        </row>
        <row r="1346">
          <cell r="A1346" t="str">
            <v>BIA-264</v>
          </cell>
          <cell r="B1346" t="str">
            <v>BIAYA JASA RENTAL KENDARAAN</v>
          </cell>
          <cell r="C1346" t="str">
            <v>NHD</v>
          </cell>
        </row>
        <row r="1347">
          <cell r="A1347" t="str">
            <v>BIA-265</v>
          </cell>
          <cell r="B1347" t="str">
            <v>BIAYA JASA RENTAL KENDARAAN SKB</v>
          </cell>
          <cell r="C1347" t="str">
            <v>NHD</v>
          </cell>
        </row>
        <row r="1348">
          <cell r="A1348" t="str">
            <v>BIA-266</v>
          </cell>
          <cell r="B1348" t="str">
            <v>BIAYA JASA PERPANJANGAN SURAT KENDARAAN</v>
          </cell>
          <cell r="C1348" t="str">
            <v>NHD</v>
          </cell>
        </row>
        <row r="1349">
          <cell r="A1349" t="str">
            <v>BIA-267</v>
          </cell>
          <cell r="B1349" t="str">
            <v>BIAYA SURAT SURAT KENDARAAN</v>
          </cell>
          <cell r="C1349" t="str">
            <v>NHD</v>
          </cell>
        </row>
        <row r="1350">
          <cell r="A1350" t="str">
            <v>BIA-268</v>
          </cell>
          <cell r="B1350" t="str">
            <v>BIAYA JASA PENUNJANG HD-JASA PEMASANGAN(PPH FINAL)</v>
          </cell>
          <cell r="C1350" t="str">
            <v>NHD</v>
          </cell>
        </row>
        <row r="1351">
          <cell r="A1351" t="str">
            <v>BIA-269</v>
          </cell>
          <cell r="B1351" t="str">
            <v>BIAYA JASA PENGANGKUTAN / EKSPEDISI SAMPLE AIR</v>
          </cell>
          <cell r="C1351" t="str">
            <v>NHD</v>
          </cell>
        </row>
        <row r="1352">
          <cell r="A1352" t="str">
            <v>BIA-270</v>
          </cell>
          <cell r="B1352" t="str">
            <v>BIAYA JASA HONORARIUM BONGKAR MUAT</v>
          </cell>
          <cell r="C1352" t="str">
            <v>NHD</v>
          </cell>
        </row>
        <row r="1353">
          <cell r="A1353" t="str">
            <v>BIA-271</v>
          </cell>
          <cell r="B1353" t="str">
            <v>JASA PEMELIHARAAN GEDUNG HD</v>
          </cell>
          <cell r="C1353" t="str">
            <v>NHD</v>
          </cell>
        </row>
        <row r="1354">
          <cell r="A1354" t="str">
            <v>BIA-272</v>
          </cell>
          <cell r="B1354" t="str">
            <v>BIAYA JASA CEK LABORATORIUM SKB</v>
          </cell>
          <cell r="C1354" t="str">
            <v>NHD</v>
          </cell>
        </row>
        <row r="1355">
          <cell r="A1355" t="str">
            <v>BIA-273</v>
          </cell>
          <cell r="B1355" t="str">
            <v>Rental Kend utk Operasional SKB</v>
          </cell>
          <cell r="C1355" t="str">
            <v>NHD</v>
          </cell>
        </row>
        <row r="1356">
          <cell r="A1356" t="str">
            <v>BIA-274</v>
          </cell>
          <cell r="B1356" t="str">
            <v>BIAYA JASA SEWA GENSET</v>
          </cell>
          <cell r="C1356" t="str">
            <v>NHD</v>
          </cell>
        </row>
        <row r="1357">
          <cell r="A1357" t="str">
            <v>BIA-275</v>
          </cell>
          <cell r="B1357" t="str">
            <v>BIAYA JASA LOADING DAN UNLOADING-EKSPOR</v>
          </cell>
          <cell r="C1357" t="str">
            <v>NHD</v>
          </cell>
        </row>
        <row r="1358">
          <cell r="A1358" t="str">
            <v>BIA-276</v>
          </cell>
          <cell r="B1358" t="str">
            <v>JS PENUNJANG BID PENERBANGAN&amp;BANDAR UDARA-EKSPOR</v>
          </cell>
          <cell r="C1358" t="str">
            <v>NHD</v>
          </cell>
        </row>
        <row r="1359">
          <cell r="A1359" t="str">
            <v>BIA-277</v>
          </cell>
          <cell r="B1359" t="str">
            <v>BIAYA JASA PENGANGKUTAN/EKSPEDISI-EKSPOR</v>
          </cell>
          <cell r="C1359" t="str">
            <v>NHD</v>
          </cell>
        </row>
        <row r="1360">
          <cell r="A1360" t="str">
            <v>BIA-278</v>
          </cell>
          <cell r="B1360" t="str">
            <v>PPH FINAL PEREDARAN BRUTO TERTENTU (PENJUALAN)</v>
          </cell>
          <cell r="C1360" t="str">
            <v>NHD</v>
          </cell>
        </row>
        <row r="1361">
          <cell r="A1361" t="str">
            <v>BIA-279</v>
          </cell>
          <cell r="B1361" t="str">
            <v>ASET DALAM PENYELESAIAN SOFTWARE PPH FINAL</v>
          </cell>
          <cell r="C1361" t="str">
            <v>NHD</v>
          </cell>
        </row>
        <row r="1362">
          <cell r="A1362" t="str">
            <v>BIA-280</v>
          </cell>
          <cell r="B1362" t="str">
            <v>BIAYA JASA OUTBOND/EO</v>
          </cell>
          <cell r="C1362" t="str">
            <v>NHD</v>
          </cell>
        </row>
        <row r="1363">
          <cell r="A1363" t="str">
            <v>BIA-281</v>
          </cell>
          <cell r="B1363" t="str">
            <v>Asset Dalam Penyelesaian - Gedung</v>
          </cell>
          <cell r="C1363" t="str">
            <v>NHD</v>
          </cell>
        </row>
        <row r="1364">
          <cell r="A1364" t="str">
            <v>BIA-282</v>
          </cell>
          <cell r="B1364" t="str">
            <v>Paket Tindakan Pelayanan HD</v>
          </cell>
          <cell r="C1364" t="str">
            <v>NHD</v>
          </cell>
        </row>
        <row r="1365">
          <cell r="A1365" t="str">
            <v>BIA-283</v>
          </cell>
          <cell r="B1365" t="str">
            <v>BIAYA JASA LOADING DAN UNLOADING-SP ( Sparepart)</v>
          </cell>
          <cell r="C1365" t="str">
            <v>NHD</v>
          </cell>
        </row>
        <row r="1366">
          <cell r="A1366" t="str">
            <v>BIA-284</v>
          </cell>
          <cell r="B1366" t="str">
            <v>BIAYA JASA PELAYANAN PELABUHAN-SP (Sparepart)</v>
          </cell>
          <cell r="C1366" t="str">
            <v>NHD</v>
          </cell>
        </row>
        <row r="1367">
          <cell r="A1367" t="str">
            <v>BIA-285</v>
          </cell>
          <cell r="B1367" t="str">
            <v>ASET DLM PENYELESAIAN MATERIAL GEDUNG</v>
          </cell>
          <cell r="C1367" t="str">
            <v>NHD</v>
          </cell>
        </row>
        <row r="1368">
          <cell r="A1368" t="str">
            <v>BIA-286</v>
          </cell>
          <cell r="B1368" t="str">
            <v>ASET DLM PENYELESAIAN GEDUNG PPH 21/23</v>
          </cell>
          <cell r="C1368" t="str">
            <v>NHD</v>
          </cell>
        </row>
        <row r="1369">
          <cell r="A1369" t="str">
            <v>BIA-287</v>
          </cell>
          <cell r="B1369" t="str">
            <v>BIAYA JASA PENUNJANG HD-JASA PEMASANGAN(PPH 21/23)</v>
          </cell>
          <cell r="C1369" t="str">
            <v>NHD</v>
          </cell>
        </row>
        <row r="1370">
          <cell r="A1370" t="str">
            <v>BIA-288</v>
          </cell>
          <cell r="B1370" t="str">
            <v>BIAYA KIRIM SAMPLE AIR</v>
          </cell>
          <cell r="C1370" t="str">
            <v>NHD</v>
          </cell>
        </row>
        <row r="1371">
          <cell r="A1371" t="str">
            <v>BIA-289</v>
          </cell>
          <cell r="B1371" t="str">
            <v>BIAYA PAJAK BUMI &amp; BANGUNAN (PBB)</v>
          </cell>
          <cell r="C1371" t="str">
            <v>NHD</v>
          </cell>
        </row>
        <row r="1372">
          <cell r="A1372" t="str">
            <v>BIA-290</v>
          </cell>
          <cell r="B1372" t="str">
            <v>BIAYA PENGINAPAN</v>
          </cell>
          <cell r="C1372" t="str">
            <v>NHD</v>
          </cell>
        </row>
        <row r="1373">
          <cell r="A1373" t="str">
            <v>BIA-3100-6001/4</v>
          </cell>
          <cell r="B1373" t="str">
            <v>Pronto 100 NEO Std Printer</v>
          </cell>
          <cell r="C1373" t="str">
            <v>NHD</v>
          </cell>
        </row>
        <row r="1374">
          <cell r="A1374" t="str">
            <v>BIA-3300-6021/4</v>
          </cell>
          <cell r="B1374" t="str">
            <v>MAGICARD 300NEO Duo Printer</v>
          </cell>
          <cell r="C1374" t="str">
            <v>NHD</v>
          </cell>
        </row>
        <row r="1375">
          <cell r="A1375" t="str">
            <v>BIA-3633-0053</v>
          </cell>
          <cell r="B1375" t="str">
            <v>Cleaning Kit, Enduro, Pro 360, 300, 600</v>
          </cell>
          <cell r="C1375" t="str">
            <v>NHD</v>
          </cell>
        </row>
        <row r="1376">
          <cell r="A1376" t="str">
            <v>BIA-4-030-063</v>
          </cell>
          <cell r="B1376" t="str">
            <v>FILTER</v>
          </cell>
          <cell r="C1376" t="str">
            <v>NHD</v>
          </cell>
        </row>
        <row r="1377">
          <cell r="A1377" t="str">
            <v>BIA-4-030-078</v>
          </cell>
          <cell r="B1377" t="str">
            <v>BLOOD LEAK DETECTOR SENSOR (BLD)</v>
          </cell>
          <cell r="C1377" t="str">
            <v>NHD</v>
          </cell>
        </row>
        <row r="1378">
          <cell r="A1378" t="str">
            <v>BIA-4-070-012</v>
          </cell>
          <cell r="B1378" t="str">
            <v>PUMP BODY SET</v>
          </cell>
          <cell r="C1378" t="str">
            <v>NHD</v>
          </cell>
        </row>
        <row r="1379">
          <cell r="A1379" t="str">
            <v>BIA-4-070-014</v>
          </cell>
          <cell r="B1379" t="str">
            <v>MAGNET GEAR PUMP FOR P1</v>
          </cell>
          <cell r="C1379" t="str">
            <v>NHD</v>
          </cell>
        </row>
        <row r="1380">
          <cell r="A1380" t="str">
            <v>BIA-62-0390050-11LF</v>
          </cell>
          <cell r="B1380" t="str">
            <v>POWER SUPPLY</v>
          </cell>
          <cell r="C1380" t="str">
            <v>NHD</v>
          </cell>
        </row>
        <row r="1381">
          <cell r="A1381" t="str">
            <v>BIA-9-001-121</v>
          </cell>
          <cell r="B1381" t="str">
            <v>O RING</v>
          </cell>
          <cell r="C1381" t="str">
            <v>NHD</v>
          </cell>
        </row>
        <row r="1382">
          <cell r="A1382" t="str">
            <v>BIA-9-001-123</v>
          </cell>
          <cell r="B1382" t="str">
            <v>O RING</v>
          </cell>
          <cell r="C1382" t="str">
            <v>NHD</v>
          </cell>
        </row>
        <row r="1383">
          <cell r="A1383" t="str">
            <v>BIA-9-004-038</v>
          </cell>
          <cell r="B1383" t="str">
            <v>ST SILICON TUBE 5 x 11V HS</v>
          </cell>
          <cell r="C1383" t="str">
            <v>NHD</v>
          </cell>
        </row>
        <row r="1384">
          <cell r="A1384" t="str">
            <v>BIA-98-0390005-00LF</v>
          </cell>
          <cell r="B1384" t="str">
            <v>PRINT HEAD MODULE</v>
          </cell>
          <cell r="C1384" t="str">
            <v>NHD</v>
          </cell>
        </row>
        <row r="1385">
          <cell r="A1385" t="str">
            <v>BIA-98-0390005-10LF</v>
          </cell>
          <cell r="B1385" t="str">
            <v>PRINT HEAD MODULE</v>
          </cell>
          <cell r="C1385" t="str">
            <v>NHD</v>
          </cell>
        </row>
        <row r="1386">
          <cell r="A1386" t="str">
            <v>BIA-98-0390020-10LF</v>
          </cell>
          <cell r="B1386" t="str">
            <v>MEDIA SENSOR ASSEMBLY</v>
          </cell>
          <cell r="C1386" t="str">
            <v>NHD</v>
          </cell>
        </row>
        <row r="1387">
          <cell r="A1387" t="str">
            <v>BIA-98-0390026-00LF</v>
          </cell>
          <cell r="B1387" t="str">
            <v>GAP SENSOR ASSEMBLY-RECEIVER</v>
          </cell>
          <cell r="C1387" t="str">
            <v>NHD</v>
          </cell>
        </row>
        <row r="1388">
          <cell r="A1388" t="str">
            <v>BIA-98-0390036-10LF</v>
          </cell>
          <cell r="B1388" t="str">
            <v>FEED BUTTON PCB ASSEMBLY-LCD MODULE</v>
          </cell>
          <cell r="C1388" t="str">
            <v>NHD</v>
          </cell>
        </row>
        <row r="1389">
          <cell r="A1389" t="str">
            <v>BIA-98-0390039-00LF</v>
          </cell>
          <cell r="B1389" t="str">
            <v>MAIN BOARD ASSEMBLY</v>
          </cell>
          <cell r="C1389" t="str">
            <v>NHD</v>
          </cell>
        </row>
        <row r="1390">
          <cell r="A1390" t="str">
            <v>BIA-98-0390039-50LF</v>
          </cell>
          <cell r="B1390" t="str">
            <v>MAIN BOARD ASSEMBLY</v>
          </cell>
          <cell r="C1390" t="str">
            <v>NHD</v>
          </cell>
        </row>
        <row r="1391">
          <cell r="A1391" t="str">
            <v>BIA-98-0390205-00LF</v>
          </cell>
          <cell r="B1391" t="str">
            <v>POWER SUPPLY</v>
          </cell>
          <cell r="C1391" t="str">
            <v>NHD</v>
          </cell>
        </row>
        <row r="1392">
          <cell r="A1392" t="str">
            <v>BIA-98-0400020-51LF</v>
          </cell>
          <cell r="B1392" t="str">
            <v>ETHERNET INTERFACE BOARD ASSEMBLY</v>
          </cell>
          <cell r="C1392" t="str">
            <v>NHD</v>
          </cell>
        </row>
        <row r="1393">
          <cell r="A1393" t="str">
            <v>BIA-BAYC-REG-1L</v>
          </cell>
          <cell r="B1393" t="str">
            <v>BAYCLIN REGULER 1 LITER</v>
          </cell>
          <cell r="C1393" t="str">
            <v>NHD</v>
          </cell>
        </row>
        <row r="1394">
          <cell r="A1394" t="str">
            <v>BIA-DTB113ZKFRAT146</v>
          </cell>
          <cell r="B1394" t="str">
            <v>DIGITAL TRANSISTOR</v>
          </cell>
          <cell r="C1394" t="str">
            <v>NHD</v>
          </cell>
        </row>
        <row r="1395">
          <cell r="A1395" t="str">
            <v>BIA-E9100</v>
          </cell>
          <cell r="B1395" t="str">
            <v>Cleaning Kit For Neo 100</v>
          </cell>
          <cell r="C1395" t="str">
            <v>NHD</v>
          </cell>
        </row>
        <row r="1396">
          <cell r="A1396" t="str">
            <v>BIA-EKS-0001</v>
          </cell>
          <cell r="B1396" t="str">
            <v>HDJ CDD JKT-PWK</v>
          </cell>
          <cell r="C1396" t="str">
            <v>NHD</v>
          </cell>
        </row>
        <row r="1397">
          <cell r="A1397" t="str">
            <v>BIA-EKS-0002</v>
          </cell>
          <cell r="B1397" t="str">
            <v>HDJ CDD JKT-BDG</v>
          </cell>
          <cell r="C1397" t="str">
            <v>NHD</v>
          </cell>
        </row>
        <row r="1398">
          <cell r="A1398" t="str">
            <v>BIA-EKS-0003</v>
          </cell>
          <cell r="B1398" t="str">
            <v>HDJ CDD JKT-SMG</v>
          </cell>
          <cell r="C1398" t="str">
            <v>NHD</v>
          </cell>
        </row>
        <row r="1399">
          <cell r="A1399" t="str">
            <v>BIA-EKS-0004</v>
          </cell>
          <cell r="B1399" t="str">
            <v>HDJ CDD JKT-SBY</v>
          </cell>
          <cell r="C1399" t="str">
            <v>NHD</v>
          </cell>
        </row>
        <row r="1400">
          <cell r="A1400" t="str">
            <v>BIA-EKS-0005</v>
          </cell>
          <cell r="B1400" t="str">
            <v>HDJ CDD JKT-LPG</v>
          </cell>
          <cell r="C1400" t="str">
            <v>NHD</v>
          </cell>
        </row>
        <row r="1401">
          <cell r="A1401" t="str">
            <v>BIA-EKS-0006</v>
          </cell>
          <cell r="B1401" t="str">
            <v>HDJ CDD JKT-LUBUK LINGGAU</v>
          </cell>
          <cell r="C1401" t="str">
            <v>NHD</v>
          </cell>
        </row>
        <row r="1402">
          <cell r="A1402" t="str">
            <v>BIA-EKS-0007</v>
          </cell>
          <cell r="B1402" t="str">
            <v>HDJ CDD JKT-PADANG</v>
          </cell>
          <cell r="C1402" t="str">
            <v>NHD</v>
          </cell>
        </row>
        <row r="1403">
          <cell r="A1403" t="str">
            <v>BIA-EKS-0008</v>
          </cell>
          <cell r="B1403" t="str">
            <v>HDJ CDD JKT-PAL PRABUMULIH BATURAJA</v>
          </cell>
          <cell r="C1403" t="str">
            <v>NHD</v>
          </cell>
        </row>
        <row r="1404">
          <cell r="A1404" t="str">
            <v>BIA-EKS-0009</v>
          </cell>
          <cell r="B1404" t="str">
            <v>HDJ CDD JKT-JAMBI</v>
          </cell>
          <cell r="C1404" t="str">
            <v>NHD</v>
          </cell>
        </row>
        <row r="1405">
          <cell r="A1405" t="str">
            <v>BIA-EKS-0010</v>
          </cell>
          <cell r="B1405" t="str">
            <v>HDJ CDD JKT-PULO GADUNG</v>
          </cell>
          <cell r="C1405" t="str">
            <v>NHD</v>
          </cell>
        </row>
        <row r="1406">
          <cell r="A1406" t="str">
            <v>BIA-EKS-0011</v>
          </cell>
          <cell r="B1406" t="str">
            <v>HDJ CDD CKPA-PWK</v>
          </cell>
          <cell r="C1406" t="str">
            <v>NHD</v>
          </cell>
        </row>
        <row r="1407">
          <cell r="A1407" t="str">
            <v>BIA-EKS-0012</v>
          </cell>
          <cell r="B1407" t="str">
            <v>HDJ CDD CKPA-BDG</v>
          </cell>
          <cell r="C1407" t="str">
            <v>NHD</v>
          </cell>
        </row>
        <row r="1408">
          <cell r="A1408" t="str">
            <v>BIA-EKS-0013</v>
          </cell>
          <cell r="B1408" t="str">
            <v>HDJ CDD CKPA-SMG</v>
          </cell>
          <cell r="C1408" t="str">
            <v>NHD</v>
          </cell>
        </row>
        <row r="1409">
          <cell r="A1409" t="str">
            <v>BIA-EKS-0014</v>
          </cell>
          <cell r="B1409" t="str">
            <v>HDJ CDD CKPA-SBY</v>
          </cell>
          <cell r="C1409" t="str">
            <v>NHD</v>
          </cell>
        </row>
        <row r="1410">
          <cell r="A1410" t="str">
            <v>BIA-EKS-0015</v>
          </cell>
          <cell r="B1410" t="str">
            <v>HDJ CDD CKPA-MDN</v>
          </cell>
          <cell r="C1410" t="str">
            <v>NHD</v>
          </cell>
        </row>
        <row r="1411">
          <cell r="A1411" t="str">
            <v>BIA-EKS-0016</v>
          </cell>
          <cell r="B1411" t="str">
            <v>HDJ CDD CKPA-KEBUN JERUK</v>
          </cell>
          <cell r="C1411" t="str">
            <v>NHD</v>
          </cell>
        </row>
        <row r="1412">
          <cell r="A1412" t="str">
            <v>BIA-EKS-0017</v>
          </cell>
          <cell r="B1412" t="str">
            <v>HDJ CDD CKRA-PWK-IJM</v>
          </cell>
          <cell r="C1412" t="str">
            <v>NHD</v>
          </cell>
        </row>
        <row r="1413">
          <cell r="A1413" t="str">
            <v>BIA-EKS-0018</v>
          </cell>
          <cell r="B1413" t="str">
            <v>HDJ CDD CKRA-BDG-IJM</v>
          </cell>
          <cell r="C1413" t="str">
            <v>NHD</v>
          </cell>
        </row>
        <row r="1414">
          <cell r="A1414" t="str">
            <v>BIA-EKS-0019</v>
          </cell>
          <cell r="B1414" t="str">
            <v>HDJ CDD CKRA-SMG-IJM</v>
          </cell>
          <cell r="C1414" t="str">
            <v>NHD</v>
          </cell>
        </row>
        <row r="1415">
          <cell r="A1415" t="str">
            <v>BIA-EKS-0020</v>
          </cell>
          <cell r="B1415" t="str">
            <v>HDJ CDD CKRA-SBY-IJM</v>
          </cell>
          <cell r="C1415" t="str">
            <v>NHD</v>
          </cell>
        </row>
        <row r="1416">
          <cell r="A1416" t="str">
            <v>BIA-EKS-0021</v>
          </cell>
          <cell r="B1416" t="str">
            <v>HDJ CDD CKRA-PAL PRABUMULIH BATURAJA-IJM</v>
          </cell>
          <cell r="C1416" t="str">
            <v>NHD</v>
          </cell>
        </row>
        <row r="1417">
          <cell r="A1417" t="str">
            <v>BIA-EKS-0022</v>
          </cell>
          <cell r="B1417" t="str">
            <v>HDJ CDD CKRA-PADANG-IJM</v>
          </cell>
          <cell r="C1417" t="str">
            <v>NHD</v>
          </cell>
        </row>
        <row r="1418">
          <cell r="A1418" t="str">
            <v>BIA-EKS-0023</v>
          </cell>
          <cell r="B1418" t="str">
            <v>HDJ CDD CKRA-JAMBI-IJM</v>
          </cell>
          <cell r="C1418" t="str">
            <v>NHD</v>
          </cell>
        </row>
        <row r="1419">
          <cell r="A1419" t="str">
            <v>BIA-EKS-0024</v>
          </cell>
          <cell r="B1419" t="str">
            <v>HDJ CDD CKRA-LUBUK LINGGAU-IJM</v>
          </cell>
          <cell r="C1419" t="str">
            <v>NHD</v>
          </cell>
        </row>
        <row r="1420">
          <cell r="A1420" t="str">
            <v>BIA-EKS-0025</v>
          </cell>
          <cell r="B1420" t="str">
            <v>HDJ CDD CKRA-LPG-IJM</v>
          </cell>
          <cell r="C1420" t="str">
            <v>NHD</v>
          </cell>
        </row>
        <row r="1421">
          <cell r="A1421" t="str">
            <v>BIA-EKS-0026</v>
          </cell>
          <cell r="B1421" t="str">
            <v>HDJ FUSO JKT-LPG</v>
          </cell>
          <cell r="C1421" t="str">
            <v>NHD</v>
          </cell>
        </row>
        <row r="1422">
          <cell r="A1422" t="str">
            <v>BIA-EKS-0027</v>
          </cell>
          <cell r="B1422" t="str">
            <v>HDJ FUSO JKT-LUBUK LINGGAU</v>
          </cell>
          <cell r="C1422" t="str">
            <v>NHD</v>
          </cell>
        </row>
        <row r="1423">
          <cell r="A1423" t="str">
            <v>BIA-EKS-0028</v>
          </cell>
          <cell r="B1423" t="str">
            <v>HDJ FUSO JKT-PADANG</v>
          </cell>
          <cell r="C1423" t="str">
            <v>NHD</v>
          </cell>
        </row>
        <row r="1424">
          <cell r="A1424" t="str">
            <v>BIA-EKS-0029</v>
          </cell>
          <cell r="B1424" t="str">
            <v>HDJ FUSO JKT-PAL PRABUMULIH BATURAJA</v>
          </cell>
          <cell r="C1424" t="str">
            <v>NHD</v>
          </cell>
        </row>
        <row r="1425">
          <cell r="A1425" t="str">
            <v>BIA-EKS-0030</v>
          </cell>
          <cell r="B1425" t="str">
            <v>HDJ FUSO JKT-JAMBI-IJM</v>
          </cell>
          <cell r="C1425" t="str">
            <v>NHD</v>
          </cell>
        </row>
        <row r="1426">
          <cell r="A1426" t="str">
            <v>BIA-EKS-0031</v>
          </cell>
          <cell r="B1426" t="str">
            <v>HDJ FUSO CKRA-PAL PRABUMULIH BATURAJA-IJM</v>
          </cell>
          <cell r="C1426" t="str">
            <v>NHD</v>
          </cell>
        </row>
        <row r="1427">
          <cell r="A1427" t="str">
            <v>BIA-EKS-0032</v>
          </cell>
          <cell r="B1427" t="str">
            <v>HDJ FUSO CKRA-PADANG-IJM</v>
          </cell>
          <cell r="C1427" t="str">
            <v>NHD</v>
          </cell>
        </row>
        <row r="1428">
          <cell r="A1428" t="str">
            <v>BIA-EKS-0033</v>
          </cell>
          <cell r="B1428" t="str">
            <v>HDJ FUSO CKRA-JAMBI-IJM</v>
          </cell>
          <cell r="C1428" t="str">
            <v>NHD</v>
          </cell>
        </row>
        <row r="1429">
          <cell r="A1429" t="str">
            <v>BIA-EKS-0034</v>
          </cell>
          <cell r="B1429" t="str">
            <v>HDJ FUSO CKRA-LUBUK LINGGAU-IJM</v>
          </cell>
          <cell r="C1429" t="str">
            <v>NHD</v>
          </cell>
        </row>
        <row r="1430">
          <cell r="A1430" t="str">
            <v>BIA-EKS-0035</v>
          </cell>
          <cell r="B1430" t="str">
            <v>HDJ FUSO CKRA-LPG-IJM</v>
          </cell>
          <cell r="C1430" t="str">
            <v>NHD</v>
          </cell>
        </row>
        <row r="1431">
          <cell r="A1431" t="str">
            <v>BIA-EKS-0036</v>
          </cell>
          <cell r="B1431" t="str">
            <v>HDJ LCL JKT-TANJUNG PINANG</v>
          </cell>
          <cell r="C1431" t="str">
            <v>NHD</v>
          </cell>
        </row>
        <row r="1432">
          <cell r="A1432" t="str">
            <v>BIA-EKS-0037</v>
          </cell>
          <cell r="B1432" t="str">
            <v>HDJ LCL JKT-TANJUNG BALAI KARIMUN</v>
          </cell>
          <cell r="C1432" t="str">
            <v>NHD</v>
          </cell>
        </row>
        <row r="1433">
          <cell r="A1433" t="str">
            <v>BIA-EKS-0038</v>
          </cell>
          <cell r="B1433" t="str">
            <v>BNR CDD JKT-LPG</v>
          </cell>
          <cell r="C1433" t="str">
            <v>NHD</v>
          </cell>
        </row>
        <row r="1434">
          <cell r="A1434" t="str">
            <v>BIA-EKS-0039</v>
          </cell>
          <cell r="B1434" t="str">
            <v>BNR CDD CKPA-LPG</v>
          </cell>
          <cell r="C1434" t="str">
            <v>NHD</v>
          </cell>
        </row>
        <row r="1435">
          <cell r="A1435" t="str">
            <v>BIA-EKS-0040</v>
          </cell>
          <cell r="B1435" t="str">
            <v>BNR CDD CKRA-LPG-IJM</v>
          </cell>
          <cell r="C1435" t="str">
            <v>NHD</v>
          </cell>
        </row>
        <row r="1436">
          <cell r="A1436" t="str">
            <v>BIA-EKS-0041</v>
          </cell>
          <cell r="B1436" t="str">
            <v>BNR FUSO JKT-LPG</v>
          </cell>
          <cell r="C1436" t="str">
            <v>NHD</v>
          </cell>
        </row>
        <row r="1437">
          <cell r="A1437" t="str">
            <v>BIA-EKS-0042</v>
          </cell>
          <cell r="B1437" t="str">
            <v>BNR FUSO CKPA-LPG</v>
          </cell>
          <cell r="C1437" t="str">
            <v>NHD</v>
          </cell>
        </row>
        <row r="1438">
          <cell r="A1438" t="str">
            <v>BIA-EKS-0043</v>
          </cell>
          <cell r="B1438" t="str">
            <v>BNR FUSO CKRA-LPG-IJM</v>
          </cell>
          <cell r="C1438" t="str">
            <v>NHD</v>
          </cell>
        </row>
        <row r="1439">
          <cell r="A1439" t="str">
            <v>BIA-EKS-0044</v>
          </cell>
          <cell r="B1439" t="str">
            <v>INDOJASA CONTAINER JKT-PNTK</v>
          </cell>
          <cell r="C1439" t="str">
            <v>NHD</v>
          </cell>
        </row>
        <row r="1440">
          <cell r="A1440" t="str">
            <v>BIA-EKS-0045</v>
          </cell>
          <cell r="B1440" t="str">
            <v>INDOJASA CONTAINER JKT-BANJARMASIN</v>
          </cell>
          <cell r="C1440" t="str">
            <v>NHD</v>
          </cell>
        </row>
        <row r="1441">
          <cell r="A1441" t="str">
            <v>BIA-EKS-0046</v>
          </cell>
          <cell r="B1441" t="str">
            <v>INDOJASA CONTAINER JKT-BPP</v>
          </cell>
          <cell r="C1441" t="str">
            <v>NHD</v>
          </cell>
        </row>
        <row r="1442">
          <cell r="A1442" t="str">
            <v>BIA-EKS-0047</v>
          </cell>
          <cell r="B1442" t="str">
            <v>INDOJASA CONTAINER JKT-MDN</v>
          </cell>
          <cell r="C1442" t="str">
            <v>NHD</v>
          </cell>
        </row>
        <row r="1443">
          <cell r="A1443" t="str">
            <v>BIA-EKS-0048</v>
          </cell>
          <cell r="B1443" t="str">
            <v>INDOJASA CONTAINER JKT-MKS</v>
          </cell>
          <cell r="C1443" t="str">
            <v>NHD</v>
          </cell>
        </row>
        <row r="1444">
          <cell r="A1444" t="str">
            <v>BIA-EKS-0049</v>
          </cell>
          <cell r="B1444" t="str">
            <v>INDOJASA CONTAINER CKPA-BPP</v>
          </cell>
          <cell r="C1444" t="str">
            <v>NHD</v>
          </cell>
        </row>
        <row r="1445">
          <cell r="A1445" t="str">
            <v>BIA-EKS-0050</v>
          </cell>
          <cell r="B1445" t="str">
            <v>INDOJASA CONTAINER CKPA-MDN</v>
          </cell>
          <cell r="C1445" t="str">
            <v>NHD</v>
          </cell>
        </row>
        <row r="1446">
          <cell r="A1446" t="str">
            <v>BIA-EKS-0051</v>
          </cell>
          <cell r="B1446" t="str">
            <v>INDOJASA CONTAINER CKRA-BPP-IJM</v>
          </cell>
          <cell r="C1446" t="str">
            <v>NHD</v>
          </cell>
        </row>
        <row r="1447">
          <cell r="A1447" t="str">
            <v>BIA-EKS-0052</v>
          </cell>
          <cell r="B1447" t="str">
            <v>INDOJASA CONTAINER CKRA-MDN-IJM</v>
          </cell>
          <cell r="C1447" t="str">
            <v>NHD</v>
          </cell>
        </row>
        <row r="1448">
          <cell r="A1448" t="str">
            <v>BIA-EKS-0053</v>
          </cell>
          <cell r="B1448" t="str">
            <v>PIP WINGBOX JKT-BDG</v>
          </cell>
          <cell r="C1448" t="str">
            <v>NHD</v>
          </cell>
        </row>
        <row r="1449">
          <cell r="A1449" t="str">
            <v>BIA-EKS-0054</v>
          </cell>
          <cell r="B1449" t="str">
            <v>PIP WINGBOX JKT-SMG</v>
          </cell>
          <cell r="C1449" t="str">
            <v>NHD</v>
          </cell>
        </row>
        <row r="1450">
          <cell r="A1450" t="str">
            <v>BIA-EKS-0055</v>
          </cell>
          <cell r="B1450" t="str">
            <v>PIP WINGBOX JKT-SBY</v>
          </cell>
          <cell r="C1450" t="str">
            <v>NHD</v>
          </cell>
        </row>
        <row r="1451">
          <cell r="A1451" t="str">
            <v>BIA-EKS-0056</v>
          </cell>
          <cell r="B1451" t="str">
            <v>PIP WINGBOX CKPA-BDG</v>
          </cell>
          <cell r="C1451" t="str">
            <v>NHD</v>
          </cell>
        </row>
        <row r="1452">
          <cell r="A1452" t="str">
            <v>BIA-EKS-0057</v>
          </cell>
          <cell r="B1452" t="str">
            <v>PIP WINGBOX CKPA-SMG</v>
          </cell>
          <cell r="C1452" t="str">
            <v>NHD</v>
          </cell>
        </row>
        <row r="1453">
          <cell r="A1453" t="str">
            <v>BIA-EKS-0058</v>
          </cell>
          <cell r="B1453" t="str">
            <v>PIP WINGBOX CKPA-SBY</v>
          </cell>
          <cell r="C1453" t="str">
            <v>NHD</v>
          </cell>
        </row>
        <row r="1454">
          <cell r="A1454" t="str">
            <v>BIA-EKS-0059</v>
          </cell>
          <cell r="B1454" t="str">
            <v>PIP WINGBOX CKPA-KEBUN JERUK</v>
          </cell>
          <cell r="C1454" t="str">
            <v>NHD</v>
          </cell>
        </row>
        <row r="1455">
          <cell r="A1455" t="str">
            <v>BIA-EKS-0060</v>
          </cell>
          <cell r="B1455" t="str">
            <v>PIP WINGBOX CKPA-SUNTER</v>
          </cell>
          <cell r="C1455" t="str">
            <v>NHD</v>
          </cell>
        </row>
        <row r="1456">
          <cell r="A1456" t="str">
            <v>BIA-EKS-0061</v>
          </cell>
          <cell r="B1456" t="str">
            <v>PIP WINGBOX CKRA-BDG-IJM</v>
          </cell>
          <cell r="C1456" t="str">
            <v>NHD</v>
          </cell>
        </row>
        <row r="1457">
          <cell r="A1457" t="str">
            <v>BIA-EKS-0062</v>
          </cell>
          <cell r="B1457" t="str">
            <v>PIP WINGBOX CKRA-SMG-IJM</v>
          </cell>
          <cell r="C1457" t="str">
            <v>NHD</v>
          </cell>
        </row>
        <row r="1458">
          <cell r="A1458" t="str">
            <v>BIA-EKS-0063</v>
          </cell>
          <cell r="B1458" t="str">
            <v>PIP WINGBOX CKRA-SBY-IJM</v>
          </cell>
          <cell r="C1458" t="str">
            <v>NHD</v>
          </cell>
        </row>
        <row r="1459">
          <cell r="A1459" t="str">
            <v>BIA-EKS-0064</v>
          </cell>
          <cell r="B1459" t="str">
            <v>PIP WINGBOX CKRA-KEBUN JERUK-IJM</v>
          </cell>
          <cell r="C1459" t="str">
            <v>NHD</v>
          </cell>
        </row>
        <row r="1460">
          <cell r="A1460" t="str">
            <v>BIA-EKS-0065</v>
          </cell>
          <cell r="B1460" t="str">
            <v>PIP WINGBOX CKRA-SUNTER-IJM</v>
          </cell>
          <cell r="C1460" t="str">
            <v>NHD</v>
          </cell>
        </row>
        <row r="1461">
          <cell r="A1461" t="str">
            <v>BIA-EKS-0066</v>
          </cell>
          <cell r="B1461" t="str">
            <v>PIP WINGBOX KARA-BDG-NIJ</v>
          </cell>
          <cell r="C1461" t="str">
            <v>NHD</v>
          </cell>
        </row>
        <row r="1462">
          <cell r="A1462" t="str">
            <v>BIA-EKS-0067</v>
          </cell>
          <cell r="B1462" t="str">
            <v>PIP WINGBOX KARA-SMG-NIJ</v>
          </cell>
          <cell r="C1462" t="str">
            <v>NHD</v>
          </cell>
        </row>
        <row r="1463">
          <cell r="A1463" t="str">
            <v>BIA-EKS-0068</v>
          </cell>
          <cell r="B1463" t="str">
            <v>PIP WINGBOX KARA-SBY-NIJ</v>
          </cell>
          <cell r="C1463" t="str">
            <v>NHD</v>
          </cell>
        </row>
        <row r="1464">
          <cell r="A1464" t="str">
            <v>BIA-EKS-0069</v>
          </cell>
          <cell r="B1464" t="str">
            <v>SAKA WINGBOX JKT-BDG</v>
          </cell>
          <cell r="C1464" t="str">
            <v>NHD</v>
          </cell>
        </row>
        <row r="1465">
          <cell r="A1465" t="str">
            <v>BIA-EKS-0070</v>
          </cell>
          <cell r="B1465" t="str">
            <v>SAKA WINGBOX JKT-SMG</v>
          </cell>
          <cell r="C1465" t="str">
            <v>NHD</v>
          </cell>
        </row>
        <row r="1466">
          <cell r="A1466" t="str">
            <v>BIA-EKS-0071</v>
          </cell>
          <cell r="B1466" t="str">
            <v>SAKA WINGBOX JKT-SBY</v>
          </cell>
          <cell r="C1466" t="str">
            <v>NHD</v>
          </cell>
        </row>
        <row r="1467">
          <cell r="A1467" t="str">
            <v>BIA-EKS-0072</v>
          </cell>
          <cell r="B1467" t="str">
            <v>SAKA WINGBOX CKPA-BDG</v>
          </cell>
          <cell r="C1467" t="str">
            <v>NHD</v>
          </cell>
        </row>
        <row r="1468">
          <cell r="A1468" t="str">
            <v>BIA-EKS-0073</v>
          </cell>
          <cell r="B1468" t="str">
            <v>SAKA WINGBOX CKPA-SMG</v>
          </cell>
          <cell r="C1468" t="str">
            <v>NHD</v>
          </cell>
        </row>
        <row r="1469">
          <cell r="A1469" t="str">
            <v>BIA-EKS-0074</v>
          </cell>
          <cell r="B1469" t="str">
            <v>SAKA WINGBOX CKPA-SBY</v>
          </cell>
          <cell r="C1469" t="str">
            <v>NHD</v>
          </cell>
        </row>
        <row r="1470">
          <cell r="A1470" t="str">
            <v>BIA-EKS-0075</v>
          </cell>
          <cell r="B1470" t="str">
            <v>SAKA WINGBOX CKPA-KEBUN JERUK</v>
          </cell>
          <cell r="C1470" t="str">
            <v>NHD</v>
          </cell>
        </row>
        <row r="1471">
          <cell r="A1471" t="str">
            <v>BIA-EKS-0076</v>
          </cell>
          <cell r="B1471" t="str">
            <v>SAKA WINGBOX CKRA-BDG-IJM</v>
          </cell>
          <cell r="C1471" t="str">
            <v>NHD</v>
          </cell>
        </row>
        <row r="1472">
          <cell r="A1472" t="str">
            <v>BIA-EKS-0077</v>
          </cell>
          <cell r="B1472" t="str">
            <v>SAKA WINGBOX CKRA-SMG-IJM</v>
          </cell>
          <cell r="C1472" t="str">
            <v>NHD</v>
          </cell>
        </row>
        <row r="1473">
          <cell r="A1473" t="str">
            <v>BIA-EKS-0078</v>
          </cell>
          <cell r="B1473" t="str">
            <v>SAKA WINGBOX CKRA-SBY-IJM</v>
          </cell>
          <cell r="C1473" t="str">
            <v>NHD</v>
          </cell>
        </row>
        <row r="1474">
          <cell r="A1474" t="str">
            <v>BIA-EKS-0079</v>
          </cell>
          <cell r="B1474" t="str">
            <v>SAKA WINGBOX CKRA-KEBUN JERUK-IJM</v>
          </cell>
          <cell r="C1474" t="str">
            <v>NHD</v>
          </cell>
        </row>
        <row r="1475">
          <cell r="A1475" t="str">
            <v>BIA-EKS-0080</v>
          </cell>
          <cell r="B1475" t="str">
            <v>SAKA WINGBOX CKRA-SUNTER-IJM</v>
          </cell>
          <cell r="C1475" t="str">
            <v>NHD</v>
          </cell>
        </row>
        <row r="1476">
          <cell r="A1476" t="str">
            <v>BIA-EKS-0081</v>
          </cell>
          <cell r="B1476" t="str">
            <v>SAKA WINGBOX KARA-BDG-NIJ</v>
          </cell>
          <cell r="C1476" t="str">
            <v>NHD</v>
          </cell>
        </row>
        <row r="1477">
          <cell r="A1477" t="str">
            <v>BIA-EKS-0082</v>
          </cell>
          <cell r="B1477" t="str">
            <v>SAKA WINGBOX KARA-SMG-NIJ</v>
          </cell>
          <cell r="C1477" t="str">
            <v>NHD</v>
          </cell>
        </row>
        <row r="1478">
          <cell r="A1478" t="str">
            <v>BIA-EKS-0083</v>
          </cell>
          <cell r="B1478" t="str">
            <v>SAKA WINGBOX KARA-SBY-NIJ</v>
          </cell>
          <cell r="C1478" t="str">
            <v>NHD</v>
          </cell>
        </row>
        <row r="1479">
          <cell r="A1479" t="str">
            <v>BIA-EKS-0084</v>
          </cell>
          <cell r="B1479" t="str">
            <v>IB WINGBOX JKT-BDG</v>
          </cell>
          <cell r="C1479" t="str">
            <v>NHD</v>
          </cell>
        </row>
        <row r="1480">
          <cell r="A1480" t="str">
            <v>BIA-EKS-0085</v>
          </cell>
          <cell r="B1480" t="str">
            <v>IB WINGBOX JKT-SMG</v>
          </cell>
          <cell r="C1480" t="str">
            <v>NHD</v>
          </cell>
        </row>
        <row r="1481">
          <cell r="A1481" t="str">
            <v>BIA-EKS-0086</v>
          </cell>
          <cell r="B1481" t="str">
            <v>IB WINGBOX JKT-SBY</v>
          </cell>
          <cell r="C1481" t="str">
            <v>NHD</v>
          </cell>
        </row>
        <row r="1482">
          <cell r="A1482" t="str">
            <v>BIA-EKS-0087</v>
          </cell>
          <cell r="B1482" t="str">
            <v>IB WINGBOX CKPA-BDG</v>
          </cell>
          <cell r="C1482" t="str">
            <v>NHD</v>
          </cell>
        </row>
        <row r="1483">
          <cell r="A1483" t="str">
            <v>BIA-EKS-0088</v>
          </cell>
          <cell r="B1483" t="str">
            <v>IB WINGBOX CKPA-SMG</v>
          </cell>
          <cell r="C1483" t="str">
            <v>NHD</v>
          </cell>
        </row>
        <row r="1484">
          <cell r="A1484" t="str">
            <v>BIA-EKS-0089</v>
          </cell>
          <cell r="B1484" t="str">
            <v>IB WINGBOX CKPA-SBY</v>
          </cell>
          <cell r="C1484" t="str">
            <v>NHD</v>
          </cell>
        </row>
        <row r="1485">
          <cell r="A1485" t="str">
            <v>BIA-EKS-0090</v>
          </cell>
          <cell r="B1485" t="str">
            <v>IB WINGBOX CKPA-KEBUN JERUK</v>
          </cell>
          <cell r="C1485" t="str">
            <v>NHD</v>
          </cell>
        </row>
        <row r="1486">
          <cell r="A1486" t="str">
            <v>BIA-EKS-0091</v>
          </cell>
          <cell r="B1486" t="str">
            <v>IB WINGBOX CKPA-SUNTER</v>
          </cell>
          <cell r="C1486" t="str">
            <v>NHD</v>
          </cell>
        </row>
        <row r="1487">
          <cell r="A1487" t="str">
            <v>BIA-EKS-0092</v>
          </cell>
          <cell r="B1487" t="str">
            <v>IB WINGBOX CKRA-BDG-IJM</v>
          </cell>
          <cell r="C1487" t="str">
            <v>NHD</v>
          </cell>
        </row>
        <row r="1488">
          <cell r="A1488" t="str">
            <v>BIA-EKS-0093</v>
          </cell>
          <cell r="B1488" t="str">
            <v>IB WINGBOX CKRA-SMG-IJM</v>
          </cell>
          <cell r="C1488" t="str">
            <v>NHD</v>
          </cell>
        </row>
        <row r="1489">
          <cell r="A1489" t="str">
            <v>BIA-EKS-0094</v>
          </cell>
          <cell r="B1489" t="str">
            <v>IB WINGBOX CKRA-SBY-IJM</v>
          </cell>
          <cell r="C1489" t="str">
            <v>NHD</v>
          </cell>
        </row>
        <row r="1490">
          <cell r="A1490" t="str">
            <v>BIA-EKS-0095</v>
          </cell>
          <cell r="B1490" t="str">
            <v>IB WINGBOX CKRA-KEBUN JERUK-IJM</v>
          </cell>
          <cell r="C1490" t="str">
            <v>NHD</v>
          </cell>
        </row>
        <row r="1491">
          <cell r="A1491" t="str">
            <v>BIA-EKS-0096</v>
          </cell>
          <cell r="B1491" t="str">
            <v>IB WINGBOX CKRA-SUNTER-IJM</v>
          </cell>
          <cell r="C1491" t="str">
            <v>NHD</v>
          </cell>
        </row>
        <row r="1492">
          <cell r="A1492" t="str">
            <v>BIA-EKS-0097</v>
          </cell>
          <cell r="B1492" t="str">
            <v>IB WINGBOX KARA-BDG-NIJ</v>
          </cell>
          <cell r="C1492" t="str">
            <v>NHD</v>
          </cell>
        </row>
        <row r="1493">
          <cell r="A1493" t="str">
            <v>BIA-EKS-0098</v>
          </cell>
          <cell r="B1493" t="str">
            <v>IB WINGBOX KARA-SMG-NIJ</v>
          </cell>
          <cell r="C1493" t="str">
            <v>NHD</v>
          </cell>
        </row>
        <row r="1494">
          <cell r="A1494" t="str">
            <v>BIA-EKS-0099</v>
          </cell>
          <cell r="B1494" t="str">
            <v>IB WINGBOX KARA-SBY-NIJ</v>
          </cell>
          <cell r="C1494" t="str">
            <v>NHD</v>
          </cell>
        </row>
        <row r="1495">
          <cell r="A1495" t="str">
            <v>BIA-EKS-0100</v>
          </cell>
          <cell r="B1495" t="str">
            <v>MTI CDD JKT-BDG</v>
          </cell>
          <cell r="C1495" t="str">
            <v>NHD</v>
          </cell>
        </row>
        <row r="1496">
          <cell r="A1496" t="str">
            <v>BIA-EKS-0101</v>
          </cell>
          <cell r="B1496" t="str">
            <v>MTI CDD JKT-PULO GADUNG</v>
          </cell>
          <cell r="C1496" t="str">
            <v>NHD</v>
          </cell>
        </row>
        <row r="1497">
          <cell r="A1497" t="str">
            <v>BIA-EKS-0102</v>
          </cell>
          <cell r="B1497" t="str">
            <v>MTI CDD CKPA-BDG</v>
          </cell>
          <cell r="C1497" t="str">
            <v>NHD</v>
          </cell>
        </row>
        <row r="1498">
          <cell r="A1498" t="str">
            <v>BIA-EKS-0103</v>
          </cell>
          <cell r="B1498" t="str">
            <v>MTI CDD CKPA-KEBUN JERUK</v>
          </cell>
          <cell r="C1498" t="str">
            <v>NHD</v>
          </cell>
        </row>
        <row r="1499">
          <cell r="A1499" t="str">
            <v>BIA-EKS-0104</v>
          </cell>
          <cell r="B1499" t="str">
            <v>MTI CDD CKRA-BDG-IJM</v>
          </cell>
          <cell r="C1499" t="str">
            <v>NHD</v>
          </cell>
        </row>
        <row r="1500">
          <cell r="A1500" t="str">
            <v>BIA-EKS-0105</v>
          </cell>
          <cell r="B1500" t="str">
            <v>MTI CDD CKRA-SBY-IJM</v>
          </cell>
          <cell r="C1500" t="str">
            <v>NHD</v>
          </cell>
        </row>
        <row r="1501">
          <cell r="A1501" t="str">
            <v>BIA-EKS-0106</v>
          </cell>
          <cell r="B1501" t="str">
            <v>MTI WINGBOX JKT-BDG</v>
          </cell>
          <cell r="C1501" t="str">
            <v>NHD</v>
          </cell>
        </row>
        <row r="1502">
          <cell r="A1502" t="str">
            <v>BIA-EKS-0107</v>
          </cell>
          <cell r="B1502" t="str">
            <v>MTI WINGBOX JKT-SBY</v>
          </cell>
          <cell r="C1502" t="str">
            <v>NHD</v>
          </cell>
        </row>
        <row r="1503">
          <cell r="A1503" t="str">
            <v>BIA-EKS-0108</v>
          </cell>
          <cell r="B1503" t="str">
            <v>MTI WINGBOX CKPA-BDG</v>
          </cell>
          <cell r="C1503" t="str">
            <v>NHD</v>
          </cell>
        </row>
        <row r="1504">
          <cell r="A1504" t="str">
            <v>BIA-EKS-0109</v>
          </cell>
          <cell r="B1504" t="str">
            <v>MTI WINGBOX CKPA-SBY</v>
          </cell>
          <cell r="C1504" t="str">
            <v>NHD</v>
          </cell>
        </row>
        <row r="1505">
          <cell r="A1505" t="str">
            <v>BIA-EKS-0110</v>
          </cell>
          <cell r="B1505" t="str">
            <v>MTI WINGBOX CKPA-KEBUN JERUK</v>
          </cell>
          <cell r="C1505" t="str">
            <v>NHD</v>
          </cell>
        </row>
        <row r="1506">
          <cell r="A1506" t="str">
            <v>BIA-EKS-0111</v>
          </cell>
          <cell r="B1506" t="str">
            <v>MTI WINGBOX CKPA-SUNTER</v>
          </cell>
          <cell r="C1506" t="str">
            <v>NHD</v>
          </cell>
        </row>
        <row r="1507">
          <cell r="A1507" t="str">
            <v>BIA-EKS-0112</v>
          </cell>
          <cell r="B1507" t="str">
            <v>MTI WINGBOX CKRA-BDG-IJM</v>
          </cell>
          <cell r="C1507" t="str">
            <v>NHD</v>
          </cell>
        </row>
        <row r="1508">
          <cell r="A1508" t="str">
            <v>BIA-EKS-0113</v>
          </cell>
          <cell r="B1508" t="str">
            <v>MTI WINGBOX CKRA-SBY-IJM</v>
          </cell>
          <cell r="C1508" t="str">
            <v>NHD</v>
          </cell>
        </row>
        <row r="1509">
          <cell r="A1509" t="str">
            <v>BIA-EKS-0114</v>
          </cell>
          <cell r="B1509" t="str">
            <v>MTI WINGBOX CKRA-KEBUN JERUK-IJM</v>
          </cell>
          <cell r="C1509" t="str">
            <v>NHD</v>
          </cell>
        </row>
        <row r="1510">
          <cell r="A1510" t="str">
            <v>BIA-EKS-0115</v>
          </cell>
          <cell r="B1510" t="str">
            <v>MTI WINGBOX CKRA-SUNTER-IJM</v>
          </cell>
          <cell r="C1510" t="str">
            <v>NHD</v>
          </cell>
        </row>
        <row r="1511">
          <cell r="A1511" t="str">
            <v>BIA-EKS-0116</v>
          </cell>
          <cell r="B1511" t="str">
            <v>MTI WINGBOX KARA-BDG-NIJ</v>
          </cell>
          <cell r="C1511" t="str">
            <v>NHD</v>
          </cell>
        </row>
        <row r="1512">
          <cell r="A1512" t="str">
            <v>BIA-EKS-0117</v>
          </cell>
          <cell r="B1512" t="str">
            <v>MTI WINGBOX KARA-SBY-NIJ</v>
          </cell>
          <cell r="C1512" t="str">
            <v>NHD</v>
          </cell>
        </row>
        <row r="1513">
          <cell r="A1513" t="str">
            <v>BIA-EKS-0118</v>
          </cell>
          <cell r="B1513" t="str">
            <v>MOSTRANS CDD JKT-PWK</v>
          </cell>
          <cell r="C1513" t="str">
            <v>NHD</v>
          </cell>
        </row>
        <row r="1514">
          <cell r="A1514" t="str">
            <v>BIA-EKS-0119</v>
          </cell>
          <cell r="B1514" t="str">
            <v>MOSTRANS CDD JKT-BDG</v>
          </cell>
          <cell r="C1514" t="str">
            <v>NHD</v>
          </cell>
        </row>
        <row r="1515">
          <cell r="A1515" t="str">
            <v>BIA-EKS-0120</v>
          </cell>
          <cell r="B1515" t="str">
            <v>MOSTRANS CDD JKT-SMG</v>
          </cell>
          <cell r="C1515" t="str">
            <v>NHD</v>
          </cell>
        </row>
        <row r="1516">
          <cell r="A1516" t="str">
            <v>BIA-EKS-0121</v>
          </cell>
          <cell r="B1516" t="str">
            <v>MOSTRANS CDD JKT-SBY</v>
          </cell>
          <cell r="C1516" t="str">
            <v>NHD</v>
          </cell>
        </row>
        <row r="1517">
          <cell r="A1517" t="str">
            <v>BIA-EKS-0122</v>
          </cell>
          <cell r="B1517" t="str">
            <v>MOSTRANS CDD JKT-LPG</v>
          </cell>
          <cell r="C1517" t="str">
            <v>NHD</v>
          </cell>
        </row>
        <row r="1518">
          <cell r="A1518" t="str">
            <v>BIA-EKS-0123</v>
          </cell>
          <cell r="B1518" t="str">
            <v>MOSTRANS CDD JKT-PADANG</v>
          </cell>
          <cell r="C1518" t="str">
            <v>NHD</v>
          </cell>
        </row>
        <row r="1519">
          <cell r="A1519" t="str">
            <v>BIA-EKS-0124</v>
          </cell>
          <cell r="B1519" t="str">
            <v>MOSTRANS CDD JKT-PAL PRABUMULIH BATURAJA</v>
          </cell>
          <cell r="C1519" t="str">
            <v>NHD</v>
          </cell>
        </row>
        <row r="1520">
          <cell r="A1520" t="str">
            <v>BIA-EKS-0125</v>
          </cell>
          <cell r="B1520" t="str">
            <v>MOSTRANS CDD JKT-RS PRABUMULIH</v>
          </cell>
          <cell r="C1520" t="str">
            <v>NHD</v>
          </cell>
        </row>
        <row r="1521">
          <cell r="A1521" t="str">
            <v>BIA-EKS-0126</v>
          </cell>
          <cell r="B1521" t="str">
            <v>MOSTRANS CDD JKT-PULO GADUNG</v>
          </cell>
          <cell r="C1521" t="str">
            <v>NHD</v>
          </cell>
        </row>
        <row r="1522">
          <cell r="A1522" t="str">
            <v>BIA-EKS-0127</v>
          </cell>
          <cell r="B1522" t="str">
            <v>MOSTRANS CDD CKPA-PWK</v>
          </cell>
          <cell r="C1522" t="str">
            <v>NHD</v>
          </cell>
        </row>
        <row r="1523">
          <cell r="A1523" t="str">
            <v>BIA-EKS-0128</v>
          </cell>
          <cell r="B1523" t="str">
            <v>MOSTRANS CDD CKPA-BDG</v>
          </cell>
          <cell r="C1523" t="str">
            <v>NHD</v>
          </cell>
        </row>
        <row r="1524">
          <cell r="A1524" t="str">
            <v>BIA-EKS-0129</v>
          </cell>
          <cell r="B1524" t="str">
            <v>MOSTRANS CDD CKPA-SMG</v>
          </cell>
          <cell r="C1524" t="str">
            <v>NHD</v>
          </cell>
        </row>
        <row r="1525">
          <cell r="A1525" t="str">
            <v>BIA-EKS-0130</v>
          </cell>
          <cell r="B1525" t="str">
            <v>MOSTRANS CDD CKPA-SBY</v>
          </cell>
          <cell r="C1525" t="str">
            <v>NHD</v>
          </cell>
        </row>
        <row r="1526">
          <cell r="A1526" t="str">
            <v>BIA-EKS-0131</v>
          </cell>
          <cell r="B1526" t="str">
            <v>MOSTRANS CDD CKPA-LPG</v>
          </cell>
          <cell r="C1526" t="str">
            <v>NHD</v>
          </cell>
        </row>
        <row r="1527">
          <cell r="A1527" t="str">
            <v>BIA-EKS-0132</v>
          </cell>
          <cell r="B1527" t="str">
            <v>MOSTRANS CDD CKPA-SUNTER</v>
          </cell>
          <cell r="C1527" t="str">
            <v>NHD</v>
          </cell>
        </row>
        <row r="1528">
          <cell r="A1528" t="str">
            <v>BIA-EKS-0133</v>
          </cell>
          <cell r="B1528" t="str">
            <v>MOSTRANS CDD CKRA-PWK</v>
          </cell>
          <cell r="C1528" t="str">
            <v>NHD</v>
          </cell>
        </row>
        <row r="1529">
          <cell r="A1529" t="str">
            <v>BIA-EKS-0134</v>
          </cell>
          <cell r="B1529" t="str">
            <v>MOSTRANS CDD CKRA-BDG-IJM</v>
          </cell>
          <cell r="C1529" t="str">
            <v>NHD</v>
          </cell>
        </row>
        <row r="1530">
          <cell r="A1530" t="str">
            <v>BIA-EKS-0135</v>
          </cell>
          <cell r="B1530" t="str">
            <v>MOSTRANS CDD CKRA-SMG-IJM</v>
          </cell>
          <cell r="C1530" t="str">
            <v>NHD</v>
          </cell>
        </row>
        <row r="1531">
          <cell r="A1531" t="str">
            <v>BIA-EKS-0136</v>
          </cell>
          <cell r="B1531" t="str">
            <v>MOSTRANS CDD CKRA-SBY-IJM</v>
          </cell>
          <cell r="C1531" t="str">
            <v>NHD</v>
          </cell>
        </row>
        <row r="1532">
          <cell r="A1532" t="str">
            <v>BIA-EKS-0137</v>
          </cell>
          <cell r="B1532" t="str">
            <v>MOSTRANS CDD CKRA-KEBUN JERUK-IJM</v>
          </cell>
          <cell r="C1532" t="str">
            <v>NHD</v>
          </cell>
        </row>
        <row r="1533">
          <cell r="A1533" t="str">
            <v>BIA-EKS-0138</v>
          </cell>
          <cell r="B1533" t="str">
            <v>MOSTRANS CDD CKRA-SUNTER-IJM</v>
          </cell>
          <cell r="C1533" t="str">
            <v>NHD</v>
          </cell>
        </row>
        <row r="1534">
          <cell r="A1534" t="str">
            <v>BIA-EKS-0139</v>
          </cell>
          <cell r="B1534" t="str">
            <v>MOSTRANS CDD KARA-BDG-NIJ</v>
          </cell>
          <cell r="C1534" t="str">
            <v>NHD</v>
          </cell>
        </row>
        <row r="1535">
          <cell r="A1535" t="str">
            <v>BIA-EKS-0140</v>
          </cell>
          <cell r="B1535" t="str">
            <v>MOSTRANS CDD KARA-SMG-NIJ</v>
          </cell>
          <cell r="C1535" t="str">
            <v>NHD</v>
          </cell>
        </row>
        <row r="1536">
          <cell r="A1536" t="str">
            <v>BIA-EKS-0141</v>
          </cell>
          <cell r="B1536" t="str">
            <v>MOSTRANS CDD KARA-SBY-NIJ</v>
          </cell>
          <cell r="C1536" t="str">
            <v>NHD</v>
          </cell>
        </row>
        <row r="1537">
          <cell r="A1537" t="str">
            <v>BIA-EKS-0142</v>
          </cell>
          <cell r="B1537" t="str">
            <v>MOSTRANS FUSO JKT-LPG</v>
          </cell>
          <cell r="C1537" t="str">
            <v>NHD</v>
          </cell>
        </row>
        <row r="1538">
          <cell r="A1538" t="str">
            <v>BIA-EKS-0143</v>
          </cell>
          <cell r="B1538" t="str">
            <v>MOSTRANS FUSO JKT-PADANG</v>
          </cell>
          <cell r="C1538" t="str">
            <v>NHD</v>
          </cell>
        </row>
        <row r="1539">
          <cell r="A1539" t="str">
            <v>BIA-EKS-0144</v>
          </cell>
          <cell r="B1539" t="str">
            <v>MOSTRANS FUSO JKT-PAL PRABUMULIH BATURAJA</v>
          </cell>
          <cell r="C1539" t="str">
            <v>NHD</v>
          </cell>
        </row>
        <row r="1540">
          <cell r="A1540" t="str">
            <v>BIA-EKS-0145</v>
          </cell>
          <cell r="B1540" t="str">
            <v>MOSTRANS FUSO JKT-JAMBI</v>
          </cell>
          <cell r="C1540" t="str">
            <v>NHD</v>
          </cell>
        </row>
        <row r="1541">
          <cell r="A1541" t="str">
            <v>BIA-EKS-0146</v>
          </cell>
          <cell r="B1541" t="str">
            <v>MOSTRANS FUSO CKPA-LPG</v>
          </cell>
          <cell r="C1541" t="str">
            <v>NHD</v>
          </cell>
        </row>
        <row r="1542">
          <cell r="A1542" t="str">
            <v>BIA-EKS-0147</v>
          </cell>
          <cell r="B1542" t="str">
            <v>MOSTRANS FUSO CKRA-PAL PRABUMULIH BATURAJA-IJM</v>
          </cell>
          <cell r="C1542" t="str">
            <v>NHD</v>
          </cell>
        </row>
        <row r="1543">
          <cell r="A1543" t="str">
            <v>BIA-EKS-0148</v>
          </cell>
          <cell r="B1543" t="str">
            <v>MOSTRANS FUSO CKRA-PADANG-IJM</v>
          </cell>
          <cell r="C1543" t="str">
            <v>NHD</v>
          </cell>
        </row>
        <row r="1544">
          <cell r="A1544" t="str">
            <v>BIA-EKS-0149</v>
          </cell>
          <cell r="B1544" t="str">
            <v>MOSTRANS FUSO CKRA-JAMBI-IJM</v>
          </cell>
          <cell r="C1544" t="str">
            <v>NHD</v>
          </cell>
        </row>
        <row r="1545">
          <cell r="A1545" t="str">
            <v>BIA-EKS-0150</v>
          </cell>
          <cell r="B1545" t="str">
            <v>MOSTRANS FUSO CKRA-LPG-IJM</v>
          </cell>
          <cell r="C1545" t="str">
            <v>NHD</v>
          </cell>
        </row>
        <row r="1546">
          <cell r="A1546" t="str">
            <v>BIA-EKS-0151</v>
          </cell>
          <cell r="B1546" t="str">
            <v>MOSTRANS WINGBOX JKT-PWK</v>
          </cell>
          <cell r="C1546" t="str">
            <v>NHD</v>
          </cell>
        </row>
        <row r="1547">
          <cell r="A1547" t="str">
            <v>BIA-EKS-0152</v>
          </cell>
          <cell r="B1547" t="str">
            <v>MOSTRANS WINGBOX JKT-BDG</v>
          </cell>
          <cell r="C1547" t="str">
            <v>NHD</v>
          </cell>
        </row>
        <row r="1548">
          <cell r="A1548" t="str">
            <v>BIA-EKS-0153</v>
          </cell>
          <cell r="B1548" t="str">
            <v>MOSTRANS WINGBOX JKT-SMG</v>
          </cell>
          <cell r="C1548" t="str">
            <v>NHD</v>
          </cell>
        </row>
        <row r="1549">
          <cell r="A1549" t="str">
            <v>BIA-EKS-0154</v>
          </cell>
          <cell r="B1549" t="str">
            <v>MOSTRANS WINGBOX JKT-SBY</v>
          </cell>
          <cell r="C1549" t="str">
            <v>NHD</v>
          </cell>
        </row>
        <row r="1550">
          <cell r="A1550" t="str">
            <v>BIA-EKS-0155</v>
          </cell>
          <cell r="B1550" t="str">
            <v>MOSTRANS WINGBOX JKT-LPG</v>
          </cell>
          <cell r="C1550" t="str">
            <v>NHD</v>
          </cell>
        </row>
        <row r="1551">
          <cell r="A1551" t="str">
            <v>BIA-EKS-0156</v>
          </cell>
          <cell r="B1551" t="str">
            <v>MOSTRANS WINGBOX JKT-PADANG</v>
          </cell>
          <cell r="C1551" t="str">
            <v>NHD</v>
          </cell>
        </row>
        <row r="1552">
          <cell r="A1552" t="str">
            <v>BIA-EKS-0157</v>
          </cell>
          <cell r="B1552" t="str">
            <v>MOSTRANS WINGBOX JKT-PAL PRABUMULIH BATURAJA</v>
          </cell>
          <cell r="C1552" t="str">
            <v>NHD</v>
          </cell>
        </row>
        <row r="1553">
          <cell r="A1553" t="str">
            <v>BIA-EKS-0158</v>
          </cell>
          <cell r="B1553" t="str">
            <v>MOSTRANS WINGBOX JKT-PADANG</v>
          </cell>
          <cell r="C1553" t="str">
            <v>NHD</v>
          </cell>
        </row>
        <row r="1554">
          <cell r="A1554" t="str">
            <v>BIA-EKS-0159</v>
          </cell>
          <cell r="B1554" t="str">
            <v>MOSTRANS WINGBOX JKT-PULO GADUNG</v>
          </cell>
          <cell r="C1554" t="str">
            <v>NHD</v>
          </cell>
        </row>
        <row r="1555">
          <cell r="A1555" t="str">
            <v>BIA-EKS-0160</v>
          </cell>
          <cell r="B1555" t="str">
            <v>MOSTRANS WINGBOX CKPA-PWK</v>
          </cell>
          <cell r="C1555" t="str">
            <v>NHD</v>
          </cell>
        </row>
        <row r="1556">
          <cell r="A1556" t="str">
            <v>BIA-EKS-0161</v>
          </cell>
          <cell r="B1556" t="str">
            <v>MOSTRANS WINGBOX CKPA-BDG</v>
          </cell>
          <cell r="C1556" t="str">
            <v>NHD</v>
          </cell>
        </row>
        <row r="1557">
          <cell r="A1557" t="str">
            <v>BIA-EKS-0162</v>
          </cell>
          <cell r="B1557" t="str">
            <v>MOSTRANS WINGBOX CKPA-SMG</v>
          </cell>
          <cell r="C1557" t="str">
            <v>NHD</v>
          </cell>
        </row>
        <row r="1558">
          <cell r="A1558" t="str">
            <v>BIA-EKS-0163</v>
          </cell>
          <cell r="B1558" t="str">
            <v>MOSTRANS WINGBOX CKPA-SBY</v>
          </cell>
          <cell r="C1558" t="str">
            <v>NHD</v>
          </cell>
        </row>
        <row r="1559">
          <cell r="A1559" t="str">
            <v>BIA-EKS-0164</v>
          </cell>
          <cell r="B1559" t="str">
            <v>MOSTRANS WINGBOX CKPA-LPG</v>
          </cell>
          <cell r="C1559" t="str">
            <v>NHD</v>
          </cell>
        </row>
        <row r="1560">
          <cell r="A1560" t="str">
            <v>BIA-EKS-0165</v>
          </cell>
          <cell r="B1560" t="str">
            <v>MOSTRANS WINGBOX CKPA-KEBUN JERUK</v>
          </cell>
          <cell r="C1560" t="str">
            <v>NHD</v>
          </cell>
        </row>
        <row r="1561">
          <cell r="A1561" t="str">
            <v>BIA-EKS-0166</v>
          </cell>
          <cell r="B1561" t="str">
            <v>MOSTRANS WINGBOX CKPA-SUNTER</v>
          </cell>
          <cell r="C1561" t="str">
            <v>NHD</v>
          </cell>
        </row>
        <row r="1562">
          <cell r="A1562" t="str">
            <v>BIA-EKS-0167</v>
          </cell>
          <cell r="B1562" t="str">
            <v>MOSTRANS WINGBOX CKRA-PWK-IJM</v>
          </cell>
          <cell r="C1562" t="str">
            <v>NHD</v>
          </cell>
        </row>
        <row r="1563">
          <cell r="A1563" t="str">
            <v>BIA-EKS-0168</v>
          </cell>
          <cell r="B1563" t="str">
            <v>MOSTRANS WINGBOX CKRA-BDG-IJM</v>
          </cell>
          <cell r="C1563" t="str">
            <v>NHD</v>
          </cell>
        </row>
        <row r="1564">
          <cell r="A1564" t="str">
            <v>BIA-EKS-0169</v>
          </cell>
          <cell r="B1564" t="str">
            <v>MOSTRANS WINGBOX CKRA-SMG-IJM</v>
          </cell>
          <cell r="C1564" t="str">
            <v>NHD</v>
          </cell>
        </row>
        <row r="1565">
          <cell r="A1565" t="str">
            <v>BIA-EKS-0170</v>
          </cell>
          <cell r="B1565" t="str">
            <v>MOSTRANS WINGBOX CKRA-SBY-IJM</v>
          </cell>
          <cell r="C1565" t="str">
            <v>NHD</v>
          </cell>
        </row>
        <row r="1566">
          <cell r="A1566" t="str">
            <v>BIA-EKS-0171</v>
          </cell>
          <cell r="B1566" t="str">
            <v>MOSTRANS WINGBOX CKRA-LPG-IJM</v>
          </cell>
          <cell r="C1566" t="str">
            <v>NHD</v>
          </cell>
        </row>
        <row r="1567">
          <cell r="A1567" t="str">
            <v>BIA-EKS-0172</v>
          </cell>
          <cell r="B1567" t="str">
            <v>MOSTRANS WINGBOX CKRA-KEBUN JERUK-IJM</v>
          </cell>
          <cell r="C1567" t="str">
            <v>NHD</v>
          </cell>
        </row>
        <row r="1568">
          <cell r="A1568" t="str">
            <v>BIA-EKS-0173</v>
          </cell>
          <cell r="B1568" t="str">
            <v>MOSTRANS WINGBOX CKRA-SUNTER-IJM</v>
          </cell>
          <cell r="C1568" t="str">
            <v>NHD</v>
          </cell>
        </row>
        <row r="1569">
          <cell r="A1569" t="str">
            <v>BIA-EKS-0174</v>
          </cell>
          <cell r="B1569" t="str">
            <v>MOSTRANS WINGBOX KARA-BDG-NIJ</v>
          </cell>
          <cell r="C1569" t="str">
            <v>NHD</v>
          </cell>
        </row>
        <row r="1570">
          <cell r="A1570" t="str">
            <v>BIA-EKS-0175</v>
          </cell>
          <cell r="B1570" t="str">
            <v>MOSTRANS WINGBOX KARA-SMG-NIJ</v>
          </cell>
          <cell r="C1570" t="str">
            <v>NHD</v>
          </cell>
        </row>
        <row r="1571">
          <cell r="A1571" t="str">
            <v>BIA-EKS-0176</v>
          </cell>
          <cell r="B1571" t="str">
            <v>MOSTRANS WINGBOX KARA-SBY-NIJ</v>
          </cell>
          <cell r="C1571" t="str">
            <v>NHD</v>
          </cell>
        </row>
        <row r="1572">
          <cell r="A1572" t="str">
            <v>BIA-EKS-0177</v>
          </cell>
          <cell r="B1572" t="str">
            <v>PIP CDD SMG-DALAM SEMARANG</v>
          </cell>
          <cell r="C1572" t="str">
            <v>NHD</v>
          </cell>
        </row>
        <row r="1573">
          <cell r="A1573" t="str">
            <v>BIA-EKS-0178</v>
          </cell>
          <cell r="B1573" t="str">
            <v>PIP CDD SMG-SALATIGA</v>
          </cell>
          <cell r="C1573" t="str">
            <v>NHD</v>
          </cell>
        </row>
        <row r="1574">
          <cell r="A1574" t="str">
            <v>BIA-EKS-0179</v>
          </cell>
          <cell r="B1574" t="str">
            <v>PIP CDD SMG-PURWODADI</v>
          </cell>
          <cell r="C1574" t="str">
            <v>NHD</v>
          </cell>
        </row>
        <row r="1575">
          <cell r="A1575" t="str">
            <v>BIA-EKS-0180</v>
          </cell>
          <cell r="B1575" t="str">
            <v>PIP CDD SMG-KUDUS</v>
          </cell>
          <cell r="C1575" t="str">
            <v>NHD</v>
          </cell>
        </row>
        <row r="1576">
          <cell r="A1576" t="str">
            <v>BIA-EKS-0181</v>
          </cell>
          <cell r="B1576" t="str">
            <v>PIP CDD SMG-PATI</v>
          </cell>
          <cell r="C1576" t="str">
            <v>NHD</v>
          </cell>
        </row>
        <row r="1577">
          <cell r="A1577" t="str">
            <v>BIA-EKS-0182</v>
          </cell>
          <cell r="B1577" t="str">
            <v>PIP CDD SMG-DEMAK</v>
          </cell>
          <cell r="C1577" t="str">
            <v>NHD</v>
          </cell>
        </row>
        <row r="1578">
          <cell r="A1578" t="str">
            <v>BIA-EKS-0183</v>
          </cell>
          <cell r="B1578" t="str">
            <v>PIP CDD SMG-AMBARAWA</v>
          </cell>
          <cell r="C1578" t="str">
            <v>NHD</v>
          </cell>
        </row>
        <row r="1579">
          <cell r="A1579" t="str">
            <v>BIA-EKS-0184</v>
          </cell>
          <cell r="B1579" t="str">
            <v>PIP CDD SMG-JEPARA</v>
          </cell>
          <cell r="C1579" t="str">
            <v>NHD</v>
          </cell>
        </row>
        <row r="1580">
          <cell r="A1580" t="str">
            <v>BIA-EKS-0185</v>
          </cell>
          <cell r="B1580" t="str">
            <v>PIP CDD SMG-MAGELANG</v>
          </cell>
          <cell r="C1580" t="str">
            <v>NHD</v>
          </cell>
        </row>
        <row r="1581">
          <cell r="A1581" t="str">
            <v>BIA-EKS-0186</v>
          </cell>
          <cell r="B1581" t="str">
            <v>PIP CDD SMG-TEMANGGUNG</v>
          </cell>
          <cell r="C1581" t="str">
            <v>NHD</v>
          </cell>
        </row>
        <row r="1582">
          <cell r="A1582" t="str">
            <v>BIA-EKS-0187</v>
          </cell>
          <cell r="B1582" t="str">
            <v>PIP CDD SMG-KLATEN</v>
          </cell>
          <cell r="C1582" t="str">
            <v>NHD</v>
          </cell>
        </row>
        <row r="1583">
          <cell r="A1583" t="str">
            <v>BIA-EKS-0188</v>
          </cell>
          <cell r="B1583" t="str">
            <v>PIP CDD SMG-KELET</v>
          </cell>
          <cell r="C1583" t="str">
            <v>NHD</v>
          </cell>
        </row>
        <row r="1584">
          <cell r="A1584" t="str">
            <v>BIA-EKS-0189</v>
          </cell>
          <cell r="B1584" t="str">
            <v>PIP CDD SMG-SURAKARTA/SOLO</v>
          </cell>
          <cell r="C1584" t="str">
            <v>NHD</v>
          </cell>
        </row>
        <row r="1585">
          <cell r="A1585" t="str">
            <v>BIA-EKS-0190</v>
          </cell>
          <cell r="B1585" t="str">
            <v>PIP CDD SMG-SUKOHARJO</v>
          </cell>
          <cell r="C1585" t="str">
            <v>NHD</v>
          </cell>
        </row>
        <row r="1586">
          <cell r="A1586" t="str">
            <v>BIA-EKS-0191</v>
          </cell>
          <cell r="B1586" t="str">
            <v>PIP CDD SMG-WONOSOBO</v>
          </cell>
          <cell r="C1586" t="str">
            <v>NHD</v>
          </cell>
        </row>
        <row r="1587">
          <cell r="A1587" t="str">
            <v>BIA-EKS-0192</v>
          </cell>
          <cell r="B1587" t="str">
            <v>PIP CDD SMG-YOGYAKARTA</v>
          </cell>
          <cell r="C1587" t="str">
            <v>NHD</v>
          </cell>
        </row>
        <row r="1588">
          <cell r="A1588" t="str">
            <v>BIA-EKS-0193</v>
          </cell>
          <cell r="B1588" t="str">
            <v>PIP CDD SMG-BANTUL</v>
          </cell>
          <cell r="C1588" t="str">
            <v>NHD</v>
          </cell>
        </row>
        <row r="1589">
          <cell r="A1589" t="str">
            <v>BIA-EKS-0194</v>
          </cell>
          <cell r="B1589" t="str">
            <v>PIP CDD SMG-WONOGIRI</v>
          </cell>
          <cell r="C1589" t="str">
            <v>NHD</v>
          </cell>
        </row>
        <row r="1590">
          <cell r="A1590" t="str">
            <v>BIA-EKS-0195</v>
          </cell>
          <cell r="B1590" t="str">
            <v>PIP CDD SMG-SRAGEN</v>
          </cell>
          <cell r="C1590" t="str">
            <v>NHD</v>
          </cell>
        </row>
        <row r="1591">
          <cell r="A1591" t="str">
            <v>BIA-EKS-0196</v>
          </cell>
          <cell r="B1591" t="str">
            <v>PIP CDD SMG-REMBANG</v>
          </cell>
          <cell r="C1591" t="str">
            <v>NHD</v>
          </cell>
        </row>
        <row r="1592">
          <cell r="A1592" t="str">
            <v>BIA-EKS-0197</v>
          </cell>
          <cell r="B1592" t="str">
            <v>PIP CDD SMG-PEMALANG</v>
          </cell>
          <cell r="C1592" t="str">
            <v>NHD</v>
          </cell>
        </row>
        <row r="1593">
          <cell r="A1593" t="str">
            <v>BIA-EKS-0198</v>
          </cell>
          <cell r="B1593" t="str">
            <v>PIP CDD SMG-WONOSARI</v>
          </cell>
          <cell r="C1593" t="str">
            <v>NHD</v>
          </cell>
        </row>
        <row r="1594">
          <cell r="A1594" t="str">
            <v>BIA-EKS-0199</v>
          </cell>
          <cell r="B1594" t="str">
            <v>PIP CDD SMG-BLORA</v>
          </cell>
          <cell r="C1594" t="str">
            <v>NHD</v>
          </cell>
        </row>
        <row r="1595">
          <cell r="A1595" t="str">
            <v>BIA-EKS-0200</v>
          </cell>
          <cell r="B1595" t="str">
            <v>PIP CDD SMG-TEGAL</v>
          </cell>
          <cell r="C1595" t="str">
            <v>NHD</v>
          </cell>
        </row>
        <row r="1596">
          <cell r="A1596" t="str">
            <v>BIA-EKS-0201</v>
          </cell>
          <cell r="B1596" t="str">
            <v>PIP CDD SMG-SLAWI</v>
          </cell>
          <cell r="C1596" t="str">
            <v>NHD</v>
          </cell>
        </row>
        <row r="1597">
          <cell r="A1597" t="str">
            <v>BIA-EKS-0202</v>
          </cell>
          <cell r="B1597" t="str">
            <v>PIP CDD SMG-PURWOKERTO</v>
          </cell>
          <cell r="C1597" t="str">
            <v>NHD</v>
          </cell>
        </row>
        <row r="1598">
          <cell r="A1598" t="str">
            <v>BIA-EKS-0203</v>
          </cell>
          <cell r="B1598" t="str">
            <v>PIP CDD SMG-BATANG</v>
          </cell>
          <cell r="C1598" t="str">
            <v>NHD</v>
          </cell>
        </row>
        <row r="1599">
          <cell r="A1599" t="str">
            <v>BIA-EKS-0204</v>
          </cell>
          <cell r="B1599" t="str">
            <v>PIP CDD SMG-PRACIMANTORO</v>
          </cell>
          <cell r="C1599" t="str">
            <v>NHD</v>
          </cell>
        </row>
        <row r="1600">
          <cell r="A1600" t="str">
            <v>BIA-EKS-0205</v>
          </cell>
          <cell r="B1600" t="str">
            <v>PIP CDD SMG-UNGARAN</v>
          </cell>
          <cell r="C1600" t="str">
            <v>NHD</v>
          </cell>
        </row>
        <row r="1601">
          <cell r="A1601" t="str">
            <v>BIA-EKS-0206</v>
          </cell>
          <cell r="B1601" t="str">
            <v>PIP CDD SMG-BAWEN</v>
          </cell>
          <cell r="C1601" t="str">
            <v>NHD</v>
          </cell>
        </row>
        <row r="1602">
          <cell r="A1602" t="str">
            <v>BIA-EKS-0207</v>
          </cell>
          <cell r="B1602" t="str">
            <v>PIP CDD SMG-WATES KULON PROGO</v>
          </cell>
          <cell r="C1602" t="str">
            <v>NHD</v>
          </cell>
        </row>
        <row r="1603">
          <cell r="A1603" t="str">
            <v>BIA-EKS-0208</v>
          </cell>
          <cell r="B1603" t="str">
            <v>PIP CDD SMG-PEKALONGAN</v>
          </cell>
          <cell r="C1603" t="str">
            <v>NHD</v>
          </cell>
        </row>
        <row r="1604">
          <cell r="A1604" t="str">
            <v>BIA-EKS-0209</v>
          </cell>
          <cell r="B1604" t="str">
            <v>PIP CDD SMG-PEKAJANGAN</v>
          </cell>
          <cell r="C1604" t="str">
            <v>NHD</v>
          </cell>
        </row>
        <row r="1605">
          <cell r="A1605" t="str">
            <v>BIA-EKS-0210</v>
          </cell>
          <cell r="B1605" t="str">
            <v>PIP CDD SMG-BANJARNEGARA</v>
          </cell>
          <cell r="C1605" t="str">
            <v>NHD</v>
          </cell>
        </row>
        <row r="1606">
          <cell r="A1606" t="str">
            <v>BIA-EKS-0211</v>
          </cell>
          <cell r="B1606" t="str">
            <v>PIP CDD SMG-PURBALINGGA</v>
          </cell>
          <cell r="C1606" t="str">
            <v>NHD</v>
          </cell>
        </row>
        <row r="1607">
          <cell r="A1607" t="str">
            <v>BIA-EKS-0212</v>
          </cell>
          <cell r="B1607" t="str">
            <v>PIP CDD SMG-CILACAP</v>
          </cell>
          <cell r="C1607" t="str">
            <v>NHD</v>
          </cell>
        </row>
        <row r="1608">
          <cell r="A1608" t="str">
            <v>BIA-EKS-0213</v>
          </cell>
          <cell r="B1608" t="str">
            <v>PIP CDD SMG-MAJENANG</v>
          </cell>
          <cell r="C1608" t="str">
            <v>NHD</v>
          </cell>
        </row>
        <row r="1609">
          <cell r="A1609" t="str">
            <v>BIA-EKS-0214</v>
          </cell>
          <cell r="B1609" t="str">
            <v>PIP CDD SMG-KAJEN</v>
          </cell>
          <cell r="C1609" t="str">
            <v>NHD</v>
          </cell>
        </row>
        <row r="1610">
          <cell r="A1610" t="str">
            <v>BIA-EKS-0215</v>
          </cell>
          <cell r="B1610" t="str">
            <v>PIP CDD SMG-KAYEN</v>
          </cell>
          <cell r="C1610" t="str">
            <v>NHD</v>
          </cell>
        </row>
        <row r="1611">
          <cell r="A1611" t="str">
            <v>BIA-EKS-0216</v>
          </cell>
          <cell r="B1611" t="str">
            <v>DUNEX CDD SMG-DALAM SEMARANG</v>
          </cell>
          <cell r="C1611" t="str">
            <v>NHD</v>
          </cell>
        </row>
        <row r="1612">
          <cell r="A1612" t="str">
            <v>BIA-EKS-0217</v>
          </cell>
          <cell r="B1612" t="str">
            <v>DUNEX CDD SMG-SALATIGA</v>
          </cell>
          <cell r="C1612" t="str">
            <v>NHD</v>
          </cell>
        </row>
        <row r="1613">
          <cell r="A1613" t="str">
            <v>BIA-EKS-0218</v>
          </cell>
          <cell r="B1613" t="str">
            <v>DUNEX CDD SMG-KUDUS</v>
          </cell>
          <cell r="C1613" t="str">
            <v>NHD</v>
          </cell>
        </row>
        <row r="1614">
          <cell r="A1614" t="str">
            <v>BIA-EKS-0219</v>
          </cell>
          <cell r="B1614" t="str">
            <v>DUNEX CDD SMG-PATI</v>
          </cell>
          <cell r="C1614" t="str">
            <v>NHD</v>
          </cell>
        </row>
        <row r="1615">
          <cell r="A1615" t="str">
            <v>BIA-EKS-0220</v>
          </cell>
          <cell r="B1615" t="str">
            <v>DUNEX CDD SMG-DEMAK</v>
          </cell>
          <cell r="C1615" t="str">
            <v>NHD</v>
          </cell>
        </row>
        <row r="1616">
          <cell r="A1616" t="str">
            <v>BIA-EKS-0221</v>
          </cell>
          <cell r="B1616" t="str">
            <v>DUNEX CDD SMG-AMBARAWA</v>
          </cell>
          <cell r="C1616" t="str">
            <v>NHD</v>
          </cell>
        </row>
        <row r="1617">
          <cell r="A1617" t="str">
            <v>BIA-EKS-0222</v>
          </cell>
          <cell r="B1617" t="str">
            <v>DUNEX CDD SMG-JEPARA</v>
          </cell>
          <cell r="C1617" t="str">
            <v>NHD</v>
          </cell>
        </row>
        <row r="1618">
          <cell r="A1618" t="str">
            <v>BIA-EKS-0223</v>
          </cell>
          <cell r="B1618" t="str">
            <v>DUNEX CDD SMG-MAGELANG</v>
          </cell>
          <cell r="C1618" t="str">
            <v>NHD</v>
          </cell>
        </row>
        <row r="1619">
          <cell r="A1619" t="str">
            <v>BIA-EKS-0224</v>
          </cell>
          <cell r="B1619" t="str">
            <v>DUNEX CDD SMG-TEMANGGUNG</v>
          </cell>
          <cell r="C1619" t="str">
            <v>NHD</v>
          </cell>
        </row>
        <row r="1620">
          <cell r="A1620" t="str">
            <v>BIA-EKS-0225</v>
          </cell>
          <cell r="B1620" t="str">
            <v>DUNEX CDD SMG-KLATEN</v>
          </cell>
          <cell r="C1620" t="str">
            <v>NHD</v>
          </cell>
        </row>
        <row r="1621">
          <cell r="A1621" t="str">
            <v>BIA-EKS-0226</v>
          </cell>
          <cell r="B1621" t="str">
            <v>DUNEX CDD SMG-SURAKARTA/SOLO</v>
          </cell>
          <cell r="C1621" t="str">
            <v>NHD</v>
          </cell>
        </row>
        <row r="1622">
          <cell r="A1622" t="str">
            <v>BIA-EKS-0227</v>
          </cell>
          <cell r="B1622" t="str">
            <v>DUNEX CDD SMG-WONOSOBO</v>
          </cell>
          <cell r="C1622" t="str">
            <v>NHD</v>
          </cell>
        </row>
        <row r="1623">
          <cell r="A1623" t="str">
            <v>BIA-EKS-0228</v>
          </cell>
          <cell r="B1623" t="str">
            <v>DUNEX CDD SMG-YOGYAKARTA</v>
          </cell>
          <cell r="C1623" t="str">
            <v>NHD</v>
          </cell>
        </row>
        <row r="1624">
          <cell r="A1624" t="str">
            <v>BIA-EKS-0229</v>
          </cell>
          <cell r="B1624" t="str">
            <v>DUNEX CDD SMG-BANTUL</v>
          </cell>
          <cell r="C1624" t="str">
            <v>NHD</v>
          </cell>
        </row>
        <row r="1625">
          <cell r="A1625" t="str">
            <v>BIA-EKS-0230</v>
          </cell>
          <cell r="B1625" t="str">
            <v>DUNEX CDD SMG-WONOGIRI</v>
          </cell>
          <cell r="C1625" t="str">
            <v>NHD</v>
          </cell>
        </row>
        <row r="1626">
          <cell r="A1626" t="str">
            <v>BIA-EKS-0231</v>
          </cell>
          <cell r="B1626" t="str">
            <v>DUNEX CDD SMG-TEGAL</v>
          </cell>
          <cell r="C1626" t="str">
            <v>NHD</v>
          </cell>
        </row>
        <row r="1627">
          <cell r="A1627" t="str">
            <v>BIA-EKS-0232</v>
          </cell>
          <cell r="B1627" t="str">
            <v>DUNEX CDD SMG-BATANG</v>
          </cell>
          <cell r="C1627" t="str">
            <v>NHD</v>
          </cell>
        </row>
        <row r="1628">
          <cell r="A1628" t="str">
            <v>BIA-EKS-0233</v>
          </cell>
          <cell r="B1628" t="str">
            <v>DUNEX CDD SMG-PRACIMANTORO</v>
          </cell>
          <cell r="C1628" t="str">
            <v>NHD</v>
          </cell>
        </row>
        <row r="1629">
          <cell r="A1629" t="str">
            <v>BIA-EKS-0234</v>
          </cell>
          <cell r="B1629" t="str">
            <v>DUNEX CDD SMG-UNGARAN</v>
          </cell>
          <cell r="C1629" t="str">
            <v>NHD</v>
          </cell>
        </row>
        <row r="1630">
          <cell r="A1630" t="str">
            <v>BIA-EKS-0235</v>
          </cell>
          <cell r="B1630" t="str">
            <v>DUNEX CDD SMG-BAWEN</v>
          </cell>
          <cell r="C1630" t="str">
            <v>NHD</v>
          </cell>
        </row>
        <row r="1631">
          <cell r="A1631" t="str">
            <v>BIA-EKS-0236</v>
          </cell>
          <cell r="B1631" t="str">
            <v>DUNEX CDD SMG-WATES KULON PROGO</v>
          </cell>
          <cell r="C1631" t="str">
            <v>NHD</v>
          </cell>
        </row>
        <row r="1632">
          <cell r="A1632" t="str">
            <v>BIA-EKS-0237</v>
          </cell>
          <cell r="B1632" t="str">
            <v>DUNEX CDD SMG-PEKALONGAN</v>
          </cell>
          <cell r="C1632" t="str">
            <v>NHD</v>
          </cell>
        </row>
        <row r="1633">
          <cell r="A1633" t="str">
            <v>BIA-EKS-0238</v>
          </cell>
          <cell r="B1633" t="str">
            <v>DUNEX CDD SMG-PEKAJANGAN</v>
          </cell>
          <cell r="C1633" t="str">
            <v>NHD</v>
          </cell>
        </row>
        <row r="1634">
          <cell r="A1634" t="str">
            <v>BIA-EKS-0239</v>
          </cell>
          <cell r="B1634" t="str">
            <v>DUNEX CDD SMG-BANJARNEGARA</v>
          </cell>
          <cell r="C1634" t="str">
            <v>NHD</v>
          </cell>
        </row>
        <row r="1635">
          <cell r="A1635" t="str">
            <v>BIA-EKS-0240</v>
          </cell>
          <cell r="B1635" t="str">
            <v>DUNEX CDD SMG-PURBALINGGA</v>
          </cell>
          <cell r="C1635" t="str">
            <v>NHD</v>
          </cell>
        </row>
        <row r="1636">
          <cell r="A1636" t="str">
            <v>BIA-EKS-0241</v>
          </cell>
          <cell r="B1636" t="str">
            <v>DUNEX CDD SMG-GUNUNG KIDUL</v>
          </cell>
          <cell r="C1636" t="str">
            <v>NHD</v>
          </cell>
        </row>
        <row r="1637">
          <cell r="A1637" t="str">
            <v>BIA-EKS-0242</v>
          </cell>
          <cell r="B1637" t="str">
            <v>TSL CDD SMG-DALAM SEMARANG</v>
          </cell>
          <cell r="C1637" t="str">
            <v>NHD</v>
          </cell>
        </row>
        <row r="1638">
          <cell r="A1638" t="str">
            <v>BIA-EKS-0243</v>
          </cell>
          <cell r="B1638" t="str">
            <v>TSL CDD SMG-SALATIGA</v>
          </cell>
          <cell r="C1638" t="str">
            <v>NHD</v>
          </cell>
        </row>
        <row r="1639">
          <cell r="A1639" t="str">
            <v>BIA-EKS-0244</v>
          </cell>
          <cell r="B1639" t="str">
            <v>TSL CDD SMG-PURWODADI</v>
          </cell>
          <cell r="C1639" t="str">
            <v>NHD</v>
          </cell>
        </row>
        <row r="1640">
          <cell r="A1640" t="str">
            <v>BIA-EKS-0245</v>
          </cell>
          <cell r="B1640" t="str">
            <v>TSL CDD SMG-KUDUS</v>
          </cell>
          <cell r="C1640" t="str">
            <v>NHD</v>
          </cell>
        </row>
        <row r="1641">
          <cell r="A1641" t="str">
            <v>BIA-EKS-0246</v>
          </cell>
          <cell r="B1641" t="str">
            <v>TSL CDD SMG-PATI</v>
          </cell>
          <cell r="C1641" t="str">
            <v>NHD</v>
          </cell>
        </row>
        <row r="1642">
          <cell r="A1642" t="str">
            <v>BIA-EKS-0247</v>
          </cell>
          <cell r="B1642" t="str">
            <v>TSL CDD SMG-DEMAK</v>
          </cell>
          <cell r="C1642" t="str">
            <v>NHD</v>
          </cell>
        </row>
        <row r="1643">
          <cell r="A1643" t="str">
            <v>BIA-EKS-0248</v>
          </cell>
          <cell r="B1643" t="str">
            <v>TSL CDD SMG-AMBARAWA</v>
          </cell>
          <cell r="C1643" t="str">
            <v>NHD</v>
          </cell>
        </row>
        <row r="1644">
          <cell r="A1644" t="str">
            <v>BIA-EKS-0249</v>
          </cell>
          <cell r="B1644" t="str">
            <v>TSL CDD SMG-JEPARA</v>
          </cell>
          <cell r="C1644" t="str">
            <v>NHD</v>
          </cell>
        </row>
        <row r="1645">
          <cell r="A1645" t="str">
            <v>BIA-EKS-0250</v>
          </cell>
          <cell r="B1645" t="str">
            <v>TSL CDD SMG-MAGELANG</v>
          </cell>
          <cell r="C1645" t="str">
            <v>NHD</v>
          </cell>
        </row>
        <row r="1646">
          <cell r="A1646" t="str">
            <v>BIA-EKS-0251</v>
          </cell>
          <cell r="B1646" t="str">
            <v>TSL CDD SMG-TEMANGGUNG</v>
          </cell>
          <cell r="C1646" t="str">
            <v>NHD</v>
          </cell>
        </row>
        <row r="1647">
          <cell r="A1647" t="str">
            <v>BIA-EKS-0252</v>
          </cell>
          <cell r="B1647" t="str">
            <v>TSL CDD SMG-KLATEN</v>
          </cell>
          <cell r="C1647" t="str">
            <v>NHD</v>
          </cell>
        </row>
        <row r="1648">
          <cell r="A1648" t="str">
            <v>BIA-EKS-0253</v>
          </cell>
          <cell r="B1648" t="str">
            <v>TSL CDD SMG-KELET</v>
          </cell>
          <cell r="C1648" t="str">
            <v>NHD</v>
          </cell>
        </row>
        <row r="1649">
          <cell r="A1649" t="str">
            <v>BIA-EKS-0254</v>
          </cell>
          <cell r="B1649" t="str">
            <v>TSL CDD SMG-SURAKARTA/SOLO</v>
          </cell>
          <cell r="C1649" t="str">
            <v>NHD</v>
          </cell>
        </row>
        <row r="1650">
          <cell r="A1650" t="str">
            <v>BIA-EKS-0255</v>
          </cell>
          <cell r="B1650" t="str">
            <v>TSL CDD SMG-SUKOHARJO</v>
          </cell>
          <cell r="C1650" t="str">
            <v>NHD</v>
          </cell>
        </row>
        <row r="1651">
          <cell r="A1651" t="str">
            <v>BIA-EKS-0256</v>
          </cell>
          <cell r="B1651" t="str">
            <v>TSL CDD SMG-WONOSOBO</v>
          </cell>
          <cell r="C1651" t="str">
            <v>NHD</v>
          </cell>
        </row>
        <row r="1652">
          <cell r="A1652" t="str">
            <v>BIA-EKS-0257</v>
          </cell>
          <cell r="B1652" t="str">
            <v>TSL CDD SMG-YOGYAKARTA</v>
          </cell>
          <cell r="C1652" t="str">
            <v>NHD</v>
          </cell>
        </row>
        <row r="1653">
          <cell r="A1653" t="str">
            <v>BIA-EKS-0258</v>
          </cell>
          <cell r="B1653" t="str">
            <v>TSL CDD SMG-BANTUL</v>
          </cell>
          <cell r="C1653" t="str">
            <v>NHD</v>
          </cell>
        </row>
        <row r="1654">
          <cell r="A1654" t="str">
            <v>BIA-EKS-0259</v>
          </cell>
          <cell r="B1654" t="str">
            <v>TSL CDD SMG-WONOGIRI</v>
          </cell>
          <cell r="C1654" t="str">
            <v>NHD</v>
          </cell>
        </row>
        <row r="1655">
          <cell r="A1655" t="str">
            <v>BIA-EKS-0260</v>
          </cell>
          <cell r="B1655" t="str">
            <v>TSL CDD SMG-SRAGEN</v>
          </cell>
          <cell r="C1655" t="str">
            <v>NHD</v>
          </cell>
        </row>
        <row r="1656">
          <cell r="A1656" t="str">
            <v>BIA-EKS-0261</v>
          </cell>
          <cell r="B1656" t="str">
            <v>TSL CDD SMG-REMBANG</v>
          </cell>
          <cell r="C1656" t="str">
            <v>NHD</v>
          </cell>
        </row>
        <row r="1657">
          <cell r="A1657" t="str">
            <v>BIA-EKS-0262</v>
          </cell>
          <cell r="B1657" t="str">
            <v>TSL CDD SMG-PEMALANG</v>
          </cell>
          <cell r="C1657" t="str">
            <v>NHD</v>
          </cell>
        </row>
        <row r="1658">
          <cell r="A1658" t="str">
            <v>BIA-EKS-0263</v>
          </cell>
          <cell r="B1658" t="str">
            <v>TSL CDD SMG-WONOSARI</v>
          </cell>
          <cell r="C1658" t="str">
            <v>NHD</v>
          </cell>
        </row>
        <row r="1659">
          <cell r="A1659" t="str">
            <v>BIA-EKS-0264</v>
          </cell>
          <cell r="B1659" t="str">
            <v>TSL CDD SMG-BLORA</v>
          </cell>
          <cell r="C1659" t="str">
            <v>NHD</v>
          </cell>
        </row>
        <row r="1660">
          <cell r="A1660" t="str">
            <v>BIA-EKS-0265</v>
          </cell>
          <cell r="B1660" t="str">
            <v>TSL CDD SMG-TEGAL</v>
          </cell>
          <cell r="C1660" t="str">
            <v>NHD</v>
          </cell>
        </row>
        <row r="1661">
          <cell r="A1661" t="str">
            <v>BIA-EKS-0266</v>
          </cell>
          <cell r="B1661" t="str">
            <v>TSL CDD SMG-SLAWI</v>
          </cell>
          <cell r="C1661" t="str">
            <v>NHD</v>
          </cell>
        </row>
        <row r="1662">
          <cell r="A1662" t="str">
            <v>BIA-EKS-0267</v>
          </cell>
          <cell r="B1662" t="str">
            <v>TSL CDD SMG-PURWOKERTO</v>
          </cell>
          <cell r="C1662" t="str">
            <v>NHD</v>
          </cell>
        </row>
        <row r="1663">
          <cell r="A1663" t="str">
            <v>BIA-EKS-0268</v>
          </cell>
          <cell r="B1663" t="str">
            <v>TSL CDD SMG-BATANG</v>
          </cell>
          <cell r="C1663" t="str">
            <v>NHD</v>
          </cell>
        </row>
        <row r="1664">
          <cell r="A1664" t="str">
            <v>BIA-EKS-0269</v>
          </cell>
          <cell r="B1664" t="str">
            <v>TSL CDD SMG-PRACIMANTORO</v>
          </cell>
          <cell r="C1664" t="str">
            <v>NHD</v>
          </cell>
        </row>
        <row r="1665">
          <cell r="A1665" t="str">
            <v>BIA-EKS-0270</v>
          </cell>
          <cell r="B1665" t="str">
            <v>TSL CDD SMG-UNGARAN</v>
          </cell>
          <cell r="C1665" t="str">
            <v>NHD</v>
          </cell>
        </row>
        <row r="1666">
          <cell r="A1666" t="str">
            <v>BIA-EKS-0271</v>
          </cell>
          <cell r="B1666" t="str">
            <v>TSL CDD SMG-BAWEN</v>
          </cell>
          <cell r="C1666" t="str">
            <v>NHD</v>
          </cell>
        </row>
        <row r="1667">
          <cell r="A1667" t="str">
            <v>BIA-EKS-0272</v>
          </cell>
          <cell r="B1667" t="str">
            <v>TSL CDD SMG-WATES KULON PROGO</v>
          </cell>
          <cell r="C1667" t="str">
            <v>NHD</v>
          </cell>
        </row>
        <row r="1668">
          <cell r="A1668" t="str">
            <v>BIA-EKS-0273</v>
          </cell>
          <cell r="B1668" t="str">
            <v>TSL CDD SMG-PEKALONGAN</v>
          </cell>
          <cell r="C1668" t="str">
            <v>NHD</v>
          </cell>
        </row>
        <row r="1669">
          <cell r="A1669" t="str">
            <v>BIA-EKS-0274</v>
          </cell>
          <cell r="B1669" t="str">
            <v>TSL CDD SMG-PEKAJANGAN</v>
          </cell>
          <cell r="C1669" t="str">
            <v>NHD</v>
          </cell>
        </row>
        <row r="1670">
          <cell r="A1670" t="str">
            <v>BIA-EKS-0275</v>
          </cell>
          <cell r="B1670" t="str">
            <v>TSL CDD SMG-BANJARNEGARA</v>
          </cell>
          <cell r="C1670" t="str">
            <v>NHD</v>
          </cell>
        </row>
        <row r="1671">
          <cell r="A1671" t="str">
            <v>BIA-EKS-0276</v>
          </cell>
          <cell r="B1671" t="str">
            <v>TSL CDD SMG-PURBALINGGA</v>
          </cell>
          <cell r="C1671" t="str">
            <v>NHD</v>
          </cell>
        </row>
        <row r="1672">
          <cell r="A1672" t="str">
            <v>BIA-EKS-0277</v>
          </cell>
          <cell r="B1672" t="str">
            <v>TSL CDD SMG-CILACAP</v>
          </cell>
          <cell r="C1672" t="str">
            <v>NHD</v>
          </cell>
        </row>
        <row r="1673">
          <cell r="A1673" t="str">
            <v>BIA-EKS-0278</v>
          </cell>
          <cell r="B1673" t="str">
            <v>TSL CDD SMG-MAJENANG</v>
          </cell>
          <cell r="C1673" t="str">
            <v>NHD</v>
          </cell>
        </row>
        <row r="1674">
          <cell r="A1674" t="str">
            <v>BIA-EKS-0279</v>
          </cell>
          <cell r="B1674" t="str">
            <v>TSL CDD SMG-KAJEN</v>
          </cell>
          <cell r="C1674" t="str">
            <v>NHD</v>
          </cell>
        </row>
        <row r="1675">
          <cell r="A1675" t="str">
            <v>BIA-EKS-0280</v>
          </cell>
          <cell r="B1675" t="str">
            <v>TSL CDD SMG-KAYEN</v>
          </cell>
          <cell r="C1675" t="str">
            <v>NHD</v>
          </cell>
        </row>
        <row r="1676">
          <cell r="A1676" t="str">
            <v>BIA-EKS-0281</v>
          </cell>
          <cell r="B1676" t="str">
            <v>TSL CDD SMG-BOYOLALI</v>
          </cell>
          <cell r="C1676" t="str">
            <v>NHD</v>
          </cell>
        </row>
        <row r="1677">
          <cell r="A1677" t="str">
            <v>BIA-EKS-0282</v>
          </cell>
          <cell r="B1677" t="str">
            <v>TSL CDD SMG-PURWOREJO</v>
          </cell>
          <cell r="C1677" t="str">
            <v>NHD</v>
          </cell>
        </row>
        <row r="1678">
          <cell r="A1678" t="str">
            <v>BIA-EKS-0283</v>
          </cell>
          <cell r="B1678" t="str">
            <v>HDJ CDD PWK-PWK</v>
          </cell>
          <cell r="C1678" t="str">
            <v>NHD</v>
          </cell>
        </row>
        <row r="1679">
          <cell r="A1679" t="str">
            <v>BIA-EKS-0284</v>
          </cell>
          <cell r="B1679" t="str">
            <v>HDJ CDD PWK-BANJARNEGARA</v>
          </cell>
          <cell r="C1679" t="str">
            <v>NHD</v>
          </cell>
        </row>
        <row r="1680">
          <cell r="A1680" t="str">
            <v>BIA-EKS-0285</v>
          </cell>
          <cell r="B1680" t="str">
            <v>HDJ CDD PWK-BANYUMAS</v>
          </cell>
          <cell r="C1680" t="str">
            <v>NHD</v>
          </cell>
        </row>
        <row r="1681">
          <cell r="A1681" t="str">
            <v>BIA-EKS-0286</v>
          </cell>
          <cell r="B1681" t="str">
            <v>HDJ CDD PWK-MAJENANG</v>
          </cell>
          <cell r="C1681" t="str">
            <v>NHD</v>
          </cell>
        </row>
        <row r="1682">
          <cell r="A1682" t="str">
            <v>BIA-EKS-0287</v>
          </cell>
          <cell r="B1682" t="str">
            <v>HDJ CDD PWK-PURBALINGGA</v>
          </cell>
          <cell r="C1682" t="str">
            <v>NHD</v>
          </cell>
        </row>
        <row r="1683">
          <cell r="A1683" t="str">
            <v>BIA-EKS-0288</v>
          </cell>
          <cell r="B1683" t="str">
            <v>HDJ CDD PWK-KEBUMEN</v>
          </cell>
          <cell r="C1683" t="str">
            <v>NHD</v>
          </cell>
        </row>
        <row r="1684">
          <cell r="A1684" t="str">
            <v>BIA-EKS-0289</v>
          </cell>
          <cell r="B1684" t="str">
            <v>HDJ CDD PWK-CILACAP</v>
          </cell>
          <cell r="C1684" t="str">
            <v>NHD</v>
          </cell>
        </row>
        <row r="1685">
          <cell r="A1685" t="str">
            <v>BIA-EKS-0290</v>
          </cell>
          <cell r="B1685" t="str">
            <v>HDJ CDD PWK-AJIBARANG</v>
          </cell>
          <cell r="C1685" t="str">
            <v>NHD</v>
          </cell>
        </row>
        <row r="1686">
          <cell r="A1686" t="str">
            <v>BIA-EKS-0291</v>
          </cell>
          <cell r="B1686" t="str">
            <v>HDJ CDD PWK-BUMIAYU</v>
          </cell>
          <cell r="C1686" t="str">
            <v>NHD</v>
          </cell>
        </row>
        <row r="1687">
          <cell r="A1687" t="str">
            <v>BIA-EKS-0292</v>
          </cell>
          <cell r="B1687" t="str">
            <v>BNR CDD LPG-BATURAJA</v>
          </cell>
          <cell r="C1687" t="str">
            <v>NHD</v>
          </cell>
        </row>
        <row r="1688">
          <cell r="A1688" t="str">
            <v>BIA-EKS-0293</v>
          </cell>
          <cell r="B1688" t="str">
            <v>BNR CDD LPG-PRABUMULIH</v>
          </cell>
          <cell r="C1688" t="str">
            <v>NHD</v>
          </cell>
        </row>
        <row r="1689">
          <cell r="A1689" t="str">
            <v>BIA-EKS-0294</v>
          </cell>
          <cell r="B1689" t="str">
            <v>BNR CDD LPG-JAMBI</v>
          </cell>
          <cell r="C1689" t="str">
            <v>NHD</v>
          </cell>
        </row>
        <row r="1690">
          <cell r="A1690" t="str">
            <v>BIA-EKS-0295</v>
          </cell>
          <cell r="B1690" t="str">
            <v>BNR CDD LPG-LUBUK LINGGAU</v>
          </cell>
          <cell r="C1690" t="str">
            <v>NHD</v>
          </cell>
        </row>
        <row r="1691">
          <cell r="A1691" t="str">
            <v>BIA-EKS-0296</v>
          </cell>
          <cell r="B1691" t="str">
            <v>HDJ CDD LPG-BATURAJA</v>
          </cell>
          <cell r="C1691" t="str">
            <v>NHD</v>
          </cell>
        </row>
        <row r="1692">
          <cell r="A1692" t="str">
            <v>BIA-EKS-0297</v>
          </cell>
          <cell r="B1692" t="str">
            <v>HDJ CDD LPG-LUBUK LINGGAU</v>
          </cell>
          <cell r="C1692" t="str">
            <v>NHD</v>
          </cell>
        </row>
        <row r="1693">
          <cell r="A1693" t="str">
            <v>BIA-EKS-0298</v>
          </cell>
          <cell r="B1693" t="str">
            <v>HDJ CDD LPG-MEDAN</v>
          </cell>
          <cell r="C1693" t="str">
            <v>NHD</v>
          </cell>
        </row>
        <row r="1694">
          <cell r="A1694" t="str">
            <v>BIA-EKS-0299</v>
          </cell>
          <cell r="B1694" t="str">
            <v>NCS CDE BPP-BANJARBARU</v>
          </cell>
          <cell r="C1694" t="str">
            <v>NHD</v>
          </cell>
        </row>
        <row r="1695">
          <cell r="A1695" t="str">
            <v>BIA-EKS-0300</v>
          </cell>
          <cell r="B1695" t="str">
            <v>NCS CDE BPP-BANJARMASIN</v>
          </cell>
          <cell r="C1695" t="str">
            <v>NHD</v>
          </cell>
        </row>
        <row r="1696">
          <cell r="A1696" t="str">
            <v>BIA-EKS-0301</v>
          </cell>
          <cell r="B1696" t="str">
            <v>NCS CDE BPP-BARITO KUALA</v>
          </cell>
          <cell r="C1696" t="str">
            <v>NHD</v>
          </cell>
        </row>
        <row r="1697">
          <cell r="A1697" t="str">
            <v>BIA-EKS-0302</v>
          </cell>
          <cell r="B1697" t="str">
            <v>NCS CDE BPP-BERAU</v>
          </cell>
          <cell r="C1697" t="str">
            <v>NHD</v>
          </cell>
        </row>
        <row r="1698">
          <cell r="A1698" t="str">
            <v>BIA-EKS-0303</v>
          </cell>
          <cell r="B1698" t="str">
            <v>NCS CDE BPP-BONTANG</v>
          </cell>
          <cell r="C1698" t="str">
            <v>NHD</v>
          </cell>
        </row>
        <row r="1699">
          <cell r="A1699" t="str">
            <v>BIA-EKS-0304</v>
          </cell>
          <cell r="B1699" t="str">
            <v>NCS CDE BPP-PENAJAM</v>
          </cell>
          <cell r="C1699" t="str">
            <v>NHD</v>
          </cell>
        </row>
        <row r="1700">
          <cell r="A1700" t="str">
            <v>BIA-EKS-0305</v>
          </cell>
          <cell r="B1700" t="str">
            <v>NCS CDE BPP-SAMARINDA</v>
          </cell>
          <cell r="C1700" t="str">
            <v>NHD</v>
          </cell>
        </row>
        <row r="1701">
          <cell r="A1701" t="str">
            <v>BIA-EKS-0306</v>
          </cell>
          <cell r="B1701" t="str">
            <v>NCS CDE BPP-SAMBOJA</v>
          </cell>
          <cell r="C1701" t="str">
            <v>NHD</v>
          </cell>
        </row>
        <row r="1702">
          <cell r="A1702" t="str">
            <v>BIA-EKS-0307</v>
          </cell>
          <cell r="B1702" t="str">
            <v>NCS CDE BPP-SANGATTA</v>
          </cell>
          <cell r="C1702" t="str">
            <v>NHD</v>
          </cell>
        </row>
        <row r="1703">
          <cell r="A1703" t="str">
            <v>BIA-EKS-0308</v>
          </cell>
          <cell r="B1703" t="str">
            <v>NCS CDE BPP-TANAH GROGOT</v>
          </cell>
          <cell r="C1703" t="str">
            <v>NHD</v>
          </cell>
        </row>
        <row r="1704">
          <cell r="A1704" t="str">
            <v>BIA-EKS-0309</v>
          </cell>
          <cell r="B1704" t="str">
            <v>NCS CDE BPP-TANJUNG</v>
          </cell>
          <cell r="C1704" t="str">
            <v>NHD</v>
          </cell>
        </row>
        <row r="1705">
          <cell r="A1705" t="str">
            <v>BIA-EKS-0310</v>
          </cell>
          <cell r="B1705" t="str">
            <v>NCS CDE BPP-TARAKAN</v>
          </cell>
          <cell r="C1705" t="str">
            <v>NHD</v>
          </cell>
        </row>
        <row r="1706">
          <cell r="A1706" t="str">
            <v>BIA-EKS-0311</v>
          </cell>
          <cell r="B1706" t="str">
            <v>NCS CDE BPP-TENGGARONG</v>
          </cell>
          <cell r="C1706" t="str">
            <v>NHD</v>
          </cell>
        </row>
        <row r="1707">
          <cell r="A1707" t="str">
            <v>BIA-EKS-0312</v>
          </cell>
          <cell r="B1707" t="str">
            <v>BE CDE BPP-BABULU (5-10KG)</v>
          </cell>
          <cell r="C1707" t="str">
            <v>NHD</v>
          </cell>
        </row>
        <row r="1708">
          <cell r="A1708" t="str">
            <v>BIA-EKS-0313</v>
          </cell>
          <cell r="B1708" t="str">
            <v>BE CDE BPP-BATU KAJANG (5-10KG)</v>
          </cell>
          <cell r="C1708" t="str">
            <v>NHD</v>
          </cell>
        </row>
        <row r="1709">
          <cell r="A1709" t="str">
            <v>BIA-EKS-0314</v>
          </cell>
          <cell r="B1709" t="str">
            <v>BE CDE BPP-BERAU (5-10KG)</v>
          </cell>
          <cell r="C1709" t="str">
            <v>NHD</v>
          </cell>
        </row>
        <row r="1710">
          <cell r="A1710" t="str">
            <v>BIA-EKS-0315</v>
          </cell>
          <cell r="B1710" t="str">
            <v>BE CDE BPP-BONTANG (5-10KG)</v>
          </cell>
          <cell r="C1710" t="str">
            <v>NHD</v>
          </cell>
        </row>
        <row r="1711">
          <cell r="A1711" t="str">
            <v>BIA-EKS-0316</v>
          </cell>
          <cell r="B1711" t="str">
            <v>BE CDE BPP-HANDIL (5-10KG)</v>
          </cell>
          <cell r="C1711" t="str">
            <v>NHD</v>
          </cell>
        </row>
        <row r="1712">
          <cell r="A1712" t="str">
            <v>BIA-EKS-0317</v>
          </cell>
          <cell r="B1712" t="str">
            <v>BE CDE BPP-KUARO (5-10KG)</v>
          </cell>
          <cell r="C1712" t="str">
            <v>NHD</v>
          </cell>
        </row>
        <row r="1713">
          <cell r="A1713" t="str">
            <v>BIA-EKS-0318</v>
          </cell>
          <cell r="B1713" t="str">
            <v>BE CDE BPP-LONGIKIS (5-10KG)</v>
          </cell>
          <cell r="C1713" t="str">
            <v>NHD</v>
          </cell>
        </row>
        <row r="1714">
          <cell r="A1714" t="str">
            <v>BIA-EKS-0319</v>
          </cell>
          <cell r="B1714" t="str">
            <v>BE CDE BPP-LONGKALI (5-10KG)</v>
          </cell>
          <cell r="C1714" t="str">
            <v>NHD</v>
          </cell>
        </row>
        <row r="1715">
          <cell r="A1715" t="str">
            <v>BIA-EKS-0320</v>
          </cell>
          <cell r="B1715" t="str">
            <v>BE CDE BPP-NUNUKAN (5-10KG)</v>
          </cell>
          <cell r="C1715" t="str">
            <v>NHD</v>
          </cell>
        </row>
        <row r="1716">
          <cell r="A1716" t="str">
            <v>BIA-EKS-0321</v>
          </cell>
          <cell r="B1716" t="str">
            <v>BE CDE BPP-PENAJAM (5-10KG)</v>
          </cell>
          <cell r="C1716" t="str">
            <v>NHD</v>
          </cell>
        </row>
        <row r="1717">
          <cell r="A1717" t="str">
            <v>BIA-EKS-0322</v>
          </cell>
          <cell r="B1717" t="str">
            <v>BE CDE BPP-PETUNG (5-10KG)</v>
          </cell>
          <cell r="C1717" t="str">
            <v>NHD</v>
          </cell>
        </row>
        <row r="1718">
          <cell r="A1718" t="str">
            <v>BIA-EKS-0323</v>
          </cell>
          <cell r="B1718" t="str">
            <v>BE CDE BPP-SAMARINDA (5-10KG)</v>
          </cell>
          <cell r="C1718" t="str">
            <v>NHD</v>
          </cell>
        </row>
        <row r="1719">
          <cell r="A1719" t="str">
            <v>BIA-EKS-0324</v>
          </cell>
          <cell r="B1719" t="str">
            <v>BE CDE BPP-SAMBOJA (5-10KG)</v>
          </cell>
          <cell r="C1719" t="str">
            <v>NHD</v>
          </cell>
        </row>
        <row r="1720">
          <cell r="A1720" t="str">
            <v>BIA-EKS-0325</v>
          </cell>
          <cell r="B1720" t="str">
            <v>BE CDE BPP-SANGATTA (5-10KG)</v>
          </cell>
          <cell r="C1720" t="str">
            <v>NHD</v>
          </cell>
        </row>
        <row r="1721">
          <cell r="A1721" t="str">
            <v>BIA-EKS-0326</v>
          </cell>
          <cell r="B1721" t="str">
            <v>BE CDE BPP-SEPAKU (5-10KG)</v>
          </cell>
          <cell r="C1721" t="str">
            <v>NHD</v>
          </cell>
        </row>
        <row r="1722">
          <cell r="A1722" t="str">
            <v>BIA-EKS-0327</v>
          </cell>
          <cell r="B1722" t="str">
            <v>BE CDE BPP-SIMPANG PAIT (5-10KG)</v>
          </cell>
          <cell r="C1722" t="str">
            <v>NHD</v>
          </cell>
        </row>
        <row r="1723">
          <cell r="A1723" t="str">
            <v>BIA-EKS-0328</v>
          </cell>
          <cell r="B1723" t="str">
            <v>BE CDE BPP-TANAH GROGOT (5-10KG)</v>
          </cell>
          <cell r="C1723" t="str">
            <v>NHD</v>
          </cell>
        </row>
        <row r="1724">
          <cell r="A1724" t="str">
            <v>BIA-EKS-0329</v>
          </cell>
          <cell r="B1724" t="str">
            <v>BE CDE BPP-TANJUNG SELOR (5-10KG)</v>
          </cell>
          <cell r="C1724" t="str">
            <v>NHD</v>
          </cell>
        </row>
        <row r="1725">
          <cell r="A1725" t="str">
            <v>BIA-EKS-0330</v>
          </cell>
          <cell r="B1725" t="str">
            <v>BE CDE BPP-TARAKAN (5-10KG)</v>
          </cell>
          <cell r="C1725" t="str">
            <v>NHD</v>
          </cell>
        </row>
        <row r="1726">
          <cell r="A1726" t="str">
            <v>BIA-EKS-0331</v>
          </cell>
          <cell r="B1726" t="str">
            <v>BE CDE BPP-WARU (5-10KG)</v>
          </cell>
          <cell r="C1726" t="str">
            <v>NHD</v>
          </cell>
        </row>
        <row r="1727">
          <cell r="A1727" t="str">
            <v>BIA-EKS-0332</v>
          </cell>
          <cell r="B1727" t="str">
            <v>BE CDE BPP-BABULU (100KG)</v>
          </cell>
          <cell r="C1727" t="str">
            <v>NHD</v>
          </cell>
        </row>
        <row r="1728">
          <cell r="A1728" t="str">
            <v>BIA-EKS-0333</v>
          </cell>
          <cell r="B1728" t="str">
            <v>BE CDE BPP-BATU KAJANG (100KG)</v>
          </cell>
          <cell r="C1728" t="str">
            <v>NHD</v>
          </cell>
        </row>
        <row r="1729">
          <cell r="A1729" t="str">
            <v>BIA-EKS-0334</v>
          </cell>
          <cell r="B1729" t="str">
            <v>BE CDE BPP-BERAU (100KG)</v>
          </cell>
          <cell r="C1729" t="str">
            <v>NHD</v>
          </cell>
        </row>
        <row r="1730">
          <cell r="A1730" t="str">
            <v>BIA-EKS-0335</v>
          </cell>
          <cell r="B1730" t="str">
            <v>BE CDE BPP-BONTANG (100KG)</v>
          </cell>
          <cell r="C1730" t="str">
            <v>NHD</v>
          </cell>
        </row>
        <row r="1731">
          <cell r="A1731" t="str">
            <v>BIA-EKS-0336</v>
          </cell>
          <cell r="B1731" t="str">
            <v>BE CDE BPP-HANDIL (100KG)</v>
          </cell>
          <cell r="C1731" t="str">
            <v>NHD</v>
          </cell>
        </row>
        <row r="1732">
          <cell r="A1732" t="str">
            <v>BIA-EKS-0337</v>
          </cell>
          <cell r="B1732" t="str">
            <v>BE CDE BPP-KUARO (100KG)</v>
          </cell>
          <cell r="C1732" t="str">
            <v>NHD</v>
          </cell>
        </row>
        <row r="1733">
          <cell r="A1733" t="str">
            <v>BIA-EKS-0338</v>
          </cell>
          <cell r="B1733" t="str">
            <v>BE CDE BPP-LONGIKIS (100KG)</v>
          </cell>
          <cell r="C1733" t="str">
            <v>NHD</v>
          </cell>
        </row>
        <row r="1734">
          <cell r="A1734" t="str">
            <v>BIA-EKS-0339</v>
          </cell>
          <cell r="B1734" t="str">
            <v>BE CDE BPP-LONGKALI (100KG)</v>
          </cell>
          <cell r="C1734" t="str">
            <v>NHD</v>
          </cell>
        </row>
        <row r="1735">
          <cell r="A1735" t="str">
            <v>BIA-EKS-0340</v>
          </cell>
          <cell r="B1735" t="str">
            <v>BE CDE BPP-NUNUKAN (100KG)</v>
          </cell>
          <cell r="C1735" t="str">
            <v>NHD</v>
          </cell>
        </row>
        <row r="1736">
          <cell r="A1736" t="str">
            <v>BIA-EKS-0341</v>
          </cell>
          <cell r="B1736" t="str">
            <v>BE CDE BPP-PENAJAM (100KG)</v>
          </cell>
          <cell r="C1736" t="str">
            <v>NHD</v>
          </cell>
        </row>
        <row r="1737">
          <cell r="A1737" t="str">
            <v>BIA-EKS-0342</v>
          </cell>
          <cell r="B1737" t="str">
            <v>BE CDE BPP-PETUNG (100KG)</v>
          </cell>
          <cell r="C1737" t="str">
            <v>NHD</v>
          </cell>
        </row>
        <row r="1738">
          <cell r="A1738" t="str">
            <v>BIA-EKS-0343</v>
          </cell>
          <cell r="B1738" t="str">
            <v>BE CDE BPP-SAMARINDA (100KG)</v>
          </cell>
          <cell r="C1738" t="str">
            <v>NHD</v>
          </cell>
        </row>
        <row r="1739">
          <cell r="A1739" t="str">
            <v>BIA-EKS-0344</v>
          </cell>
          <cell r="B1739" t="str">
            <v>BE CDE BPP-SAMBOJA (100KG)</v>
          </cell>
          <cell r="C1739" t="str">
            <v>NHD</v>
          </cell>
        </row>
        <row r="1740">
          <cell r="A1740" t="str">
            <v>BIA-EKS-0345</v>
          </cell>
          <cell r="B1740" t="str">
            <v>BE CDE BPP-SANGATTA (100KG)</v>
          </cell>
          <cell r="C1740" t="str">
            <v>NHD</v>
          </cell>
        </row>
        <row r="1741">
          <cell r="A1741" t="str">
            <v>BIA-EKS-0346</v>
          </cell>
          <cell r="B1741" t="str">
            <v>BE CDE BPP-SEPAKU (100KG)</v>
          </cell>
          <cell r="C1741" t="str">
            <v>NHD</v>
          </cell>
        </row>
        <row r="1742">
          <cell r="A1742" t="str">
            <v>BIA-EKS-0347</v>
          </cell>
          <cell r="B1742" t="str">
            <v>BE CDE BPP-SIMPANG PAIT (100KG)</v>
          </cell>
          <cell r="C1742" t="str">
            <v>NHD</v>
          </cell>
        </row>
        <row r="1743">
          <cell r="A1743" t="str">
            <v>BIA-EKS-0348</v>
          </cell>
          <cell r="B1743" t="str">
            <v>BE CDE BPP-TANAH GROGOT (100KG)</v>
          </cell>
          <cell r="C1743" t="str">
            <v>NHD</v>
          </cell>
        </row>
        <row r="1744">
          <cell r="A1744" t="str">
            <v>BIA-EKS-0349</v>
          </cell>
          <cell r="B1744" t="str">
            <v>BE CDE BPP-TANJUNG SELOR (100KG)</v>
          </cell>
          <cell r="C1744" t="str">
            <v>NHD</v>
          </cell>
        </row>
        <row r="1745">
          <cell r="A1745" t="str">
            <v>BIA-EKS-0350</v>
          </cell>
          <cell r="B1745" t="str">
            <v>BE CDE BPP-TARAKAN (100KG)</v>
          </cell>
          <cell r="C1745" t="str">
            <v>NHD</v>
          </cell>
        </row>
        <row r="1746">
          <cell r="A1746" t="str">
            <v>BIA-EKS-0351</v>
          </cell>
          <cell r="B1746" t="str">
            <v>BE CDE BPP-WARU (100KG)</v>
          </cell>
          <cell r="C1746" t="str">
            <v>NHD</v>
          </cell>
        </row>
        <row r="1747">
          <cell r="A1747" t="str">
            <v>BIA-EKS-0352</v>
          </cell>
          <cell r="B1747" t="str">
            <v>TMG CDE BPP-BANJARBARU (50KG)</v>
          </cell>
          <cell r="C1747" t="str">
            <v>NHD</v>
          </cell>
        </row>
        <row r="1748">
          <cell r="A1748" t="str">
            <v>BIA-EKS-0353</v>
          </cell>
          <cell r="B1748" t="str">
            <v>TMG CDE BPP-BANJARMASIN (50KG)</v>
          </cell>
          <cell r="C1748" t="str">
            <v>NHD</v>
          </cell>
        </row>
        <row r="1749">
          <cell r="A1749" t="str">
            <v>BIA-EKS-0354</v>
          </cell>
          <cell r="B1749" t="str">
            <v>TMG CDE BPP-BARITO KUALA (50KG)</v>
          </cell>
          <cell r="C1749" t="str">
            <v>NHD</v>
          </cell>
        </row>
        <row r="1750">
          <cell r="A1750" t="str">
            <v>BIA-EKS-0355</v>
          </cell>
          <cell r="B1750" t="str">
            <v>TMG CDE BPP-BERAU (50KG)</v>
          </cell>
          <cell r="C1750" t="str">
            <v>NHD</v>
          </cell>
        </row>
        <row r="1751">
          <cell r="A1751" t="str">
            <v>BIA-EKS-0356</v>
          </cell>
          <cell r="B1751" t="str">
            <v>TMG CDE BPP-BONTANG (50KG)</v>
          </cell>
          <cell r="C1751" t="str">
            <v>NHD</v>
          </cell>
        </row>
        <row r="1752">
          <cell r="A1752" t="str">
            <v>BIA-EKS-0357</v>
          </cell>
          <cell r="B1752" t="str">
            <v>TMG CDE BPP-PENAJAM (50KG)</v>
          </cell>
          <cell r="C1752" t="str">
            <v>NHD</v>
          </cell>
        </row>
        <row r="1753">
          <cell r="A1753" t="str">
            <v>BIA-EKS-0358</v>
          </cell>
          <cell r="B1753" t="str">
            <v>TMG CDE BPP-SAMARINDA (50KG)</v>
          </cell>
          <cell r="C1753" t="str">
            <v>NHD</v>
          </cell>
        </row>
        <row r="1754">
          <cell r="A1754" t="str">
            <v>BIA-EKS-0359</v>
          </cell>
          <cell r="B1754" t="str">
            <v>TMG CDE BPP-SAMBOJA (50KG)</v>
          </cell>
          <cell r="C1754" t="str">
            <v>NHD</v>
          </cell>
        </row>
        <row r="1755">
          <cell r="A1755" t="str">
            <v>BIA-EKS-0360</v>
          </cell>
          <cell r="B1755" t="str">
            <v>TMG CDE BPP-SANGATTA (50KG)</v>
          </cell>
          <cell r="C1755" t="str">
            <v>NHD</v>
          </cell>
        </row>
        <row r="1756">
          <cell r="A1756" t="str">
            <v>BIA-EKS-0361</v>
          </cell>
          <cell r="B1756" t="str">
            <v>TMG CDE BPP-TANAH GROGOT (50KG)</v>
          </cell>
          <cell r="C1756" t="str">
            <v>NHD</v>
          </cell>
        </row>
        <row r="1757">
          <cell r="A1757" t="str">
            <v>BIA-EKS-0362</v>
          </cell>
          <cell r="B1757" t="str">
            <v>TMG CDE BPP-TANJUNG (50KG)</v>
          </cell>
          <cell r="C1757" t="str">
            <v>NHD</v>
          </cell>
        </row>
        <row r="1758">
          <cell r="A1758" t="str">
            <v>BIA-EKS-0363</v>
          </cell>
          <cell r="B1758" t="str">
            <v>TMG CDE BPP-BATU LICIN (50KG)</v>
          </cell>
          <cell r="C1758" t="str">
            <v>NHD</v>
          </cell>
        </row>
        <row r="1759">
          <cell r="A1759" t="str">
            <v>BIA-EKS-0364</v>
          </cell>
          <cell r="B1759" t="str">
            <v>TMG CDE BPP-TENGGARONG (50KG)</v>
          </cell>
          <cell r="C1759" t="str">
            <v>NHD</v>
          </cell>
        </row>
        <row r="1760">
          <cell r="A1760" t="str">
            <v>BIA-EKS-0365</v>
          </cell>
          <cell r="B1760" t="str">
            <v>SPM MINIBUS MDN-BANDA ACEH-3 CBM</v>
          </cell>
          <cell r="C1760" t="str">
            <v>NHD</v>
          </cell>
        </row>
        <row r="1761">
          <cell r="A1761" t="str">
            <v>BIA-EKS-0366</v>
          </cell>
          <cell r="B1761" t="str">
            <v>SPM MINIBUS MDN-BLANG PIDIE-3 CBM</v>
          </cell>
          <cell r="C1761" t="str">
            <v>NHD</v>
          </cell>
        </row>
        <row r="1762">
          <cell r="A1762" t="str">
            <v>BIA-EKS-0367</v>
          </cell>
          <cell r="B1762" t="str">
            <v>SPM MINIBUS MDN-MELABOH-3 CBM</v>
          </cell>
          <cell r="C1762" t="str">
            <v>NHD</v>
          </cell>
        </row>
        <row r="1763">
          <cell r="A1763" t="str">
            <v>BIA-EKS-0368</v>
          </cell>
          <cell r="B1763" t="str">
            <v>SPM MINIBUS MDN-KISARAN-3 CBM</v>
          </cell>
          <cell r="C1763" t="str">
            <v>NHD</v>
          </cell>
        </row>
        <row r="1764">
          <cell r="A1764" t="str">
            <v>BIA-EKS-0369</v>
          </cell>
          <cell r="B1764" t="str">
            <v>SPM MINIBUS MDN-KABAN JAHE-3 CBM</v>
          </cell>
          <cell r="C1764" t="str">
            <v>NHD</v>
          </cell>
        </row>
        <row r="1765">
          <cell r="A1765" t="str">
            <v>BIA-EKS-0370</v>
          </cell>
          <cell r="B1765" t="str">
            <v>SPM MINIBUS MDN-LHOKSEUMWE-3 CBM</v>
          </cell>
          <cell r="C1765" t="str">
            <v>NHD</v>
          </cell>
        </row>
        <row r="1766">
          <cell r="A1766" t="str">
            <v>BIA-EKS-0371</v>
          </cell>
          <cell r="B1766" t="str">
            <v>SPM MINIBUS MDN-PT.ARUN-3 CBM</v>
          </cell>
          <cell r="C1766" t="str">
            <v>NHD</v>
          </cell>
        </row>
        <row r="1767">
          <cell r="A1767" t="str">
            <v>BIA-EKS-0372</v>
          </cell>
          <cell r="B1767" t="str">
            <v>SPM MINIBUS MDN-LANGSA-3 CBM</v>
          </cell>
          <cell r="C1767" t="str">
            <v>NHD</v>
          </cell>
        </row>
        <row r="1768">
          <cell r="A1768" t="str">
            <v>BIA-EKS-0373</v>
          </cell>
          <cell r="B1768" t="str">
            <v>SPM MINIBUS MDN-ACEH TAMIANG-3 CBM</v>
          </cell>
          <cell r="C1768" t="str">
            <v>NHD</v>
          </cell>
        </row>
        <row r="1769">
          <cell r="A1769" t="str">
            <v>BIA-EKS-0374</v>
          </cell>
          <cell r="B1769" t="str">
            <v>SPM MINIBUS MDN-LUBUK PAKAM-3 CBM</v>
          </cell>
          <cell r="C1769" t="str">
            <v>NHD</v>
          </cell>
        </row>
        <row r="1770">
          <cell r="A1770" t="str">
            <v>BIA-EKS-0375</v>
          </cell>
          <cell r="B1770" t="str">
            <v>SPM MINIBUS MDN-MDN-3 CBM</v>
          </cell>
          <cell r="C1770" t="str">
            <v>NHD</v>
          </cell>
        </row>
        <row r="1771">
          <cell r="A1771" t="str">
            <v>BIA-EKS-0376</v>
          </cell>
          <cell r="B1771" t="str">
            <v>SPM MINIBUS MDN-PEMATANG SIANTAR-3 CBM</v>
          </cell>
          <cell r="C1771" t="str">
            <v>NHD</v>
          </cell>
        </row>
        <row r="1772">
          <cell r="A1772" t="str">
            <v>BIA-EKS-0377</v>
          </cell>
          <cell r="B1772" t="str">
            <v>SPM MINIBUS MDN-RANTAU PRAPAT-3 CBM</v>
          </cell>
          <cell r="C1772" t="str">
            <v>NHD</v>
          </cell>
        </row>
        <row r="1773">
          <cell r="A1773" t="str">
            <v>BIA-EKS-0378</v>
          </cell>
          <cell r="B1773" t="str">
            <v>SPM MINIBUS MDN-SIBOLGA-3 CBM</v>
          </cell>
          <cell r="C1773" t="str">
            <v>NHD</v>
          </cell>
        </row>
        <row r="1774">
          <cell r="A1774" t="str">
            <v>BIA-EKS-0379</v>
          </cell>
          <cell r="B1774" t="str">
            <v>SPM MINIBUS MDN-BINJAI-3 CBM</v>
          </cell>
          <cell r="C1774" t="str">
            <v>NHD</v>
          </cell>
        </row>
        <row r="1775">
          <cell r="A1775" t="str">
            <v>BIA-EKS-0380</v>
          </cell>
          <cell r="B1775" t="str">
            <v>SPM MINIBUS MDN-STABAT-3 CBM</v>
          </cell>
          <cell r="C1775" t="str">
            <v>NHD</v>
          </cell>
        </row>
        <row r="1776">
          <cell r="A1776" t="str">
            <v>BIA-EKS-0381</v>
          </cell>
          <cell r="B1776" t="str">
            <v>SPM MINIBUS MDN-SIGLI-3 CBM</v>
          </cell>
          <cell r="C1776" t="str">
            <v>NHD</v>
          </cell>
        </row>
        <row r="1777">
          <cell r="A1777" t="str">
            <v>BIA-EKS-0382</v>
          </cell>
          <cell r="B1777" t="str">
            <v>SPM MINIBUS MDN-TANJUNGPURA-3 CBM</v>
          </cell>
          <cell r="C1777" t="str">
            <v>NHD</v>
          </cell>
        </row>
        <row r="1778">
          <cell r="A1778" t="str">
            <v>BIA-EKS-0383</v>
          </cell>
          <cell r="B1778" t="str">
            <v>SPM MINIBUS MDN-TEBING TINGGI-3 CBM</v>
          </cell>
          <cell r="C1778" t="str">
            <v>NHD</v>
          </cell>
        </row>
        <row r="1779">
          <cell r="A1779" t="str">
            <v>BIA-EKS-0384</v>
          </cell>
          <cell r="B1779" t="str">
            <v>SPM MINIBUS MDN-TAKENGON-3 CBM</v>
          </cell>
          <cell r="C1779" t="str">
            <v>NHD</v>
          </cell>
        </row>
        <row r="1780">
          <cell r="A1780" t="str">
            <v>BIA-EKS-0385</v>
          </cell>
          <cell r="B1780" t="str">
            <v>SPM MINIBUS MDN-TARUTUNG-3 CBM</v>
          </cell>
          <cell r="C1780" t="str">
            <v>NHD</v>
          </cell>
        </row>
        <row r="1781">
          <cell r="A1781" t="str">
            <v>BIA-EKS-0386</v>
          </cell>
          <cell r="B1781" t="str">
            <v>SPM MINIBUS MDN-TANJUNG BALAI ASAHAN-3 CBM</v>
          </cell>
          <cell r="C1781" t="str">
            <v>NHD</v>
          </cell>
        </row>
        <row r="1782">
          <cell r="A1782" t="str">
            <v>BIA-EKS-0387</v>
          </cell>
          <cell r="B1782" t="str">
            <v>SPM MINIBUS MDN-SIMEULU-3 CBM</v>
          </cell>
          <cell r="C1782" t="str">
            <v>NHD</v>
          </cell>
        </row>
        <row r="1783">
          <cell r="A1783" t="str">
            <v>BIA-EKS-0388</v>
          </cell>
          <cell r="B1783" t="str">
            <v>SPM MINIBUS MDN-GUNUNG SITOLI-3 CBM</v>
          </cell>
          <cell r="C1783" t="str">
            <v>NHD</v>
          </cell>
        </row>
        <row r="1784">
          <cell r="A1784" t="str">
            <v>BIA-EKS-0389</v>
          </cell>
          <cell r="B1784" t="str">
            <v>SPM MINIBUS MDN-BALIGE-3 CBM</v>
          </cell>
          <cell r="C1784" t="str">
            <v>NHD</v>
          </cell>
        </row>
        <row r="1785">
          <cell r="A1785" t="str">
            <v>BIA-EKS-0390</v>
          </cell>
          <cell r="B1785" t="str">
            <v>SPM MINIBUS MDN-PEKANBARU-3 CBM</v>
          </cell>
          <cell r="C1785" t="str">
            <v>NHD</v>
          </cell>
        </row>
        <row r="1786">
          <cell r="A1786" t="str">
            <v>BIA-EKS-0391</v>
          </cell>
          <cell r="B1786" t="str">
            <v>SPM MINIBUS MDN-PADANG SIDEMPUAN-3 CBM</v>
          </cell>
          <cell r="C1786" t="str">
            <v>NHD</v>
          </cell>
        </row>
        <row r="1787">
          <cell r="A1787" t="str">
            <v>BIA-EKS-0392</v>
          </cell>
          <cell r="B1787" t="str">
            <v>SPM MINIBUS MDN-SERDANG BEDAGAI (PABATU)-3 CBM</v>
          </cell>
          <cell r="C1787" t="str">
            <v>NHD</v>
          </cell>
        </row>
        <row r="1788">
          <cell r="A1788" t="str">
            <v>BIA-EKS-0393</v>
          </cell>
          <cell r="B1788" t="str">
            <v>SPM L300 MDN-BANDA ACEH-12 CBM</v>
          </cell>
          <cell r="C1788" t="str">
            <v>NHD</v>
          </cell>
        </row>
        <row r="1789">
          <cell r="A1789" t="str">
            <v>BIA-EKS-0394</v>
          </cell>
          <cell r="B1789" t="str">
            <v>SPM L300 MDN-BLANG PIDIE-12 CBM</v>
          </cell>
          <cell r="C1789" t="str">
            <v>NHD</v>
          </cell>
        </row>
        <row r="1790">
          <cell r="A1790" t="str">
            <v>BIA-EKS-0395</v>
          </cell>
          <cell r="B1790" t="str">
            <v>SPM L300 MDN-MELABOH-12 CBM</v>
          </cell>
          <cell r="C1790" t="str">
            <v>NHD</v>
          </cell>
        </row>
        <row r="1791">
          <cell r="A1791" t="str">
            <v>BIA-EKS-0396</v>
          </cell>
          <cell r="B1791" t="str">
            <v>SPM L300 MDN-KISARAN-12 CBM</v>
          </cell>
          <cell r="C1791" t="str">
            <v>NHD</v>
          </cell>
        </row>
        <row r="1792">
          <cell r="A1792" t="str">
            <v>BIA-EKS-0397</v>
          </cell>
          <cell r="B1792" t="str">
            <v>SPM L300 MDN-KABAN JAHE-12 CBM</v>
          </cell>
          <cell r="C1792" t="str">
            <v>NHD</v>
          </cell>
        </row>
        <row r="1793">
          <cell r="A1793" t="str">
            <v>BIA-EKS-0398</v>
          </cell>
          <cell r="B1793" t="str">
            <v>SPM L300 MDN-LHOKSEUMWE-12 CBM</v>
          </cell>
          <cell r="C1793" t="str">
            <v>NHD</v>
          </cell>
        </row>
        <row r="1794">
          <cell r="A1794" t="str">
            <v>BIA-EKS-0399</v>
          </cell>
          <cell r="B1794" t="str">
            <v>SPM L300 MDN-PT.ARUN-12 CBM</v>
          </cell>
          <cell r="C1794" t="str">
            <v>NHD</v>
          </cell>
        </row>
        <row r="1795">
          <cell r="A1795" t="str">
            <v>BIA-EKS-0400</v>
          </cell>
          <cell r="B1795" t="str">
            <v>SPM L300 MDN-LANGSA-12 CBM</v>
          </cell>
          <cell r="C1795" t="str">
            <v>NHD</v>
          </cell>
        </row>
        <row r="1796">
          <cell r="A1796" t="str">
            <v>BIA-EKS-0401</v>
          </cell>
          <cell r="B1796" t="str">
            <v>SPM L300 MDN-ACEH TAMIANG-12 CBM</v>
          </cell>
          <cell r="C1796" t="str">
            <v>NHD</v>
          </cell>
        </row>
        <row r="1797">
          <cell r="A1797" t="str">
            <v>BIA-EKS-0402</v>
          </cell>
          <cell r="B1797" t="str">
            <v>SPM L300 MDN-LUBUK PAKAM-12 CBM</v>
          </cell>
          <cell r="C1797" t="str">
            <v>NHD</v>
          </cell>
        </row>
        <row r="1798">
          <cell r="A1798" t="str">
            <v>BIA-EKS-0403</v>
          </cell>
          <cell r="B1798" t="str">
            <v>SPM L300 MDN-MDN-12 CBM</v>
          </cell>
          <cell r="C1798" t="str">
            <v>NHD</v>
          </cell>
        </row>
        <row r="1799">
          <cell r="A1799" t="str">
            <v>BIA-EKS-0404</v>
          </cell>
          <cell r="B1799" t="str">
            <v>SPM L300 MDN-PEMATANG SIANTAR-12 CBM</v>
          </cell>
          <cell r="C1799" t="str">
            <v>NHD</v>
          </cell>
        </row>
        <row r="1800">
          <cell r="A1800" t="str">
            <v>BIA-EKS-0405</v>
          </cell>
          <cell r="B1800" t="str">
            <v>SPM L300 MDN-RANTAU PRAPAT-12 CBM</v>
          </cell>
          <cell r="C1800" t="str">
            <v>NHD</v>
          </cell>
        </row>
        <row r="1801">
          <cell r="A1801" t="str">
            <v>BIA-EKS-0406</v>
          </cell>
          <cell r="B1801" t="str">
            <v>SPM L300 MDN-SIBOLGA-12 CBM</v>
          </cell>
          <cell r="C1801" t="str">
            <v>NHD</v>
          </cell>
        </row>
        <row r="1802">
          <cell r="A1802" t="str">
            <v>BIA-EKS-0407</v>
          </cell>
          <cell r="B1802" t="str">
            <v>SPM L300 MDN-BINJAI-12 CBM</v>
          </cell>
          <cell r="C1802" t="str">
            <v>NHD</v>
          </cell>
        </row>
        <row r="1803">
          <cell r="A1803" t="str">
            <v>BIA-EKS-0408</v>
          </cell>
          <cell r="B1803" t="str">
            <v>SPM L300 MDN-STABAT-12 CBM</v>
          </cell>
          <cell r="C1803" t="str">
            <v>NHD</v>
          </cell>
        </row>
        <row r="1804">
          <cell r="A1804" t="str">
            <v>BIA-EKS-0409</v>
          </cell>
          <cell r="B1804" t="str">
            <v>SPM L300 MDN-SIGLI-12 CBM</v>
          </cell>
          <cell r="C1804" t="str">
            <v>NHD</v>
          </cell>
        </row>
        <row r="1805">
          <cell r="A1805" t="str">
            <v>BIA-EKS-0410</v>
          </cell>
          <cell r="B1805" t="str">
            <v>SPM L300 MDN-TANJUNGPURA-12 CBM</v>
          </cell>
          <cell r="C1805" t="str">
            <v>NHD</v>
          </cell>
        </row>
        <row r="1806">
          <cell r="A1806" t="str">
            <v>BIA-EKS-0411</v>
          </cell>
          <cell r="B1806" t="str">
            <v>SPM L300 MDN-TEBING TINGGI-12 CBM</v>
          </cell>
          <cell r="C1806" t="str">
            <v>NHD</v>
          </cell>
        </row>
        <row r="1807">
          <cell r="A1807" t="str">
            <v>BIA-EKS-0412</v>
          </cell>
          <cell r="B1807" t="str">
            <v>SPM L300 MDN-TAKENGON-12 CBM</v>
          </cell>
          <cell r="C1807" t="str">
            <v>NHD</v>
          </cell>
        </row>
        <row r="1808">
          <cell r="A1808" t="str">
            <v>BIA-EKS-0413</v>
          </cell>
          <cell r="B1808" t="str">
            <v>SPM L300 MDN-TARUTUNG-12 CBM</v>
          </cell>
          <cell r="C1808" t="str">
            <v>NHD</v>
          </cell>
        </row>
        <row r="1809">
          <cell r="A1809" t="str">
            <v>BIA-EKS-0414</v>
          </cell>
          <cell r="B1809" t="str">
            <v>SPM L300 MDN-TANJUNG BALAI ASAHAN-12 CBM</v>
          </cell>
          <cell r="C1809" t="str">
            <v>NHD</v>
          </cell>
        </row>
        <row r="1810">
          <cell r="A1810" t="str">
            <v>BIA-EKS-0415</v>
          </cell>
          <cell r="B1810" t="str">
            <v>SPM L300 MDN-SIMEULU-12 CBM</v>
          </cell>
          <cell r="C1810" t="str">
            <v>NHD</v>
          </cell>
        </row>
        <row r="1811">
          <cell r="A1811" t="str">
            <v>BIA-EKS-0416</v>
          </cell>
          <cell r="B1811" t="str">
            <v>SPM L300 MDN-GUNUNG SITOLI-12 CBM</v>
          </cell>
          <cell r="C1811" t="str">
            <v>NHD</v>
          </cell>
        </row>
        <row r="1812">
          <cell r="A1812" t="str">
            <v>BIA-EKS-0417</v>
          </cell>
          <cell r="B1812" t="str">
            <v>SPM L300 MDN-BALIGE-12 CBM</v>
          </cell>
          <cell r="C1812" t="str">
            <v>NHD</v>
          </cell>
        </row>
        <row r="1813">
          <cell r="A1813" t="str">
            <v>BIA-EKS-0418</v>
          </cell>
          <cell r="B1813" t="str">
            <v>SPM L300 MDN-PEKANBARU-12 CBM</v>
          </cell>
          <cell r="C1813" t="str">
            <v>NHD</v>
          </cell>
        </row>
        <row r="1814">
          <cell r="A1814" t="str">
            <v>BIA-EKS-0419</v>
          </cell>
          <cell r="B1814" t="str">
            <v>SPM L300 MDN-PADANG SIDEMPUAN-12 CBM</v>
          </cell>
          <cell r="C1814" t="str">
            <v>NHD</v>
          </cell>
        </row>
        <row r="1815">
          <cell r="A1815" t="str">
            <v>BIA-EKS-0420</v>
          </cell>
          <cell r="B1815" t="str">
            <v>SPM L300 MDN-SERDANG BEDAGAI (PABATU)-12 CBM</v>
          </cell>
          <cell r="C1815" t="str">
            <v>NHD</v>
          </cell>
        </row>
        <row r="1816">
          <cell r="A1816" t="str">
            <v>BIA-EKS-0421</v>
          </cell>
          <cell r="B1816" t="str">
            <v>SPM CD-4 MDN-BANDA ACEH-7 CBM</v>
          </cell>
          <cell r="C1816" t="str">
            <v>NHD</v>
          </cell>
        </row>
        <row r="1817">
          <cell r="A1817" t="str">
            <v>BIA-EKS-0422</v>
          </cell>
          <cell r="B1817" t="str">
            <v>SPM CD-4 MDN-BLANG PIDIE-7 CBM</v>
          </cell>
          <cell r="C1817" t="str">
            <v>NHD</v>
          </cell>
        </row>
        <row r="1818">
          <cell r="A1818" t="str">
            <v>BIA-EKS-0423</v>
          </cell>
          <cell r="B1818" t="str">
            <v>SPM CD-4 MDN-MELABOH-7 CBM</v>
          </cell>
          <cell r="C1818" t="str">
            <v>NHD</v>
          </cell>
        </row>
        <row r="1819">
          <cell r="A1819" t="str">
            <v>BIA-EKS-0424</v>
          </cell>
          <cell r="B1819" t="str">
            <v>SPM CD-4 MDN-KISARAN-7 CBM</v>
          </cell>
          <cell r="C1819" t="str">
            <v>NHD</v>
          </cell>
        </row>
        <row r="1820">
          <cell r="A1820" t="str">
            <v>BIA-EKS-0425</v>
          </cell>
          <cell r="B1820" t="str">
            <v>SPM CD-4 MDN-KABAN JAHE-7 CBM</v>
          </cell>
          <cell r="C1820" t="str">
            <v>NHD</v>
          </cell>
        </row>
        <row r="1821">
          <cell r="A1821" t="str">
            <v>BIA-EKS-0426</v>
          </cell>
          <cell r="B1821" t="str">
            <v>SPM CD-4 MDN-LHOKSEUMWE-7 CBM</v>
          </cell>
          <cell r="C1821" t="str">
            <v>NHD</v>
          </cell>
        </row>
        <row r="1822">
          <cell r="A1822" t="str">
            <v>BIA-EKS-0427</v>
          </cell>
          <cell r="B1822" t="str">
            <v>SPM CD-4 MDN-PT.ARUN-7 CBM</v>
          </cell>
          <cell r="C1822" t="str">
            <v>NHD</v>
          </cell>
        </row>
        <row r="1823">
          <cell r="A1823" t="str">
            <v>BIA-EKS-0428</v>
          </cell>
          <cell r="B1823" t="str">
            <v>SPM CD-4 MDN-LANGSA-7 CBM</v>
          </cell>
          <cell r="C1823" t="str">
            <v>NHD</v>
          </cell>
        </row>
        <row r="1824">
          <cell r="A1824" t="str">
            <v>BIA-EKS-0429</v>
          </cell>
          <cell r="B1824" t="str">
            <v>SPM CD-4 MDN-ACEH TAMIANG-7 CBM</v>
          </cell>
          <cell r="C1824" t="str">
            <v>NHD</v>
          </cell>
        </row>
        <row r="1825">
          <cell r="A1825" t="str">
            <v>BIA-EKS-0430</v>
          </cell>
          <cell r="B1825" t="str">
            <v>SPM CD-4 MDN-LUBUK PAKAM-7 CBM</v>
          </cell>
          <cell r="C1825" t="str">
            <v>NHD</v>
          </cell>
        </row>
        <row r="1826">
          <cell r="A1826" t="str">
            <v>BIA-EKS-0431</v>
          </cell>
          <cell r="B1826" t="str">
            <v>SPM CD-4 MDN-MDN-7 CBM</v>
          </cell>
          <cell r="C1826" t="str">
            <v>NHD</v>
          </cell>
        </row>
        <row r="1827">
          <cell r="A1827" t="str">
            <v>BIA-EKS-0432</v>
          </cell>
          <cell r="B1827" t="str">
            <v>SPM CD-4 MDN-PEMATANG SIANTAR-7 CBM</v>
          </cell>
          <cell r="C1827" t="str">
            <v>NHD</v>
          </cell>
        </row>
        <row r="1828">
          <cell r="A1828" t="str">
            <v>BIA-EKS-0433</v>
          </cell>
          <cell r="B1828" t="str">
            <v>SPM CD-4 MDN-RANTAU PRAPAT-7 CBM</v>
          </cell>
          <cell r="C1828" t="str">
            <v>NHD</v>
          </cell>
        </row>
        <row r="1829">
          <cell r="A1829" t="str">
            <v>BIA-EKS-0434</v>
          </cell>
          <cell r="B1829" t="str">
            <v>SPM CD-4 MDN-SIBOLGA-7 CBM</v>
          </cell>
          <cell r="C1829" t="str">
            <v>NHD</v>
          </cell>
        </row>
        <row r="1830">
          <cell r="A1830" t="str">
            <v>BIA-EKS-0435</v>
          </cell>
          <cell r="B1830" t="str">
            <v>SPM CD-4 MDN-BINJAI-7 CBM</v>
          </cell>
          <cell r="C1830" t="str">
            <v>NHD</v>
          </cell>
        </row>
        <row r="1831">
          <cell r="A1831" t="str">
            <v>BIA-EKS-0436</v>
          </cell>
          <cell r="B1831" t="str">
            <v>SPM CD-4 MDN-STABAT-7 CBM</v>
          </cell>
          <cell r="C1831" t="str">
            <v>NHD</v>
          </cell>
        </row>
        <row r="1832">
          <cell r="A1832" t="str">
            <v>BIA-EKS-0437</v>
          </cell>
          <cell r="B1832" t="str">
            <v>SPM CD-4 MDN-SIGLI-7 CBM</v>
          </cell>
          <cell r="C1832" t="str">
            <v>NHD</v>
          </cell>
        </row>
        <row r="1833">
          <cell r="A1833" t="str">
            <v>BIA-EKS-0438</v>
          </cell>
          <cell r="B1833" t="str">
            <v>SPM CD-4 MDN-TANJUNGPURA-7 CBM</v>
          </cell>
          <cell r="C1833" t="str">
            <v>NHD</v>
          </cell>
        </row>
        <row r="1834">
          <cell r="A1834" t="str">
            <v>BIA-EKS-0439</v>
          </cell>
          <cell r="B1834" t="str">
            <v>SPM CD-4 MDN-TEBING TINGGI-7 CBM</v>
          </cell>
          <cell r="C1834" t="str">
            <v>NHD</v>
          </cell>
        </row>
        <row r="1835">
          <cell r="A1835" t="str">
            <v>BIA-EKS-0440</v>
          </cell>
          <cell r="B1835" t="str">
            <v>SPM CD-4 MDN-TAKENGON-7 CBM</v>
          </cell>
          <cell r="C1835" t="str">
            <v>NHD</v>
          </cell>
        </row>
        <row r="1836">
          <cell r="A1836" t="str">
            <v>BIA-EKS-0441</v>
          </cell>
          <cell r="B1836" t="str">
            <v>SPM CD-4 MDN-TARUTUNG-7 CBM</v>
          </cell>
          <cell r="C1836" t="str">
            <v>NHD</v>
          </cell>
        </row>
        <row r="1837">
          <cell r="A1837" t="str">
            <v>BIA-EKS-0442</v>
          </cell>
          <cell r="B1837" t="str">
            <v>SPM CD-4 MDN-TANJUNG BALAI ASAHAN-7 CBM</v>
          </cell>
          <cell r="C1837" t="str">
            <v>NHD</v>
          </cell>
        </row>
        <row r="1838">
          <cell r="A1838" t="str">
            <v>BIA-EKS-0443</v>
          </cell>
          <cell r="B1838" t="str">
            <v>SPM CD-4 MDN-SIMEULU-7 CBM</v>
          </cell>
          <cell r="C1838" t="str">
            <v>NHD</v>
          </cell>
        </row>
        <row r="1839">
          <cell r="A1839" t="str">
            <v>BIA-EKS-0444</v>
          </cell>
          <cell r="B1839" t="str">
            <v>SPM CD-4 MDN-GUNUNG SITOLI-7 CBM</v>
          </cell>
          <cell r="C1839" t="str">
            <v>NHD</v>
          </cell>
        </row>
        <row r="1840">
          <cell r="A1840" t="str">
            <v>BIA-EKS-0445</v>
          </cell>
          <cell r="B1840" t="str">
            <v>SPM CD-4 MDN-BALIGE-7 CBM</v>
          </cell>
          <cell r="C1840" t="str">
            <v>NHD</v>
          </cell>
        </row>
        <row r="1841">
          <cell r="A1841" t="str">
            <v>BIA-EKS-0446</v>
          </cell>
          <cell r="B1841" t="str">
            <v>SPM CD-4 MDN-PEKANBARU-7 CBM</v>
          </cell>
          <cell r="C1841" t="str">
            <v>NHD</v>
          </cell>
        </row>
        <row r="1842">
          <cell r="A1842" t="str">
            <v>BIA-EKS-0447</v>
          </cell>
          <cell r="B1842" t="str">
            <v>SPM CD-4 MDN-PADANG SIDEMPUAN-7 CBM</v>
          </cell>
          <cell r="C1842" t="str">
            <v>NHD</v>
          </cell>
        </row>
        <row r="1843">
          <cell r="A1843" t="str">
            <v>BIA-EKS-0448</v>
          </cell>
          <cell r="B1843" t="str">
            <v>SPM CD-4 MDN-SERDANG BEDAGAI (PABATU)-7 CBM</v>
          </cell>
          <cell r="C1843" t="str">
            <v>NHD</v>
          </cell>
        </row>
        <row r="1844">
          <cell r="A1844" t="str">
            <v>BIA-EKS-0449</v>
          </cell>
          <cell r="B1844" t="str">
            <v>SPM CD-6 MDN-BANDA ACEH-7 CBM</v>
          </cell>
          <cell r="C1844" t="str">
            <v>NHD</v>
          </cell>
        </row>
        <row r="1845">
          <cell r="A1845" t="str">
            <v>BIA-EKS-0450</v>
          </cell>
          <cell r="B1845" t="str">
            <v>SPM CD-6 MDN-BLANG PIDIE-7 CBM</v>
          </cell>
          <cell r="C1845" t="str">
            <v>NHD</v>
          </cell>
        </row>
        <row r="1846">
          <cell r="A1846" t="str">
            <v>BIA-EKS-0451</v>
          </cell>
          <cell r="B1846" t="str">
            <v>SPM CD-6 MDN-MELABOH-7 CBM</v>
          </cell>
          <cell r="C1846" t="str">
            <v>NHD</v>
          </cell>
        </row>
        <row r="1847">
          <cell r="A1847" t="str">
            <v>BIA-EKS-0452</v>
          </cell>
          <cell r="B1847" t="str">
            <v>SPM CD-6 MDN-KISARAN-7 CBM</v>
          </cell>
          <cell r="C1847" t="str">
            <v>NHD</v>
          </cell>
        </row>
        <row r="1848">
          <cell r="A1848" t="str">
            <v>BIA-EKS-0453</v>
          </cell>
          <cell r="B1848" t="str">
            <v>SPM CD-6 MDN-KABAN JAHE-7 CBM</v>
          </cell>
          <cell r="C1848" t="str">
            <v>NHD</v>
          </cell>
        </row>
        <row r="1849">
          <cell r="A1849" t="str">
            <v>BIA-EKS-0454</v>
          </cell>
          <cell r="B1849" t="str">
            <v>SPM CD-6 MDN-LHOKSEUMWE-7 CBM</v>
          </cell>
          <cell r="C1849" t="str">
            <v>NHD</v>
          </cell>
        </row>
        <row r="1850">
          <cell r="A1850" t="str">
            <v>BIA-EKS-0455</v>
          </cell>
          <cell r="B1850" t="str">
            <v>SPM CD-6 MDN-PT.ARUN-7 CBM</v>
          </cell>
          <cell r="C1850" t="str">
            <v>NHD</v>
          </cell>
        </row>
        <row r="1851">
          <cell r="A1851" t="str">
            <v>BIA-EKS-0456</v>
          </cell>
          <cell r="B1851" t="str">
            <v>SPM CD-6 MDN-LANGSA-7 CBM</v>
          </cell>
          <cell r="C1851" t="str">
            <v>NHD</v>
          </cell>
        </row>
        <row r="1852">
          <cell r="A1852" t="str">
            <v>BIA-EKS-0457</v>
          </cell>
          <cell r="B1852" t="str">
            <v>SPM CD-6 MDN-ACEH TAMIANG-7 CBM</v>
          </cell>
          <cell r="C1852" t="str">
            <v>NHD</v>
          </cell>
        </row>
        <row r="1853">
          <cell r="A1853" t="str">
            <v>BIA-EKS-0458</v>
          </cell>
          <cell r="B1853" t="str">
            <v>SPM CD-6 MDN-LUBUK PAKAM-7 CBM</v>
          </cell>
          <cell r="C1853" t="str">
            <v>NHD</v>
          </cell>
        </row>
        <row r="1854">
          <cell r="A1854" t="str">
            <v>BIA-EKS-0459</v>
          </cell>
          <cell r="B1854" t="str">
            <v>SPM CD-6 MDN-MDN-7 CBM</v>
          </cell>
          <cell r="C1854" t="str">
            <v>NHD</v>
          </cell>
        </row>
        <row r="1855">
          <cell r="A1855" t="str">
            <v>BIA-EKS-0460</v>
          </cell>
          <cell r="B1855" t="str">
            <v>SPM CD-6 MDN-PEMATANG SIANTAR-7 CBM</v>
          </cell>
          <cell r="C1855" t="str">
            <v>NHD</v>
          </cell>
        </row>
        <row r="1856">
          <cell r="A1856" t="str">
            <v>BIA-EKS-0461</v>
          </cell>
          <cell r="B1856" t="str">
            <v>SPM CD-6 MDN-RANTAU PRAPAT-7 CBM</v>
          </cell>
          <cell r="C1856" t="str">
            <v>NHD</v>
          </cell>
        </row>
        <row r="1857">
          <cell r="A1857" t="str">
            <v>BIA-EKS-0462</v>
          </cell>
          <cell r="B1857" t="str">
            <v>SPM CD-6 MDN-SIBOLGA-7 CBM</v>
          </cell>
          <cell r="C1857" t="str">
            <v>NHD</v>
          </cell>
        </row>
        <row r="1858">
          <cell r="A1858" t="str">
            <v>BIA-EKS-0463</v>
          </cell>
          <cell r="B1858" t="str">
            <v>SPM CD-6 MDN-BINJAI-7 CBM</v>
          </cell>
          <cell r="C1858" t="str">
            <v>NHD</v>
          </cell>
        </row>
        <row r="1859">
          <cell r="A1859" t="str">
            <v>BIA-EKS-0464</v>
          </cell>
          <cell r="B1859" t="str">
            <v>SPM CD-6 MDN-STABAT-7 CBM</v>
          </cell>
          <cell r="C1859" t="str">
            <v>NHD</v>
          </cell>
        </row>
        <row r="1860">
          <cell r="A1860" t="str">
            <v>BIA-EKS-0465</v>
          </cell>
          <cell r="B1860" t="str">
            <v>SPM CD-6 MDN-SIGLI-7 CBM</v>
          </cell>
          <cell r="C1860" t="str">
            <v>NHD</v>
          </cell>
        </row>
        <row r="1861">
          <cell r="A1861" t="str">
            <v>BIA-EKS-0466</v>
          </cell>
          <cell r="B1861" t="str">
            <v>SPM CD-6 MDN-TANJUNGPURA-7 CBM</v>
          </cell>
          <cell r="C1861" t="str">
            <v>NHD</v>
          </cell>
        </row>
        <row r="1862">
          <cell r="A1862" t="str">
            <v>BIA-EKS-0467</v>
          </cell>
          <cell r="B1862" t="str">
            <v>SPM CD-6 MDN-TEBING TINGGI-7 CBM</v>
          </cell>
          <cell r="C1862" t="str">
            <v>NHD</v>
          </cell>
        </row>
        <row r="1863">
          <cell r="A1863" t="str">
            <v>BIA-EKS-0468</v>
          </cell>
          <cell r="B1863" t="str">
            <v>SPM CD-6 MDN-TAKENGON-7 CBM</v>
          </cell>
          <cell r="C1863" t="str">
            <v>NHD</v>
          </cell>
        </row>
        <row r="1864">
          <cell r="A1864" t="str">
            <v>BIA-EKS-0469</v>
          </cell>
          <cell r="B1864" t="str">
            <v>SPM CD-6 MDN-TARUTUNG-7 CBM</v>
          </cell>
          <cell r="C1864" t="str">
            <v>NHD</v>
          </cell>
        </row>
        <row r="1865">
          <cell r="A1865" t="str">
            <v>BIA-EKS-0470</v>
          </cell>
          <cell r="B1865" t="str">
            <v>SPM CD-6 MDN-TANJUNG BALAI ASAHAN-7 CBM</v>
          </cell>
          <cell r="C1865" t="str">
            <v>NHD</v>
          </cell>
        </row>
        <row r="1866">
          <cell r="A1866" t="str">
            <v>BIA-EKS-0471</v>
          </cell>
          <cell r="B1866" t="str">
            <v>SPM CD-6 MDN-SIMEULU-7 CBM</v>
          </cell>
          <cell r="C1866" t="str">
            <v>NHD</v>
          </cell>
        </row>
        <row r="1867">
          <cell r="A1867" t="str">
            <v>BIA-EKS-0472</v>
          </cell>
          <cell r="B1867" t="str">
            <v>SPM CD-6 MDN-GUNUNG SITOLI-7 CBM</v>
          </cell>
          <cell r="C1867" t="str">
            <v>NHD</v>
          </cell>
        </row>
        <row r="1868">
          <cell r="A1868" t="str">
            <v>BIA-EKS-0473</v>
          </cell>
          <cell r="B1868" t="str">
            <v>SPM CD-6 MDN-BALIGE-7 CBM</v>
          </cell>
          <cell r="C1868" t="str">
            <v>NHD</v>
          </cell>
        </row>
        <row r="1869">
          <cell r="A1869" t="str">
            <v>BIA-EKS-0474</v>
          </cell>
          <cell r="B1869" t="str">
            <v>SPM CD-6 MDN-PEKANBARU-7 CBM</v>
          </cell>
          <cell r="C1869" t="str">
            <v>NHD</v>
          </cell>
        </row>
        <row r="1870">
          <cell r="A1870" t="str">
            <v>BIA-EKS-0475</v>
          </cell>
          <cell r="B1870" t="str">
            <v>SPM CD-6 MDN-PADANG SIDEMPUAN-7 CBM</v>
          </cell>
          <cell r="C1870" t="str">
            <v>NHD</v>
          </cell>
        </row>
        <row r="1871">
          <cell r="A1871" t="str">
            <v>BIA-EKS-0476</v>
          </cell>
          <cell r="B1871" t="str">
            <v>SPM CD-6 MDN-SERDANG BEDAGAI (PABATU)-7 CBM</v>
          </cell>
          <cell r="C1871" t="str">
            <v>NHD</v>
          </cell>
        </row>
        <row r="1872">
          <cell r="A1872" t="str">
            <v>BIA-EKS-0477</v>
          </cell>
          <cell r="B1872" t="str">
            <v>SPM OT MDN-BANDA ACEH-3 CBM</v>
          </cell>
          <cell r="C1872" t="str">
            <v>NHD</v>
          </cell>
        </row>
        <row r="1873">
          <cell r="A1873" t="str">
            <v>BIA-EKS-0478</v>
          </cell>
          <cell r="B1873" t="str">
            <v>SPM OT MDN-BLANG PIDIE-3 CBM</v>
          </cell>
          <cell r="C1873" t="str">
            <v>NHD</v>
          </cell>
        </row>
        <row r="1874">
          <cell r="A1874" t="str">
            <v>BIA-EKS-0479</v>
          </cell>
          <cell r="B1874" t="str">
            <v>SPM OT MDN-MELABOH-3 CBM</v>
          </cell>
          <cell r="C1874" t="str">
            <v>NHD</v>
          </cell>
        </row>
        <row r="1875">
          <cell r="A1875" t="str">
            <v>BIA-EKS-0480</v>
          </cell>
          <cell r="B1875" t="str">
            <v>SPM OT MDN-KISARAN-3 CBM</v>
          </cell>
          <cell r="C1875" t="str">
            <v>NHD</v>
          </cell>
        </row>
        <row r="1876">
          <cell r="A1876" t="str">
            <v>BIA-EKS-0481</v>
          </cell>
          <cell r="B1876" t="str">
            <v>SPM OT MDN-KABAN JAHE-3 CBM</v>
          </cell>
          <cell r="C1876" t="str">
            <v>NHD</v>
          </cell>
        </row>
        <row r="1877">
          <cell r="A1877" t="str">
            <v>BIA-EKS-0482</v>
          </cell>
          <cell r="B1877" t="str">
            <v>SPM OT MDN-LHOKSEUMWE-3 CBM</v>
          </cell>
          <cell r="C1877" t="str">
            <v>NHD</v>
          </cell>
        </row>
        <row r="1878">
          <cell r="A1878" t="str">
            <v>BIA-EKS-0483</v>
          </cell>
          <cell r="B1878" t="str">
            <v>SPM OT MDN-PT.ARUN-3 CBM</v>
          </cell>
          <cell r="C1878" t="str">
            <v>NHD</v>
          </cell>
        </row>
        <row r="1879">
          <cell r="A1879" t="str">
            <v>BIA-EKS-0484</v>
          </cell>
          <cell r="B1879" t="str">
            <v>SPM OT MDN-LANGSA-3 CBM</v>
          </cell>
          <cell r="C1879" t="str">
            <v>NHD</v>
          </cell>
        </row>
        <row r="1880">
          <cell r="A1880" t="str">
            <v>BIA-EKS-0485</v>
          </cell>
          <cell r="B1880" t="str">
            <v>SPM OT MDN-ACEH TAMIANG-3 CBM</v>
          </cell>
          <cell r="C1880" t="str">
            <v>NHD</v>
          </cell>
        </row>
        <row r="1881">
          <cell r="A1881" t="str">
            <v>BIA-EKS-0486</v>
          </cell>
          <cell r="B1881" t="str">
            <v>SPM OT MDN-LUBUK PAKAM-3 CBM</v>
          </cell>
          <cell r="C1881" t="str">
            <v>NHD</v>
          </cell>
        </row>
        <row r="1882">
          <cell r="A1882" t="str">
            <v>BIA-EKS-0487</v>
          </cell>
          <cell r="B1882" t="str">
            <v>SPM OT MDN-MDN-3 CBM</v>
          </cell>
          <cell r="C1882" t="str">
            <v>NHD</v>
          </cell>
        </row>
        <row r="1883">
          <cell r="A1883" t="str">
            <v>BIA-EKS-0488</v>
          </cell>
          <cell r="B1883" t="str">
            <v>SPM OT MDN-PEMATANG SIANTAR-3 CBM</v>
          </cell>
          <cell r="C1883" t="str">
            <v>NHD</v>
          </cell>
        </row>
        <row r="1884">
          <cell r="A1884" t="str">
            <v>BIA-EKS-0489</v>
          </cell>
          <cell r="B1884" t="str">
            <v>SPM OT MDN-RANTAU PRAPAT-3 CBM</v>
          </cell>
          <cell r="C1884" t="str">
            <v>NHD</v>
          </cell>
        </row>
        <row r="1885">
          <cell r="A1885" t="str">
            <v>BIA-EKS-0490</v>
          </cell>
          <cell r="B1885" t="str">
            <v>SPM OT MDN-SIBOLGA-3 CBM</v>
          </cell>
          <cell r="C1885" t="str">
            <v>NHD</v>
          </cell>
        </row>
        <row r="1886">
          <cell r="A1886" t="str">
            <v>BIA-EKS-0491</v>
          </cell>
          <cell r="B1886" t="str">
            <v>SPM OT MDN-BINJAI-3 CBM</v>
          </cell>
          <cell r="C1886" t="str">
            <v>NHD</v>
          </cell>
        </row>
        <row r="1887">
          <cell r="A1887" t="str">
            <v>BIA-EKS-0492</v>
          </cell>
          <cell r="B1887" t="str">
            <v>SPM OT MDN-STABAT-3 CBM</v>
          </cell>
          <cell r="C1887" t="str">
            <v>NHD</v>
          </cell>
        </row>
        <row r="1888">
          <cell r="A1888" t="str">
            <v>BIA-EKS-0493</v>
          </cell>
          <cell r="B1888" t="str">
            <v>SPM OT MDN-SIGLI-3 CBM</v>
          </cell>
          <cell r="C1888" t="str">
            <v>NHD</v>
          </cell>
        </row>
        <row r="1889">
          <cell r="A1889" t="str">
            <v>BIA-EKS-0494</v>
          </cell>
          <cell r="B1889" t="str">
            <v>SPM OT MDN-TANJUNGPURA-3 CBM</v>
          </cell>
          <cell r="C1889" t="str">
            <v>NHD</v>
          </cell>
        </row>
        <row r="1890">
          <cell r="A1890" t="str">
            <v>BIA-EKS-0495</v>
          </cell>
          <cell r="B1890" t="str">
            <v>SPM OT MDN-TEBING TINGGI-3 CBM</v>
          </cell>
          <cell r="C1890" t="str">
            <v>NHD</v>
          </cell>
        </row>
        <row r="1891">
          <cell r="A1891" t="str">
            <v>BIA-EKS-0496</v>
          </cell>
          <cell r="B1891" t="str">
            <v>SPM OT MDN-TAKENGON-3 CBM</v>
          </cell>
          <cell r="C1891" t="str">
            <v>NHD</v>
          </cell>
        </row>
        <row r="1892">
          <cell r="A1892" t="str">
            <v>BIA-EKS-0497</v>
          </cell>
          <cell r="B1892" t="str">
            <v>SPM OT MDN-TARUTUNG-3 CBM</v>
          </cell>
          <cell r="C1892" t="str">
            <v>NHD</v>
          </cell>
        </row>
        <row r="1893">
          <cell r="A1893" t="str">
            <v>BIA-EKS-0498</v>
          </cell>
          <cell r="B1893" t="str">
            <v>SPM OT MDN-TANJUNG BALAI ASAHAN-3 CBM</v>
          </cell>
          <cell r="C1893" t="str">
            <v>NHD</v>
          </cell>
        </row>
        <row r="1894">
          <cell r="A1894" t="str">
            <v>BIA-EKS-0499</v>
          </cell>
          <cell r="B1894" t="str">
            <v>SPM OT MDN-SIMEULU-3 CBM</v>
          </cell>
          <cell r="C1894" t="str">
            <v>NHD</v>
          </cell>
        </row>
        <row r="1895">
          <cell r="A1895" t="str">
            <v>BIA-EKS-0500</v>
          </cell>
          <cell r="B1895" t="str">
            <v>SPM OT MDN-GUNUNG SITOLI-3 CBM</v>
          </cell>
          <cell r="C1895" t="str">
            <v>NHD</v>
          </cell>
        </row>
        <row r="1896">
          <cell r="A1896" t="str">
            <v>BIA-EKS-0501</v>
          </cell>
          <cell r="B1896" t="str">
            <v>SPM OT MDN-BALIGE-3 CBM</v>
          </cell>
          <cell r="C1896" t="str">
            <v>NHD</v>
          </cell>
        </row>
        <row r="1897">
          <cell r="A1897" t="str">
            <v>BIA-EKS-0502</v>
          </cell>
          <cell r="B1897" t="str">
            <v>SPM OT MDN-PEKANBARU-3 CBM</v>
          </cell>
          <cell r="C1897" t="str">
            <v>NHD</v>
          </cell>
        </row>
        <row r="1898">
          <cell r="A1898" t="str">
            <v>BIA-EKS-0503</v>
          </cell>
          <cell r="B1898" t="str">
            <v>SPM OT MDN-PADANG SIDEMPUAN-3 CBM</v>
          </cell>
          <cell r="C1898" t="str">
            <v>NHD</v>
          </cell>
        </row>
        <row r="1899">
          <cell r="A1899" t="str">
            <v>BIA-EKS-0504</v>
          </cell>
          <cell r="B1899" t="str">
            <v>SPM OT MDN-SERDANG BEDAGAI (PABATU)-3 CBM</v>
          </cell>
          <cell r="C1899" t="str">
            <v>NHD</v>
          </cell>
        </row>
        <row r="1900">
          <cell r="A1900" t="str">
            <v>BIA-EKS-0505</v>
          </cell>
          <cell r="B1900" t="str">
            <v>LJR CDE MKS-TAKALAR (JERIGEN)</v>
          </cell>
          <cell r="C1900" t="str">
            <v>NHD</v>
          </cell>
        </row>
        <row r="1901">
          <cell r="A1901" t="str">
            <v>BIA-EKS-0506</v>
          </cell>
          <cell r="B1901" t="str">
            <v>LJR CDE MKS-JENEPONTO (JERIGEN)</v>
          </cell>
          <cell r="C1901" t="str">
            <v>NHD</v>
          </cell>
        </row>
        <row r="1902">
          <cell r="A1902" t="str">
            <v>BIA-EKS-0507</v>
          </cell>
          <cell r="B1902" t="str">
            <v>LJR CDE MKS-PANGKEP (JERIGEN)</v>
          </cell>
          <cell r="C1902" t="str">
            <v>NHD</v>
          </cell>
        </row>
        <row r="1903">
          <cell r="A1903" t="str">
            <v>BIA-EKS-0508</v>
          </cell>
          <cell r="B1903" t="str">
            <v>LJR CDE MKS-BANTAENG (JERIGEN)</v>
          </cell>
          <cell r="C1903" t="str">
            <v>NHD</v>
          </cell>
        </row>
        <row r="1904">
          <cell r="A1904" t="str">
            <v>BIA-EKS-0509</v>
          </cell>
          <cell r="B1904" t="str">
            <v>LJR CDE MKS-BULUKUMBA (JERIGEN)</v>
          </cell>
          <cell r="C1904" t="str">
            <v>NHD</v>
          </cell>
        </row>
        <row r="1905">
          <cell r="A1905" t="str">
            <v>BIA-EKS-0510</v>
          </cell>
          <cell r="B1905" t="str">
            <v>LJR CDE MKS-SINJAI (JERIGEN)</v>
          </cell>
          <cell r="C1905" t="str">
            <v>NHD</v>
          </cell>
        </row>
        <row r="1906">
          <cell r="A1906" t="str">
            <v>BIA-EKS-0511</v>
          </cell>
          <cell r="B1906" t="str">
            <v>LJR CDE MKS-BARRU (JERIGEN)</v>
          </cell>
          <cell r="C1906" t="str">
            <v>NHD</v>
          </cell>
        </row>
        <row r="1907">
          <cell r="A1907" t="str">
            <v>BIA-EKS-0512</v>
          </cell>
          <cell r="B1907" t="str">
            <v>LJR CDE MKS-PARE-PARE (JERIGEN)</v>
          </cell>
          <cell r="C1907" t="str">
            <v>NHD</v>
          </cell>
        </row>
        <row r="1908">
          <cell r="A1908" t="str">
            <v>BIA-EKS-0513</v>
          </cell>
          <cell r="B1908" t="str">
            <v>LJR CDE MKS-PINRANG (JERIGEN)</v>
          </cell>
          <cell r="C1908" t="str">
            <v>NHD</v>
          </cell>
        </row>
        <row r="1909">
          <cell r="A1909" t="str">
            <v>BIA-EKS-0514</v>
          </cell>
          <cell r="B1909" t="str">
            <v>LJR CDE MKS-SIDRAP (JERIGEN)</v>
          </cell>
          <cell r="C1909" t="str">
            <v>NHD</v>
          </cell>
        </row>
        <row r="1910">
          <cell r="A1910" t="str">
            <v>BIA-EKS-0515</v>
          </cell>
          <cell r="B1910" t="str">
            <v>LJR CDE MKS-SOPPENG (JERIGEN)</v>
          </cell>
          <cell r="C1910" t="str">
            <v>NHD</v>
          </cell>
        </row>
        <row r="1911">
          <cell r="A1911" t="str">
            <v>BIA-EKS-0516</v>
          </cell>
          <cell r="B1911" t="str">
            <v>LJR CDE MKS-BONE (JERIGEN)</v>
          </cell>
          <cell r="C1911" t="str">
            <v>NHD</v>
          </cell>
        </row>
        <row r="1912">
          <cell r="A1912" t="str">
            <v>BIA-EKS-0517</v>
          </cell>
          <cell r="B1912" t="str">
            <v>LJR CDE MKS-SENGKANG (JERIGEN)</v>
          </cell>
          <cell r="C1912" t="str">
            <v>NHD</v>
          </cell>
        </row>
        <row r="1913">
          <cell r="A1913" t="str">
            <v>BIA-EKS-0518</v>
          </cell>
          <cell r="B1913" t="str">
            <v>LJR CDE MKS-ENREKANG (JERIGEN)</v>
          </cell>
          <cell r="C1913" t="str">
            <v>NHD</v>
          </cell>
        </row>
        <row r="1914">
          <cell r="A1914" t="str">
            <v>BIA-EKS-0519</v>
          </cell>
          <cell r="B1914" t="str">
            <v>LJR CDE MKS-MAKALE (JERIGEN)</v>
          </cell>
          <cell r="C1914" t="str">
            <v>NHD</v>
          </cell>
        </row>
        <row r="1915">
          <cell r="A1915" t="str">
            <v>BIA-EKS-0520</v>
          </cell>
          <cell r="B1915" t="str">
            <v>LJR CDE MKS-RANTEPAO (JERIGEN)</v>
          </cell>
          <cell r="C1915" t="str">
            <v>NHD</v>
          </cell>
        </row>
        <row r="1916">
          <cell r="A1916" t="str">
            <v>BIA-EKS-0521</v>
          </cell>
          <cell r="B1916" t="str">
            <v>LJR CDE MKS-PALOPO (JERIGEN)</v>
          </cell>
          <cell r="C1916" t="str">
            <v>NHD</v>
          </cell>
        </row>
        <row r="1917">
          <cell r="A1917" t="str">
            <v>BIA-EKS-0522</v>
          </cell>
          <cell r="B1917" t="str">
            <v>LJR CDE MKS-BELOPA (JERIGEN)</v>
          </cell>
          <cell r="C1917" t="str">
            <v>NHD</v>
          </cell>
        </row>
        <row r="1918">
          <cell r="A1918" t="str">
            <v>BIA-EKS-0523</v>
          </cell>
          <cell r="B1918" t="str">
            <v>LJR CDE MKS-MASAMBA (JERIGEN)</v>
          </cell>
          <cell r="C1918" t="str">
            <v>NHD</v>
          </cell>
        </row>
        <row r="1919">
          <cell r="A1919" t="str">
            <v>BIA-EKS-0524</v>
          </cell>
          <cell r="B1919" t="str">
            <v>LJR CDE MKS-MAMUJU (JERIGEN)</v>
          </cell>
          <cell r="C1919" t="str">
            <v>NHD</v>
          </cell>
        </row>
        <row r="1920">
          <cell r="A1920" t="str">
            <v>BIA-EKS-0525</v>
          </cell>
          <cell r="B1920" t="str">
            <v>LJR CDE MKS-PALU (JERIGEN)</v>
          </cell>
          <cell r="C1920" t="str">
            <v>NHD</v>
          </cell>
        </row>
        <row r="1921">
          <cell r="A1921" t="str">
            <v>BIA-EKS-0526</v>
          </cell>
          <cell r="B1921" t="str">
            <v>LJR CDE MKS-KENDARI (JERIGEN)</v>
          </cell>
          <cell r="C1921" t="str">
            <v>NHD</v>
          </cell>
        </row>
        <row r="1922">
          <cell r="A1922" t="str">
            <v>BIA-EKS-0527</v>
          </cell>
          <cell r="B1922" t="str">
            <v>LJR CDE MKS-POHUWATO (JERIGEN)</v>
          </cell>
          <cell r="C1922" t="str">
            <v>NHD</v>
          </cell>
        </row>
        <row r="1923">
          <cell r="A1923" t="str">
            <v>BIA-EKS-0528</v>
          </cell>
          <cell r="B1923" t="str">
            <v>LJR CDE MKS-GORONTALO (JERIGEN)</v>
          </cell>
          <cell r="C1923" t="str">
            <v>NHD</v>
          </cell>
        </row>
        <row r="1924">
          <cell r="A1924" t="str">
            <v>BIA-EKS-0529</v>
          </cell>
          <cell r="B1924" t="str">
            <v>LJR CDE MKS-MANADO (JERIGEN)</v>
          </cell>
          <cell r="C1924" t="str">
            <v>NHD</v>
          </cell>
        </row>
        <row r="1925">
          <cell r="A1925" t="str">
            <v>BIA-EKS-0530</v>
          </cell>
          <cell r="B1925" t="str">
            <v>LJR CDE MKS-TAKALAR (DUS KECIL)</v>
          </cell>
          <cell r="C1925" t="str">
            <v>NHD</v>
          </cell>
        </row>
        <row r="1926">
          <cell r="A1926" t="str">
            <v>BIA-EKS-0531</v>
          </cell>
          <cell r="B1926" t="str">
            <v>LJR CDE MKS-JENEPONTO (DUS KECIL)</v>
          </cell>
          <cell r="C1926" t="str">
            <v>NHD</v>
          </cell>
        </row>
        <row r="1927">
          <cell r="A1927" t="str">
            <v>BIA-EKS-0532</v>
          </cell>
          <cell r="B1927" t="str">
            <v>LJR CDE MKS-PANGKEP (DUS KECIL)</v>
          </cell>
          <cell r="C1927" t="str">
            <v>NHD</v>
          </cell>
        </row>
        <row r="1928">
          <cell r="A1928" t="str">
            <v>BIA-EKS-0533</v>
          </cell>
          <cell r="B1928" t="str">
            <v>LJR CDE MKS-BANTAENG (DUS KECIL)</v>
          </cell>
          <cell r="C1928" t="str">
            <v>NHD</v>
          </cell>
        </row>
        <row r="1929">
          <cell r="A1929" t="str">
            <v>BIA-EKS-0534</v>
          </cell>
          <cell r="B1929" t="str">
            <v>LJR CDE MKS-BULUKUMBA (DUS KECIL)</v>
          </cell>
          <cell r="C1929" t="str">
            <v>NHD</v>
          </cell>
        </row>
        <row r="1930">
          <cell r="A1930" t="str">
            <v>BIA-EKS-0535</v>
          </cell>
          <cell r="B1930" t="str">
            <v>LJR CDE MKS-SINJAI (DUS KECIL)</v>
          </cell>
          <cell r="C1930" t="str">
            <v>NHD</v>
          </cell>
        </row>
        <row r="1931">
          <cell r="A1931" t="str">
            <v>BIA-EKS-0536</v>
          </cell>
          <cell r="B1931" t="str">
            <v>LJR CDE MKS-BARRU (DUS KECIL)</v>
          </cell>
          <cell r="C1931" t="str">
            <v>NHD</v>
          </cell>
        </row>
        <row r="1932">
          <cell r="A1932" t="str">
            <v>BIA-EKS-0537</v>
          </cell>
          <cell r="B1932" t="str">
            <v>LJR CDE MKS-PARE-PARE (DUS KECIL)</v>
          </cell>
          <cell r="C1932" t="str">
            <v>NHD</v>
          </cell>
        </row>
        <row r="1933">
          <cell r="A1933" t="str">
            <v>BIA-EKS-0538</v>
          </cell>
          <cell r="B1933" t="str">
            <v>LJR CDE MKS-PINRANG (DUS KECIL)</v>
          </cell>
          <cell r="C1933" t="str">
            <v>NHD</v>
          </cell>
        </row>
        <row r="1934">
          <cell r="A1934" t="str">
            <v>BIA-EKS-0539</v>
          </cell>
          <cell r="B1934" t="str">
            <v>LJR CDE MKS-SIDRAP (DUS KECIL)</v>
          </cell>
          <cell r="C1934" t="str">
            <v>NHD</v>
          </cell>
        </row>
        <row r="1935">
          <cell r="A1935" t="str">
            <v>BIA-EKS-0540</v>
          </cell>
          <cell r="B1935" t="str">
            <v>LJR CDE MKS-SOPPENG (DUS KECIL)</v>
          </cell>
          <cell r="C1935" t="str">
            <v>NHD</v>
          </cell>
        </row>
        <row r="1936">
          <cell r="A1936" t="str">
            <v>BIA-EKS-0541</v>
          </cell>
          <cell r="B1936" t="str">
            <v>LJR CDE MKS-BONE (DUS KECIL)</v>
          </cell>
          <cell r="C1936" t="str">
            <v>NHD</v>
          </cell>
        </row>
        <row r="1937">
          <cell r="A1937" t="str">
            <v>BIA-EKS-0542</v>
          </cell>
          <cell r="B1937" t="str">
            <v>LJR CDE MKS-SENGKANG (DUS KECIL)</v>
          </cell>
          <cell r="C1937" t="str">
            <v>NHD</v>
          </cell>
        </row>
        <row r="1938">
          <cell r="A1938" t="str">
            <v>BIA-EKS-0543</v>
          </cell>
          <cell r="B1938" t="str">
            <v>LJR CDE MKS-ENREKANG (DUS KECIL)</v>
          </cell>
          <cell r="C1938" t="str">
            <v>NHD</v>
          </cell>
        </row>
        <row r="1939">
          <cell r="A1939" t="str">
            <v>BIA-EKS-0544</v>
          </cell>
          <cell r="B1939" t="str">
            <v>LJR CDE MKS-MAKALE (DUS KECIL)</v>
          </cell>
          <cell r="C1939" t="str">
            <v>NHD</v>
          </cell>
        </row>
        <row r="1940">
          <cell r="A1940" t="str">
            <v>BIA-EKS-0545</v>
          </cell>
          <cell r="B1940" t="str">
            <v>LJR CDE MKS-RANTEPAO (DUS KECIL)</v>
          </cell>
          <cell r="C1940" t="str">
            <v>NHD</v>
          </cell>
        </row>
        <row r="1941">
          <cell r="A1941" t="str">
            <v>BIA-EKS-0546</v>
          </cell>
          <cell r="B1941" t="str">
            <v>LJR CDE MKS-PALOPO (DUS KECIL)</v>
          </cell>
          <cell r="C1941" t="str">
            <v>NHD</v>
          </cell>
        </row>
        <row r="1942">
          <cell r="A1942" t="str">
            <v>BIA-EKS-0547</v>
          </cell>
          <cell r="B1942" t="str">
            <v>LJR CDE MKS-BELOPA (DUS KECIL)</v>
          </cell>
          <cell r="C1942" t="str">
            <v>NHD</v>
          </cell>
        </row>
        <row r="1943">
          <cell r="A1943" t="str">
            <v>BIA-EKS-0548</v>
          </cell>
          <cell r="B1943" t="str">
            <v>LJR CDE MKS-MASAMBA (DUS KECIL)</v>
          </cell>
          <cell r="C1943" t="str">
            <v>NHD</v>
          </cell>
        </row>
        <row r="1944">
          <cell r="A1944" t="str">
            <v>BIA-EKS-0549</v>
          </cell>
          <cell r="B1944" t="str">
            <v>LJR CDE MKS-MAMUJU (DUS KECIL)</v>
          </cell>
          <cell r="C1944" t="str">
            <v>NHD</v>
          </cell>
        </row>
        <row r="1945">
          <cell r="A1945" t="str">
            <v>BIA-EKS-0550</v>
          </cell>
          <cell r="B1945" t="str">
            <v>LJR CDE MKS-PALU (DUS KECIL)</v>
          </cell>
          <cell r="C1945" t="str">
            <v>NHD</v>
          </cell>
        </row>
        <row r="1946">
          <cell r="A1946" t="str">
            <v>BIA-EKS-0551</v>
          </cell>
          <cell r="B1946" t="str">
            <v>LJR CDE MKS-KENDARI (DUS KECIL)</v>
          </cell>
          <cell r="C1946" t="str">
            <v>NHD</v>
          </cell>
        </row>
        <row r="1947">
          <cell r="A1947" t="str">
            <v>BIA-EKS-0552</v>
          </cell>
          <cell r="B1947" t="str">
            <v>LJR CDE MKS-POHUWATO (DUS KECIL)</v>
          </cell>
          <cell r="C1947" t="str">
            <v>NHD</v>
          </cell>
        </row>
        <row r="1948">
          <cell r="A1948" t="str">
            <v>BIA-EKS-0553</v>
          </cell>
          <cell r="B1948" t="str">
            <v>LJR CDE MKS-GORONTALO (DUS KECIL)</v>
          </cell>
          <cell r="C1948" t="str">
            <v>NHD</v>
          </cell>
        </row>
        <row r="1949">
          <cell r="A1949" t="str">
            <v>BIA-EKS-0554</v>
          </cell>
          <cell r="B1949" t="str">
            <v>LJR CDE MKS-MANADO (DUS KECIL)</v>
          </cell>
          <cell r="C1949" t="str">
            <v>NHD</v>
          </cell>
        </row>
        <row r="1950">
          <cell r="A1950" t="str">
            <v>BIA-EKS-0555</v>
          </cell>
          <cell r="B1950" t="str">
            <v>LJR CDE MKS-TAKALAR (DUS BESAR)</v>
          </cell>
          <cell r="C1950" t="str">
            <v>NHD</v>
          </cell>
        </row>
        <row r="1951">
          <cell r="A1951" t="str">
            <v>BIA-EKS-0556</v>
          </cell>
          <cell r="B1951" t="str">
            <v>LJR CDE MKS-JENEPONTO (DUS BESAR)</v>
          </cell>
          <cell r="C1951" t="str">
            <v>NHD</v>
          </cell>
        </row>
        <row r="1952">
          <cell r="A1952" t="str">
            <v>BIA-EKS-0557</v>
          </cell>
          <cell r="B1952" t="str">
            <v>LJR CDE MKS-PANGKEP (DUS BESAR)</v>
          </cell>
          <cell r="C1952" t="str">
            <v>NHD</v>
          </cell>
        </row>
        <row r="1953">
          <cell r="A1953" t="str">
            <v>BIA-EKS-0558</v>
          </cell>
          <cell r="B1953" t="str">
            <v>LJR CDE MKS-BANTAENG (DUS BESAR)</v>
          </cell>
          <cell r="C1953" t="str">
            <v>NHD</v>
          </cell>
        </row>
        <row r="1954">
          <cell r="A1954" t="str">
            <v>BIA-EKS-0559</v>
          </cell>
          <cell r="B1954" t="str">
            <v>LJR CDE MKS-BULUKUMBA (DUS BESAR)</v>
          </cell>
          <cell r="C1954" t="str">
            <v>NHD</v>
          </cell>
        </row>
        <row r="1955">
          <cell r="A1955" t="str">
            <v>BIA-EKS-0560</v>
          </cell>
          <cell r="B1955" t="str">
            <v>LJR CDE MKS-SINJAI (DUS BESAR)</v>
          </cell>
          <cell r="C1955" t="str">
            <v>NHD</v>
          </cell>
        </row>
        <row r="1956">
          <cell r="A1956" t="str">
            <v>BIA-EKS-0561</v>
          </cell>
          <cell r="B1956" t="str">
            <v>LJR CDE MKS-BARRU (DUS BESAR)</v>
          </cell>
          <cell r="C1956" t="str">
            <v>NHD</v>
          </cell>
        </row>
        <row r="1957">
          <cell r="A1957" t="str">
            <v>BIA-EKS-0562</v>
          </cell>
          <cell r="B1957" t="str">
            <v>LJR CDE MKS-PARE-PARE (DUS BESAR)</v>
          </cell>
          <cell r="C1957" t="str">
            <v>NHD</v>
          </cell>
        </row>
        <row r="1958">
          <cell r="A1958" t="str">
            <v>BIA-EKS-0563</v>
          </cell>
          <cell r="B1958" t="str">
            <v>LJR CDE MKS-PINRANG (DUS BESAR)</v>
          </cell>
          <cell r="C1958" t="str">
            <v>NHD</v>
          </cell>
        </row>
        <row r="1959">
          <cell r="A1959" t="str">
            <v>BIA-EKS-0564</v>
          </cell>
          <cell r="B1959" t="str">
            <v>LJR CDE MKS-SIDRAP (DUS BESAR)</v>
          </cell>
          <cell r="C1959" t="str">
            <v>NHD</v>
          </cell>
        </row>
        <row r="1960">
          <cell r="A1960" t="str">
            <v>BIA-EKS-0565</v>
          </cell>
          <cell r="B1960" t="str">
            <v>LJR CDE MKS-SOPPENG (DUS BESAR)</v>
          </cell>
          <cell r="C1960" t="str">
            <v>NHD</v>
          </cell>
        </row>
        <row r="1961">
          <cell r="A1961" t="str">
            <v>BIA-EKS-0566</v>
          </cell>
          <cell r="B1961" t="str">
            <v>LJR CDE MKS-BONE (DUS BESAR)</v>
          </cell>
          <cell r="C1961" t="str">
            <v>NHD</v>
          </cell>
        </row>
        <row r="1962">
          <cell r="A1962" t="str">
            <v>BIA-EKS-0567</v>
          </cell>
          <cell r="B1962" t="str">
            <v>LJR CDE MKS-SENGKANG (DUS BESAR)</v>
          </cell>
          <cell r="C1962" t="str">
            <v>NHD</v>
          </cell>
        </row>
        <row r="1963">
          <cell r="A1963" t="str">
            <v>BIA-EKS-0568</v>
          </cell>
          <cell r="B1963" t="str">
            <v>LJR CDE MKS-ENREKANG (DUS BESAR)</v>
          </cell>
          <cell r="C1963" t="str">
            <v>NHD</v>
          </cell>
        </row>
        <row r="1964">
          <cell r="A1964" t="str">
            <v>BIA-EKS-0569</v>
          </cell>
          <cell r="B1964" t="str">
            <v>LJR CDE MKS-MAKALE (DUS BESAR)</v>
          </cell>
          <cell r="C1964" t="str">
            <v>NHD</v>
          </cell>
        </row>
        <row r="1965">
          <cell r="A1965" t="str">
            <v>BIA-EKS-0570</v>
          </cell>
          <cell r="B1965" t="str">
            <v>LJR CDE MKS-RANTEPAO (DUS BESAR)</v>
          </cell>
          <cell r="C1965" t="str">
            <v>NHD</v>
          </cell>
        </row>
        <row r="1966">
          <cell r="A1966" t="str">
            <v>BIA-EKS-0571</v>
          </cell>
          <cell r="B1966" t="str">
            <v>LJR CDE MKS-PALOPO (DUS BESAR)</v>
          </cell>
          <cell r="C1966" t="str">
            <v>NHD</v>
          </cell>
        </row>
        <row r="1967">
          <cell r="A1967" t="str">
            <v>BIA-EKS-0572</v>
          </cell>
          <cell r="B1967" t="str">
            <v>LJR CDE MKS-BELOPA (DUS BESAR)</v>
          </cell>
          <cell r="C1967" t="str">
            <v>NHD</v>
          </cell>
        </row>
        <row r="1968">
          <cell r="A1968" t="str">
            <v>BIA-EKS-0573</v>
          </cell>
          <cell r="B1968" t="str">
            <v>LJR CDE MKS-MASAMBA (DUS BESAR)</v>
          </cell>
          <cell r="C1968" t="str">
            <v>NHD</v>
          </cell>
        </row>
        <row r="1969">
          <cell r="A1969" t="str">
            <v>BIA-EKS-0574</v>
          </cell>
          <cell r="B1969" t="str">
            <v>LJR CDE MKS-MAMUJU (DUS BESAR)</v>
          </cell>
          <cell r="C1969" t="str">
            <v>NHD</v>
          </cell>
        </row>
        <row r="1970">
          <cell r="A1970" t="str">
            <v>BIA-EKS-0575</v>
          </cell>
          <cell r="B1970" t="str">
            <v>LJR CDE MKS-PALU (DUS BESAR)</v>
          </cell>
          <cell r="C1970" t="str">
            <v>NHD</v>
          </cell>
        </row>
        <row r="1971">
          <cell r="A1971" t="str">
            <v>BIA-EKS-0576</v>
          </cell>
          <cell r="B1971" t="str">
            <v>LJR CDE MKS-KENDARI (DUS BESAR)</v>
          </cell>
          <cell r="C1971" t="str">
            <v>NHD</v>
          </cell>
        </row>
        <row r="1972">
          <cell r="A1972" t="str">
            <v>BIA-EKS-0577</v>
          </cell>
          <cell r="B1972" t="str">
            <v>LJR CDE MKS-POHUWATO (DUS BESAR)</v>
          </cell>
          <cell r="C1972" t="str">
            <v>NHD</v>
          </cell>
        </row>
        <row r="1973">
          <cell r="A1973" t="str">
            <v>BIA-EKS-0578</v>
          </cell>
          <cell r="B1973" t="str">
            <v>LJR CDE MKS-GORONTALO (DUS BESAR)</v>
          </cell>
          <cell r="C1973" t="str">
            <v>NHD</v>
          </cell>
        </row>
        <row r="1974">
          <cell r="A1974" t="str">
            <v>BIA-EKS-0579</v>
          </cell>
          <cell r="B1974" t="str">
            <v>LJR CDE MKS-MANADO (DUS BESAR)</v>
          </cell>
          <cell r="C1974" t="str">
            <v>NHD</v>
          </cell>
        </row>
        <row r="1975">
          <cell r="A1975" t="str">
            <v>BIA-EKS-0580</v>
          </cell>
          <cell r="B1975" t="str">
            <v>NCS CDE MKS-TAKALAR (JERIGEN)</v>
          </cell>
          <cell r="C1975" t="str">
            <v>NHD</v>
          </cell>
        </row>
        <row r="1976">
          <cell r="A1976" t="str">
            <v>BIA-EKS-0581</v>
          </cell>
          <cell r="B1976" t="str">
            <v>NCS CDE MKS-JENEPONTO (JERIGEN)</v>
          </cell>
          <cell r="C1976" t="str">
            <v>NHD</v>
          </cell>
        </row>
        <row r="1977">
          <cell r="A1977" t="str">
            <v>BIA-EKS-0582</v>
          </cell>
          <cell r="B1977" t="str">
            <v>NCS CDE MKS-PANGKEP (JERIGEN)</v>
          </cell>
          <cell r="C1977" t="str">
            <v>NHD</v>
          </cell>
        </row>
        <row r="1978">
          <cell r="A1978" t="str">
            <v>BIA-EKS-0583</v>
          </cell>
          <cell r="B1978" t="str">
            <v>NCS CDE MKS-BANTAENG (JERIGEN)</v>
          </cell>
          <cell r="C1978" t="str">
            <v>NHD</v>
          </cell>
        </row>
        <row r="1979">
          <cell r="A1979" t="str">
            <v>BIA-EKS-0584</v>
          </cell>
          <cell r="B1979" t="str">
            <v>NCS CDE MKS-BULUKUMBA (JERIGEN)</v>
          </cell>
          <cell r="C1979" t="str">
            <v>NHD</v>
          </cell>
        </row>
        <row r="1980">
          <cell r="A1980" t="str">
            <v>BIA-EKS-0585</v>
          </cell>
          <cell r="B1980" t="str">
            <v>NCS CDE MKS-SINJAI (JERIGEN)</v>
          </cell>
          <cell r="C1980" t="str">
            <v>NHD</v>
          </cell>
        </row>
        <row r="1981">
          <cell r="A1981" t="str">
            <v>BIA-EKS-0586</v>
          </cell>
          <cell r="B1981" t="str">
            <v>NCS CDE MKS-BARRU (JERIGEN)</v>
          </cell>
          <cell r="C1981" t="str">
            <v>NHD</v>
          </cell>
        </row>
        <row r="1982">
          <cell r="A1982" t="str">
            <v>BIA-EKS-0587</v>
          </cell>
          <cell r="B1982" t="str">
            <v>NCS CDE MKS-PARE-PARE (JERIGEN)</v>
          </cell>
          <cell r="C1982" t="str">
            <v>NHD</v>
          </cell>
        </row>
        <row r="1983">
          <cell r="A1983" t="str">
            <v>BIA-EKS-0588</v>
          </cell>
          <cell r="B1983" t="str">
            <v>NCS CDE MKS-PINRANG (JERIGEN)</v>
          </cell>
          <cell r="C1983" t="str">
            <v>NHD</v>
          </cell>
        </row>
        <row r="1984">
          <cell r="A1984" t="str">
            <v>BIA-EKS-0589</v>
          </cell>
          <cell r="B1984" t="str">
            <v>NCS CDE MKS-SIDRAP (JERIGEN)</v>
          </cell>
          <cell r="C1984" t="str">
            <v>NHD</v>
          </cell>
        </row>
        <row r="1985">
          <cell r="A1985" t="str">
            <v>BIA-EKS-0590</v>
          </cell>
          <cell r="B1985" t="str">
            <v>NCS CDE MKS-SOPPENG (JERIGEN)</v>
          </cell>
          <cell r="C1985" t="str">
            <v>NHD</v>
          </cell>
        </row>
        <row r="1986">
          <cell r="A1986" t="str">
            <v>BIA-EKS-0591</v>
          </cell>
          <cell r="B1986" t="str">
            <v>NCS CDE MKS-BONE (JERIGEN)</v>
          </cell>
          <cell r="C1986" t="str">
            <v>NHD</v>
          </cell>
        </row>
        <row r="1987">
          <cell r="A1987" t="str">
            <v>BIA-EKS-0592</v>
          </cell>
          <cell r="B1987" t="str">
            <v>NCS CDE MKS-SENGKANG (JERIGEN)</v>
          </cell>
          <cell r="C1987" t="str">
            <v>NHD</v>
          </cell>
        </row>
        <row r="1988">
          <cell r="A1988" t="str">
            <v>BIA-EKS-0593</v>
          </cell>
          <cell r="B1988" t="str">
            <v>NCS CDE MKS-ENREKANG (JERIGEN)</v>
          </cell>
          <cell r="C1988" t="str">
            <v>NHD</v>
          </cell>
        </row>
        <row r="1989">
          <cell r="A1989" t="str">
            <v>BIA-EKS-0594</v>
          </cell>
          <cell r="B1989" t="str">
            <v>NCS CDE MKS-MAKALE (JERIGEN)</v>
          </cell>
          <cell r="C1989" t="str">
            <v>NHD</v>
          </cell>
        </row>
        <row r="1990">
          <cell r="A1990" t="str">
            <v>BIA-EKS-0595</v>
          </cell>
          <cell r="B1990" t="str">
            <v>NCS CDE MKS-RANTEPAO (JERIGEN)</v>
          </cell>
          <cell r="C1990" t="str">
            <v>NHD</v>
          </cell>
        </row>
        <row r="1991">
          <cell r="A1991" t="str">
            <v>BIA-EKS-0596</v>
          </cell>
          <cell r="B1991" t="str">
            <v>NCS CDE MKS-PALOPO (JERIGEN)</v>
          </cell>
          <cell r="C1991" t="str">
            <v>NHD</v>
          </cell>
        </row>
        <row r="1992">
          <cell r="A1992" t="str">
            <v>BIA-EKS-0597</v>
          </cell>
          <cell r="B1992" t="str">
            <v>NCS CDE MKS-BELOPA (JERIGEN)</v>
          </cell>
          <cell r="C1992" t="str">
            <v>NHD</v>
          </cell>
        </row>
        <row r="1993">
          <cell r="A1993" t="str">
            <v>BIA-EKS-0598</v>
          </cell>
          <cell r="B1993" t="str">
            <v>NCS CDE MKS-MASAMBA (JERIGEN)</v>
          </cell>
          <cell r="C1993" t="str">
            <v>NHD</v>
          </cell>
        </row>
        <row r="1994">
          <cell r="A1994" t="str">
            <v>BIA-EKS-0599</v>
          </cell>
          <cell r="B1994" t="str">
            <v>NCS CDE MKS-MAMUJU (JERIGEN)</v>
          </cell>
          <cell r="C1994" t="str">
            <v>NHD</v>
          </cell>
        </row>
        <row r="1995">
          <cell r="A1995" t="str">
            <v>BIA-EKS-0600</v>
          </cell>
          <cell r="B1995" t="str">
            <v>NCS CDE MKS-PALU (JERIGEN)</v>
          </cell>
          <cell r="C1995" t="str">
            <v>NHD</v>
          </cell>
        </row>
        <row r="1996">
          <cell r="A1996" t="str">
            <v>BIA-EKS-0601</v>
          </cell>
          <cell r="B1996" t="str">
            <v>NCS CDE MKS-KENDARI (JERIGEN)</v>
          </cell>
          <cell r="C1996" t="str">
            <v>NHD</v>
          </cell>
        </row>
        <row r="1997">
          <cell r="A1997" t="str">
            <v>BIA-EKS-0602</v>
          </cell>
          <cell r="B1997" t="str">
            <v>NCS CDE MKS-POHUWATO (JERIGEN)</v>
          </cell>
          <cell r="C1997" t="str">
            <v>NHD</v>
          </cell>
        </row>
        <row r="1998">
          <cell r="A1998" t="str">
            <v>BIA-EKS-0603</v>
          </cell>
          <cell r="B1998" t="str">
            <v>NCS CDE MKS-GORONTALO (JERIGEN)</v>
          </cell>
          <cell r="C1998" t="str">
            <v>NHD</v>
          </cell>
        </row>
        <row r="1999">
          <cell r="A1999" t="str">
            <v>BIA-EKS-0604</v>
          </cell>
          <cell r="B1999" t="str">
            <v>NCS CDE MKS-MANADO (JERIGEN)</v>
          </cell>
          <cell r="C1999" t="str">
            <v>NHD</v>
          </cell>
        </row>
        <row r="2000">
          <cell r="A2000" t="str">
            <v>BIA-EKS-0605</v>
          </cell>
          <cell r="B2000" t="str">
            <v>NCS CDE MKS-POSO (JERIGEN)</v>
          </cell>
          <cell r="C2000" t="str">
            <v>NHD</v>
          </cell>
        </row>
        <row r="2001">
          <cell r="A2001" t="str">
            <v>BIA-EKS-0606</v>
          </cell>
          <cell r="B2001" t="str">
            <v>NCS CDE MKS-TAKALAR (DUS KECIL)</v>
          </cell>
          <cell r="C2001" t="str">
            <v>NHD</v>
          </cell>
        </row>
        <row r="2002">
          <cell r="A2002" t="str">
            <v>BIA-EKS-0607</v>
          </cell>
          <cell r="B2002" t="str">
            <v>NCS CDE MKS-JENEPONTO (DUS KECIL)</v>
          </cell>
          <cell r="C2002" t="str">
            <v>NHD</v>
          </cell>
        </row>
        <row r="2003">
          <cell r="A2003" t="str">
            <v>BIA-EKS-0608</v>
          </cell>
          <cell r="B2003" t="str">
            <v>NCS CDE MKS-PANGKEP (DUS KECIL)</v>
          </cell>
          <cell r="C2003" t="str">
            <v>NHD</v>
          </cell>
        </row>
        <row r="2004">
          <cell r="A2004" t="str">
            <v>BIA-EKS-0609</v>
          </cell>
          <cell r="B2004" t="str">
            <v>NCS CDE MKS-BANTAENG (DUS KECIL)</v>
          </cell>
          <cell r="C2004" t="str">
            <v>NHD</v>
          </cell>
        </row>
        <row r="2005">
          <cell r="A2005" t="str">
            <v>BIA-EKS-0610</v>
          </cell>
          <cell r="B2005" t="str">
            <v>NCS CDE MKS-BULUKUMBA (DUS KECIL)</v>
          </cell>
          <cell r="C2005" t="str">
            <v>NHD</v>
          </cell>
        </row>
        <row r="2006">
          <cell r="A2006" t="str">
            <v>BIA-EKS-0611</v>
          </cell>
          <cell r="B2006" t="str">
            <v>NCS CDE MKS-SINJAI (DUS KECIL)</v>
          </cell>
          <cell r="C2006" t="str">
            <v>NHD</v>
          </cell>
        </row>
        <row r="2007">
          <cell r="A2007" t="str">
            <v>BIA-EKS-0612</v>
          </cell>
          <cell r="B2007" t="str">
            <v>NCS CDE MKS-BARRU (DUS KECIL)</v>
          </cell>
          <cell r="C2007" t="str">
            <v>NHD</v>
          </cell>
        </row>
        <row r="2008">
          <cell r="A2008" t="str">
            <v>BIA-EKS-0613</v>
          </cell>
          <cell r="B2008" t="str">
            <v>NCS CDE MKS-PARE-PARE (DUS KECIL)</v>
          </cell>
          <cell r="C2008" t="str">
            <v>NHD</v>
          </cell>
        </row>
        <row r="2009">
          <cell r="A2009" t="str">
            <v>BIA-EKS-0614</v>
          </cell>
          <cell r="B2009" t="str">
            <v>NCS CDE MKS-PINRANG (DUS KECIL)</v>
          </cell>
          <cell r="C2009" t="str">
            <v>NHD</v>
          </cell>
        </row>
        <row r="2010">
          <cell r="A2010" t="str">
            <v>BIA-EKS-0615</v>
          </cell>
          <cell r="B2010" t="str">
            <v>NCS CDE MKS-SIDRAP (DUS KECIL)</v>
          </cell>
          <cell r="C2010" t="str">
            <v>NHD</v>
          </cell>
        </row>
        <row r="2011">
          <cell r="A2011" t="str">
            <v>BIA-EKS-0616</v>
          </cell>
          <cell r="B2011" t="str">
            <v>NCS CDE MKS-SOPPENG (DUS KECIL)</v>
          </cell>
          <cell r="C2011" t="str">
            <v>NHD</v>
          </cell>
        </row>
        <row r="2012">
          <cell r="A2012" t="str">
            <v>BIA-EKS-0617</v>
          </cell>
          <cell r="B2012" t="str">
            <v>NCS CDE MKS-BONE (DUS KECIL)</v>
          </cell>
          <cell r="C2012" t="str">
            <v>NHD</v>
          </cell>
        </row>
        <row r="2013">
          <cell r="A2013" t="str">
            <v>BIA-EKS-0618</v>
          </cell>
          <cell r="B2013" t="str">
            <v>NCS CDE MKS-SENGKANG (DUS KECIL)</v>
          </cell>
          <cell r="C2013" t="str">
            <v>NHD</v>
          </cell>
        </row>
        <row r="2014">
          <cell r="A2014" t="str">
            <v>BIA-EKS-0619</v>
          </cell>
          <cell r="B2014" t="str">
            <v>NCS CDE MKS-ENREKANG (DUS KECIL)</v>
          </cell>
          <cell r="C2014" t="str">
            <v>NHD</v>
          </cell>
        </row>
        <row r="2015">
          <cell r="A2015" t="str">
            <v>BIA-EKS-0620</v>
          </cell>
          <cell r="B2015" t="str">
            <v>NCS CDE MKS-MAKALE (DUS KECIL)</v>
          </cell>
          <cell r="C2015" t="str">
            <v>NHD</v>
          </cell>
        </row>
        <row r="2016">
          <cell r="A2016" t="str">
            <v>BIA-EKS-0621</v>
          </cell>
          <cell r="B2016" t="str">
            <v>NCS CDE MKS-RANTEPAO (DUS KECIL)</v>
          </cell>
          <cell r="C2016" t="str">
            <v>NHD</v>
          </cell>
        </row>
        <row r="2017">
          <cell r="A2017" t="str">
            <v>BIA-EKS-0622</v>
          </cell>
          <cell r="B2017" t="str">
            <v>NCS CDE MKS-PALOPO (DUS KECIL)</v>
          </cell>
          <cell r="C2017" t="str">
            <v>NHD</v>
          </cell>
        </row>
        <row r="2018">
          <cell r="A2018" t="str">
            <v>BIA-EKS-0623</v>
          </cell>
          <cell r="B2018" t="str">
            <v>NCS CDE MKS-BELOPA (DUS KECIL)</v>
          </cell>
          <cell r="C2018" t="str">
            <v>NHD</v>
          </cell>
        </row>
        <row r="2019">
          <cell r="A2019" t="str">
            <v>BIA-EKS-0624</v>
          </cell>
          <cell r="B2019" t="str">
            <v>NCS CDE MKS-MASAMBA (DUS KECIL)</v>
          </cell>
          <cell r="C2019" t="str">
            <v>NHD</v>
          </cell>
        </row>
        <row r="2020">
          <cell r="A2020" t="str">
            <v>BIA-EKS-0625</v>
          </cell>
          <cell r="B2020" t="str">
            <v>NCS CDE MKS-MAMUJU (DUS KECIL)</v>
          </cell>
          <cell r="C2020" t="str">
            <v>NHD</v>
          </cell>
        </row>
        <row r="2021">
          <cell r="A2021" t="str">
            <v>BIA-EKS-0626</v>
          </cell>
          <cell r="B2021" t="str">
            <v>NCS CDE MKS-PALU (DUS KECIL)</v>
          </cell>
          <cell r="C2021" t="str">
            <v>NHD</v>
          </cell>
        </row>
        <row r="2022">
          <cell r="A2022" t="str">
            <v>BIA-EKS-0627</v>
          </cell>
          <cell r="B2022" t="str">
            <v>NCS CDE MKS-KENDARI (DUS KECIL)</v>
          </cell>
          <cell r="C2022" t="str">
            <v>NHD</v>
          </cell>
        </row>
        <row r="2023">
          <cell r="A2023" t="str">
            <v>BIA-EKS-0628</v>
          </cell>
          <cell r="B2023" t="str">
            <v>NCS CDE MKS-POHUWATO (DUS KECIL)</v>
          </cell>
          <cell r="C2023" t="str">
            <v>NHD</v>
          </cell>
        </row>
        <row r="2024">
          <cell r="A2024" t="str">
            <v>BIA-EKS-0629</v>
          </cell>
          <cell r="B2024" t="str">
            <v>NCS CDE MKS-GORONTALO (DUS KECIL)</v>
          </cell>
          <cell r="C2024" t="str">
            <v>NHD</v>
          </cell>
        </row>
        <row r="2025">
          <cell r="A2025" t="str">
            <v>BIA-EKS-0630</v>
          </cell>
          <cell r="B2025" t="str">
            <v>NCS CDE MKS-MANADO (DUS KECIL)</v>
          </cell>
          <cell r="C2025" t="str">
            <v>NHD</v>
          </cell>
        </row>
        <row r="2026">
          <cell r="A2026" t="str">
            <v>BIA-EKS-0631</v>
          </cell>
          <cell r="B2026" t="str">
            <v>NCS CDE MKS-POSO (DUS KECIL)</v>
          </cell>
          <cell r="C2026" t="str">
            <v>NHD</v>
          </cell>
        </row>
        <row r="2027">
          <cell r="A2027" t="str">
            <v>BIA-EKS-0632</v>
          </cell>
          <cell r="B2027" t="str">
            <v>NCS CDE MKS-TAKALAR (DUS BESAR)</v>
          </cell>
          <cell r="C2027" t="str">
            <v>NHD</v>
          </cell>
        </row>
        <row r="2028">
          <cell r="A2028" t="str">
            <v>BIA-EKS-0633</v>
          </cell>
          <cell r="B2028" t="str">
            <v>NCS CDE MKS-JENEPONTO (DUS BESAR)</v>
          </cell>
          <cell r="C2028" t="str">
            <v>NHD</v>
          </cell>
        </row>
        <row r="2029">
          <cell r="A2029" t="str">
            <v>BIA-EKS-0634</v>
          </cell>
          <cell r="B2029" t="str">
            <v>NCS CDE MKS-PANGKEP (DUS BESAR)</v>
          </cell>
          <cell r="C2029" t="str">
            <v>NHD</v>
          </cell>
        </row>
        <row r="2030">
          <cell r="A2030" t="str">
            <v>BIA-EKS-0635</v>
          </cell>
          <cell r="B2030" t="str">
            <v>NCS CDE MKS-BANTAENG (DUS BESAR)</v>
          </cell>
          <cell r="C2030" t="str">
            <v>NHD</v>
          </cell>
        </row>
        <row r="2031">
          <cell r="A2031" t="str">
            <v>BIA-EKS-0636</v>
          </cell>
          <cell r="B2031" t="str">
            <v>NCS CDE MKS-BULUKUMBA (DUS BESAR)</v>
          </cell>
          <cell r="C2031" t="str">
            <v>NHD</v>
          </cell>
        </row>
        <row r="2032">
          <cell r="A2032" t="str">
            <v>BIA-EKS-0637</v>
          </cell>
          <cell r="B2032" t="str">
            <v>NCS CDE MKS-SINJAI (DUS BESAR)</v>
          </cell>
          <cell r="C2032" t="str">
            <v>NHD</v>
          </cell>
        </row>
        <row r="2033">
          <cell r="A2033" t="str">
            <v>BIA-EKS-0638</v>
          </cell>
          <cell r="B2033" t="str">
            <v>NCS CDE MKS-BARRU (DUS BESAR)</v>
          </cell>
          <cell r="C2033" t="str">
            <v>NHD</v>
          </cell>
        </row>
        <row r="2034">
          <cell r="A2034" t="str">
            <v>BIA-EKS-0639</v>
          </cell>
          <cell r="B2034" t="str">
            <v>NCS CDE MKS-PARE-PARE (DUS BESAR)</v>
          </cell>
          <cell r="C2034" t="str">
            <v>NHD</v>
          </cell>
        </row>
        <row r="2035">
          <cell r="A2035" t="str">
            <v>BIA-EKS-0640</v>
          </cell>
          <cell r="B2035" t="str">
            <v>NCS CDE MKS-PINRANG (DUS BESAR)</v>
          </cell>
          <cell r="C2035" t="str">
            <v>NHD</v>
          </cell>
        </row>
        <row r="2036">
          <cell r="A2036" t="str">
            <v>BIA-EKS-0641</v>
          </cell>
          <cell r="B2036" t="str">
            <v>NCS CDE MKS-SIDRAP (DUS BESAR)</v>
          </cell>
          <cell r="C2036" t="str">
            <v>NHD</v>
          </cell>
        </row>
        <row r="2037">
          <cell r="A2037" t="str">
            <v>BIA-EKS-0642</v>
          </cell>
          <cell r="B2037" t="str">
            <v>NCS CDE MKS-SOPPENG (DUS BESAR)</v>
          </cell>
          <cell r="C2037" t="str">
            <v>NHD</v>
          </cell>
        </row>
        <row r="2038">
          <cell r="A2038" t="str">
            <v>BIA-EKS-0643</v>
          </cell>
          <cell r="B2038" t="str">
            <v>NCS CDE MKS-BONE (DUS BESAR)</v>
          </cell>
          <cell r="C2038" t="str">
            <v>NHD</v>
          </cell>
        </row>
        <row r="2039">
          <cell r="A2039" t="str">
            <v>BIA-EKS-0644</v>
          </cell>
          <cell r="B2039" t="str">
            <v>NCS CDE MKS-SENGKANG (DUS BESAR)</v>
          </cell>
          <cell r="C2039" t="str">
            <v>NHD</v>
          </cell>
        </row>
        <row r="2040">
          <cell r="A2040" t="str">
            <v>BIA-EKS-0645</v>
          </cell>
          <cell r="B2040" t="str">
            <v>NCS CDE MKS-ENREKANG (DUS BESAR)</v>
          </cell>
          <cell r="C2040" t="str">
            <v>NHD</v>
          </cell>
        </row>
        <row r="2041">
          <cell r="A2041" t="str">
            <v>BIA-EKS-0646</v>
          </cell>
          <cell r="B2041" t="str">
            <v>NCS CDE MKS-MAKALE (DUS BESAR)</v>
          </cell>
          <cell r="C2041" t="str">
            <v>NHD</v>
          </cell>
        </row>
        <row r="2042">
          <cell r="A2042" t="str">
            <v>BIA-EKS-0647</v>
          </cell>
          <cell r="B2042" t="str">
            <v>NCS CDE MKS-RANTEPAO (DUS BESAR)</v>
          </cell>
          <cell r="C2042" t="str">
            <v>NHD</v>
          </cell>
        </row>
        <row r="2043">
          <cell r="A2043" t="str">
            <v>BIA-EKS-0648</v>
          </cell>
          <cell r="B2043" t="str">
            <v>NCS CDE MKS-PALOPO (DUS BESAR)</v>
          </cell>
          <cell r="C2043" t="str">
            <v>NHD</v>
          </cell>
        </row>
        <row r="2044">
          <cell r="A2044" t="str">
            <v>BIA-EKS-0649</v>
          </cell>
          <cell r="B2044" t="str">
            <v>NCS CDE MKS-BELOPA (DUS BESAR)</v>
          </cell>
          <cell r="C2044" t="str">
            <v>NHD</v>
          </cell>
        </row>
        <row r="2045">
          <cell r="A2045" t="str">
            <v>BIA-EKS-0650</v>
          </cell>
          <cell r="B2045" t="str">
            <v>NCS CDE MKS-MASAMBA (DUS BESAR)</v>
          </cell>
          <cell r="C2045" t="str">
            <v>NHD</v>
          </cell>
        </row>
        <row r="2046">
          <cell r="A2046" t="str">
            <v>BIA-EKS-0651</v>
          </cell>
          <cell r="B2046" t="str">
            <v>NCS CDE MKS-MAMUJU (DUS BESAR)</v>
          </cell>
          <cell r="C2046" t="str">
            <v>NHD</v>
          </cell>
        </row>
        <row r="2047">
          <cell r="A2047" t="str">
            <v>BIA-EKS-0652</v>
          </cell>
          <cell r="B2047" t="str">
            <v>NCS CDE MKS-PALU (DUS BESAR)</v>
          </cell>
          <cell r="C2047" t="str">
            <v>NHD</v>
          </cell>
        </row>
        <row r="2048">
          <cell r="A2048" t="str">
            <v>BIA-EKS-0653</v>
          </cell>
          <cell r="B2048" t="str">
            <v>NCS CDE MKS-KENDARI (DUS BESAR)</v>
          </cell>
          <cell r="C2048" t="str">
            <v>NHD</v>
          </cell>
        </row>
        <row r="2049">
          <cell r="A2049" t="str">
            <v>BIA-EKS-0654</v>
          </cell>
          <cell r="B2049" t="str">
            <v>NCS CDE MKS-POHUWATO (DUS BESAR)</v>
          </cell>
          <cell r="C2049" t="str">
            <v>NHD</v>
          </cell>
        </row>
        <row r="2050">
          <cell r="A2050" t="str">
            <v>BIA-EKS-0655</v>
          </cell>
          <cell r="B2050" t="str">
            <v>NCS CDE MKS-GORONTALO (DUS BESAR)</v>
          </cell>
          <cell r="C2050" t="str">
            <v>NHD</v>
          </cell>
        </row>
        <row r="2051">
          <cell r="A2051" t="str">
            <v>BIA-EKS-0656</v>
          </cell>
          <cell r="B2051" t="str">
            <v>NCS CDE MKS-MANADO (DUS BESAR)</v>
          </cell>
          <cell r="C2051" t="str">
            <v>NHD</v>
          </cell>
        </row>
        <row r="2052">
          <cell r="A2052" t="str">
            <v>BIA-EKS-0657</v>
          </cell>
          <cell r="B2052" t="str">
            <v>NCS CDE MKS-POSO (DUS BESAR)</v>
          </cell>
          <cell r="C2052" t="str">
            <v>NHD</v>
          </cell>
        </row>
        <row r="2053">
          <cell r="A2053" t="str">
            <v>BIA-EKS-0658</v>
          </cell>
          <cell r="B2053" t="str">
            <v>PIP CDD SBY-BANGKALAN</v>
          </cell>
          <cell r="C2053" t="str">
            <v>NHD</v>
          </cell>
        </row>
        <row r="2054">
          <cell r="A2054" t="str">
            <v>BIA-EKS-0659</v>
          </cell>
          <cell r="B2054" t="str">
            <v>PIP CDD SBY-BATU(TUREN/KEPANJEN)</v>
          </cell>
          <cell r="C2054" t="str">
            <v>NHD</v>
          </cell>
        </row>
        <row r="2055">
          <cell r="A2055" t="str">
            <v>BIA-EKS-0660</v>
          </cell>
          <cell r="B2055" t="str">
            <v>PIP CDD SBY-BANYUWANGI</v>
          </cell>
          <cell r="C2055" t="str">
            <v>NHD</v>
          </cell>
        </row>
        <row r="2056">
          <cell r="A2056" t="str">
            <v>BIA-EKS-0661</v>
          </cell>
          <cell r="B2056" t="str">
            <v>PIP CDD SBY-BLAMBANGAN</v>
          </cell>
          <cell r="C2056" t="str">
            <v>NHD</v>
          </cell>
        </row>
        <row r="2057">
          <cell r="A2057" t="str">
            <v>BIA-EKS-0662</v>
          </cell>
          <cell r="B2057" t="str">
            <v>PIP CDD SBY-BLITAR</v>
          </cell>
          <cell r="C2057" t="str">
            <v>NHD</v>
          </cell>
        </row>
        <row r="2058">
          <cell r="A2058" t="str">
            <v>BIA-EKS-0663</v>
          </cell>
          <cell r="B2058" t="str">
            <v>PIP CDD SBY-BANGIL</v>
          </cell>
          <cell r="C2058" t="str">
            <v>NHD</v>
          </cell>
        </row>
        <row r="2059">
          <cell r="A2059" t="str">
            <v>BIA-EKS-0664</v>
          </cell>
          <cell r="B2059" t="str">
            <v>PIP CDD SBY-BOJONEGORO</v>
          </cell>
          <cell r="C2059" t="str">
            <v>NHD</v>
          </cell>
        </row>
        <row r="2060">
          <cell r="A2060" t="str">
            <v>BIA-EKS-0665</v>
          </cell>
          <cell r="B2060" t="str">
            <v>PIP CDD SBY-BONDOWOSO</v>
          </cell>
          <cell r="C2060" t="str">
            <v>NHD</v>
          </cell>
        </row>
        <row r="2061">
          <cell r="A2061" t="str">
            <v>BIA-EKS-0666</v>
          </cell>
          <cell r="B2061" t="str">
            <v>PIP CDD SBY-GRESIK</v>
          </cell>
          <cell r="C2061" t="str">
            <v>NHD</v>
          </cell>
        </row>
        <row r="2062">
          <cell r="A2062" t="str">
            <v>BIA-EKS-0667</v>
          </cell>
          <cell r="B2062" t="str">
            <v>PIP CDD SBY-JEMBER</v>
          </cell>
          <cell r="C2062" t="str">
            <v>NHD</v>
          </cell>
        </row>
        <row r="2063">
          <cell r="A2063" t="str">
            <v>BIA-EKS-0668</v>
          </cell>
          <cell r="B2063" t="str">
            <v>PIP CDD SBY-JOMBANG</v>
          </cell>
          <cell r="C2063" t="str">
            <v>NHD</v>
          </cell>
        </row>
        <row r="2064">
          <cell r="A2064" t="str">
            <v>BIA-EKS-0669</v>
          </cell>
          <cell r="B2064" t="str">
            <v>PIP CDD SBY-KEDIRI</v>
          </cell>
          <cell r="C2064" t="str">
            <v>NHD</v>
          </cell>
        </row>
        <row r="2065">
          <cell r="A2065" t="str">
            <v>BIA-EKS-0670</v>
          </cell>
          <cell r="B2065" t="str">
            <v>PIP CDD SBY-KERTOSONO</v>
          </cell>
          <cell r="C2065" t="str">
            <v>NHD</v>
          </cell>
        </row>
        <row r="2066">
          <cell r="A2066" t="str">
            <v>BIA-EKS-0671</v>
          </cell>
          <cell r="B2066" t="str">
            <v>PIP CDD SBY-LAMONGAN</v>
          </cell>
          <cell r="C2066" t="str">
            <v>NHD</v>
          </cell>
        </row>
        <row r="2067">
          <cell r="A2067" t="str">
            <v>BIA-EKS-0672</v>
          </cell>
          <cell r="B2067" t="str">
            <v>PIP CDD SBY-LUMAJANG</v>
          </cell>
          <cell r="C2067" t="str">
            <v>NHD</v>
          </cell>
        </row>
        <row r="2068">
          <cell r="A2068" t="str">
            <v>BIA-EKS-0673</v>
          </cell>
          <cell r="B2068" t="str">
            <v>PIP CDD SBY-MADIUN</v>
          </cell>
          <cell r="C2068" t="str">
            <v>NHD</v>
          </cell>
        </row>
        <row r="2069">
          <cell r="A2069" t="str">
            <v>BIA-EKS-0674</v>
          </cell>
          <cell r="B2069" t="str">
            <v>PIP CDD SBY-MAGETAN</v>
          </cell>
          <cell r="C2069" t="str">
            <v>NHD</v>
          </cell>
        </row>
        <row r="2070">
          <cell r="A2070" t="str">
            <v>BIA-EKS-0675</v>
          </cell>
          <cell r="B2070" t="str">
            <v>PIP CDD SBY-MALANG</v>
          </cell>
          <cell r="C2070" t="str">
            <v>NHD</v>
          </cell>
        </row>
        <row r="2071">
          <cell r="A2071" t="str">
            <v>BIA-EKS-0676</v>
          </cell>
          <cell r="B2071" t="str">
            <v>PIP CDD SBY-MOJOKERTO</v>
          </cell>
          <cell r="C2071" t="str">
            <v>NHD</v>
          </cell>
        </row>
        <row r="2072">
          <cell r="A2072" t="str">
            <v>BIA-EKS-0677</v>
          </cell>
          <cell r="B2072" t="str">
            <v>PIP CDD SBY-NGANJUK</v>
          </cell>
          <cell r="C2072" t="str">
            <v>NHD</v>
          </cell>
        </row>
        <row r="2073">
          <cell r="A2073" t="str">
            <v>BIA-EKS-0678</v>
          </cell>
          <cell r="B2073" t="str">
            <v>PIP CDD SBY-NGAWI</v>
          </cell>
          <cell r="C2073" t="str">
            <v>NHD</v>
          </cell>
        </row>
        <row r="2074">
          <cell r="A2074" t="str">
            <v>BIA-EKS-0679</v>
          </cell>
          <cell r="B2074" t="str">
            <v>PIP CDD SBY-PASURUAN</v>
          </cell>
          <cell r="C2074" t="str">
            <v>NHD</v>
          </cell>
        </row>
        <row r="2075">
          <cell r="A2075" t="str">
            <v>BIA-EKS-0680</v>
          </cell>
          <cell r="B2075" t="str">
            <v>PIP CDD SBY-PAMEKASAN</v>
          </cell>
          <cell r="C2075" t="str">
            <v>NHD</v>
          </cell>
        </row>
        <row r="2076">
          <cell r="A2076" t="str">
            <v>BIA-EKS-0681</v>
          </cell>
          <cell r="B2076" t="str">
            <v>PIP CDD SBY-PONOROGO</v>
          </cell>
          <cell r="C2076" t="str">
            <v>NHD</v>
          </cell>
        </row>
        <row r="2077">
          <cell r="A2077" t="str">
            <v>BIA-EKS-0682</v>
          </cell>
          <cell r="B2077" t="str">
            <v>PIP CDD SBY-PROBOLINGGO</v>
          </cell>
          <cell r="C2077" t="str">
            <v>NHD</v>
          </cell>
        </row>
        <row r="2078">
          <cell r="A2078" t="str">
            <v>BIA-EKS-0683</v>
          </cell>
          <cell r="B2078" t="str">
            <v>PIP CDD SBY-SAMPANG</v>
          </cell>
          <cell r="C2078" t="str">
            <v>NHD</v>
          </cell>
        </row>
        <row r="2079">
          <cell r="A2079" t="str">
            <v>BIA-EKS-0684</v>
          </cell>
          <cell r="B2079" t="str">
            <v>PIP CDD SBY-SIDOARJO</v>
          </cell>
          <cell r="C2079" t="str">
            <v>NHD</v>
          </cell>
        </row>
        <row r="2080">
          <cell r="A2080" t="str">
            <v>BIA-EKS-0685</v>
          </cell>
          <cell r="B2080" t="str">
            <v>PIP CDD SBY-SITUBONDO</v>
          </cell>
          <cell r="C2080" t="str">
            <v>NHD</v>
          </cell>
        </row>
        <row r="2081">
          <cell r="A2081" t="str">
            <v>BIA-EKS-0686</v>
          </cell>
          <cell r="B2081" t="str">
            <v>PIP CDD SBY-SUMENEP</v>
          </cell>
          <cell r="C2081" t="str">
            <v>NHD</v>
          </cell>
        </row>
        <row r="2082">
          <cell r="A2082" t="str">
            <v>BIA-EKS-0687</v>
          </cell>
          <cell r="B2082" t="str">
            <v>PIP CDD SBY-SBY</v>
          </cell>
          <cell r="C2082" t="str">
            <v>NHD</v>
          </cell>
        </row>
        <row r="2083">
          <cell r="A2083" t="str">
            <v>BIA-EKS-0688</v>
          </cell>
          <cell r="B2083" t="str">
            <v>PIP CDD SBY-TRENGGALEK</v>
          </cell>
          <cell r="C2083" t="str">
            <v>NHD</v>
          </cell>
        </row>
        <row r="2084">
          <cell r="A2084" t="str">
            <v>BIA-EKS-0689</v>
          </cell>
          <cell r="B2084" t="str">
            <v>PIP CDD SBY-TULUNGAGUNG</v>
          </cell>
          <cell r="C2084" t="str">
            <v>NHD</v>
          </cell>
        </row>
        <row r="2085">
          <cell r="A2085" t="str">
            <v>BIA-EKS-0690</v>
          </cell>
          <cell r="B2085" t="str">
            <v>PIP CDD SBY-TUBAN</v>
          </cell>
          <cell r="C2085" t="str">
            <v>NHD</v>
          </cell>
        </row>
        <row r="2086">
          <cell r="A2086" t="str">
            <v>BIA-EKS-0691</v>
          </cell>
          <cell r="B2086" t="str">
            <v>PIP CDD SBY-RS SYUYUDIN LAMONGAN (PACIRAN)</v>
          </cell>
          <cell r="C2086" t="str">
            <v>NHD</v>
          </cell>
        </row>
        <row r="2087">
          <cell r="A2087" t="str">
            <v>BIA-EKS-0692</v>
          </cell>
          <cell r="B2087" t="str">
            <v>PIP CDD SBY-PACITAN</v>
          </cell>
          <cell r="C2087" t="str">
            <v>NHD</v>
          </cell>
        </row>
        <row r="2088">
          <cell r="A2088" t="str">
            <v>BIA-EKS-0693</v>
          </cell>
          <cell r="B2088" t="str">
            <v>PIP CDD SBY-RSAL SURABAYA</v>
          </cell>
          <cell r="C2088" t="str">
            <v>NHD</v>
          </cell>
        </row>
        <row r="2089">
          <cell r="A2089" t="str">
            <v>BIA-EKS-0694</v>
          </cell>
          <cell r="B2089" t="str">
            <v>PIP CDD SBY-RS PHC SURABAYA</v>
          </cell>
          <cell r="C2089" t="str">
            <v>NHD</v>
          </cell>
        </row>
        <row r="2090">
          <cell r="A2090" t="str">
            <v>BIA-EKS-0695</v>
          </cell>
          <cell r="B2090" t="str">
            <v>PIP CDD SBY-RS BINA SEHAT JEMBER</v>
          </cell>
          <cell r="C2090" t="str">
            <v>NHD</v>
          </cell>
        </row>
        <row r="2091">
          <cell r="A2091" t="str">
            <v>BIA-EKS-0696</v>
          </cell>
          <cell r="B2091" t="str">
            <v>IB CDD SBY-BANGKALAN</v>
          </cell>
          <cell r="C2091" t="str">
            <v>NHD</v>
          </cell>
        </row>
        <row r="2092">
          <cell r="A2092" t="str">
            <v>BIA-EKS-0697</v>
          </cell>
          <cell r="B2092" t="str">
            <v>IB CDD SBY-BATU(TUREN/KEPANJEN)</v>
          </cell>
          <cell r="C2092" t="str">
            <v>NHD</v>
          </cell>
        </row>
        <row r="2093">
          <cell r="A2093" t="str">
            <v>BIA-EKS-0698</v>
          </cell>
          <cell r="B2093" t="str">
            <v>IB CDD SBY-BANYUWANGI</v>
          </cell>
          <cell r="C2093" t="str">
            <v>NHD</v>
          </cell>
        </row>
        <row r="2094">
          <cell r="A2094" t="str">
            <v>BIA-EKS-0699</v>
          </cell>
          <cell r="B2094" t="str">
            <v>IB CDD SBY-BLAMBANGAN</v>
          </cell>
          <cell r="C2094" t="str">
            <v>NHD</v>
          </cell>
        </row>
        <row r="2095">
          <cell r="A2095" t="str">
            <v>BIA-EKS-0700</v>
          </cell>
          <cell r="B2095" t="str">
            <v>IB CDD SBY-BLITAR</v>
          </cell>
          <cell r="C2095" t="str">
            <v>NHD</v>
          </cell>
        </row>
        <row r="2096">
          <cell r="A2096" t="str">
            <v>BIA-EKS-0701</v>
          </cell>
          <cell r="B2096" t="str">
            <v>IB CDD SBY-BANGIL</v>
          </cell>
          <cell r="C2096" t="str">
            <v>NHD</v>
          </cell>
        </row>
        <row r="2097">
          <cell r="A2097" t="str">
            <v>BIA-EKS-0702</v>
          </cell>
          <cell r="B2097" t="str">
            <v>IB CDD SBY-BOJONEGORO</v>
          </cell>
          <cell r="C2097" t="str">
            <v>NHD</v>
          </cell>
        </row>
        <row r="2098">
          <cell r="A2098" t="str">
            <v>BIA-EKS-0703</v>
          </cell>
          <cell r="B2098" t="str">
            <v>IB CDD SBY-BONDOWOSO</v>
          </cell>
          <cell r="C2098" t="str">
            <v>NHD</v>
          </cell>
        </row>
        <row r="2099">
          <cell r="A2099" t="str">
            <v>BIA-EKS-0704</v>
          </cell>
          <cell r="B2099" t="str">
            <v>IB CDD SBY-GRESIK</v>
          </cell>
          <cell r="C2099" t="str">
            <v>NHD</v>
          </cell>
        </row>
        <row r="2100">
          <cell r="A2100" t="str">
            <v>BIA-EKS-0705</v>
          </cell>
          <cell r="B2100" t="str">
            <v>IB CDD SBY-JEMBER</v>
          </cell>
          <cell r="C2100" t="str">
            <v>NHD</v>
          </cell>
        </row>
        <row r="2101">
          <cell r="A2101" t="str">
            <v>BIA-EKS-0706</v>
          </cell>
          <cell r="B2101" t="str">
            <v>IB CDD SBY-JOMBANG</v>
          </cell>
          <cell r="C2101" t="str">
            <v>NHD</v>
          </cell>
        </row>
        <row r="2102">
          <cell r="A2102" t="str">
            <v>BIA-EKS-0707</v>
          </cell>
          <cell r="B2102" t="str">
            <v>IB CDD SBY-KEDIRI</v>
          </cell>
          <cell r="C2102" t="str">
            <v>NHD</v>
          </cell>
        </row>
        <row r="2103">
          <cell r="A2103" t="str">
            <v>BIA-EKS-0708</v>
          </cell>
          <cell r="B2103" t="str">
            <v>IB CDD SBY-KERTOSONO</v>
          </cell>
          <cell r="C2103" t="str">
            <v>NHD</v>
          </cell>
        </row>
        <row r="2104">
          <cell r="A2104" t="str">
            <v>BIA-EKS-0709</v>
          </cell>
          <cell r="B2104" t="str">
            <v>IB CDD SBY-LAMONGAN</v>
          </cell>
          <cell r="C2104" t="str">
            <v>NHD</v>
          </cell>
        </row>
        <row r="2105">
          <cell r="A2105" t="str">
            <v>BIA-EKS-0710</v>
          </cell>
          <cell r="B2105" t="str">
            <v>IB CDD SBY-LUMAJANG</v>
          </cell>
          <cell r="C2105" t="str">
            <v>NHD</v>
          </cell>
        </row>
        <row r="2106">
          <cell r="A2106" t="str">
            <v>BIA-EKS-0711</v>
          </cell>
          <cell r="B2106" t="str">
            <v>IB CDD SBY-MADIUN</v>
          </cell>
          <cell r="C2106" t="str">
            <v>NHD</v>
          </cell>
        </row>
        <row r="2107">
          <cell r="A2107" t="str">
            <v>BIA-EKS-0712</v>
          </cell>
          <cell r="B2107" t="str">
            <v>IB CDD SBY-MAGETAN</v>
          </cell>
          <cell r="C2107" t="str">
            <v>NHD</v>
          </cell>
        </row>
        <row r="2108">
          <cell r="A2108" t="str">
            <v>BIA-EKS-0713</v>
          </cell>
          <cell r="B2108" t="str">
            <v>IB CDD SBY-MALANG</v>
          </cell>
          <cell r="C2108" t="str">
            <v>NHD</v>
          </cell>
        </row>
        <row r="2109">
          <cell r="A2109" t="str">
            <v>BIA-EKS-0714</v>
          </cell>
          <cell r="B2109" t="str">
            <v>IB CDD SBY-MOJOKERTO</v>
          </cell>
          <cell r="C2109" t="str">
            <v>NHD</v>
          </cell>
        </row>
        <row r="2110">
          <cell r="A2110" t="str">
            <v>BIA-EKS-0715</v>
          </cell>
          <cell r="B2110" t="str">
            <v>IB CDD SBY-NGANJUK</v>
          </cell>
          <cell r="C2110" t="str">
            <v>NHD</v>
          </cell>
        </row>
        <row r="2111">
          <cell r="A2111" t="str">
            <v>BIA-EKS-0716</v>
          </cell>
          <cell r="B2111" t="str">
            <v>IB CDD SBY-NGAWI</v>
          </cell>
          <cell r="C2111" t="str">
            <v>NHD</v>
          </cell>
        </row>
        <row r="2112">
          <cell r="A2112" t="str">
            <v>BIA-EKS-0717</v>
          </cell>
          <cell r="B2112" t="str">
            <v>IB CDD SBY-PASURUAN</v>
          </cell>
          <cell r="C2112" t="str">
            <v>NHD</v>
          </cell>
        </row>
        <row r="2113">
          <cell r="A2113" t="str">
            <v>BIA-EKS-0718</v>
          </cell>
          <cell r="B2113" t="str">
            <v>IB CDD SBY-PAMEKASAN</v>
          </cell>
          <cell r="C2113" t="str">
            <v>NHD</v>
          </cell>
        </row>
        <row r="2114">
          <cell r="A2114" t="str">
            <v>BIA-EKS-0719</v>
          </cell>
          <cell r="B2114" t="str">
            <v>IB CDD SBY-PONOROGO</v>
          </cell>
          <cell r="C2114" t="str">
            <v>NHD</v>
          </cell>
        </row>
        <row r="2115">
          <cell r="A2115" t="str">
            <v>BIA-EKS-0720</v>
          </cell>
          <cell r="B2115" t="str">
            <v>IB CDD SBY-PROBOLINGGO</v>
          </cell>
          <cell r="C2115" t="str">
            <v>NHD</v>
          </cell>
        </row>
        <row r="2116">
          <cell r="A2116" t="str">
            <v>BIA-EKS-0721</v>
          </cell>
          <cell r="B2116" t="str">
            <v>IB CDD SBY-SAMPANG</v>
          </cell>
          <cell r="C2116" t="str">
            <v>NHD</v>
          </cell>
        </row>
        <row r="2117">
          <cell r="A2117" t="str">
            <v>BIA-EKS-0722</v>
          </cell>
          <cell r="B2117" t="str">
            <v>IB CDD SBY-SIDOARJO</v>
          </cell>
          <cell r="C2117" t="str">
            <v>NHD</v>
          </cell>
        </row>
        <row r="2118">
          <cell r="A2118" t="str">
            <v>BIA-EKS-0723</v>
          </cell>
          <cell r="B2118" t="str">
            <v>IB CDD SBY-SITUBONDO</v>
          </cell>
          <cell r="C2118" t="str">
            <v>NHD</v>
          </cell>
        </row>
        <row r="2119">
          <cell r="A2119" t="str">
            <v>BIA-EKS-0724</v>
          </cell>
          <cell r="B2119" t="str">
            <v>IB CDD SBY-SUMENEP</v>
          </cell>
          <cell r="C2119" t="str">
            <v>NHD</v>
          </cell>
        </row>
        <row r="2120">
          <cell r="A2120" t="str">
            <v>BIA-EKS-0725</v>
          </cell>
          <cell r="B2120" t="str">
            <v>IB CDD SBY-SBY</v>
          </cell>
          <cell r="C2120" t="str">
            <v>NHD</v>
          </cell>
        </row>
        <row r="2121">
          <cell r="A2121" t="str">
            <v>BIA-EKS-0726</v>
          </cell>
          <cell r="B2121" t="str">
            <v>IB CDD SBY-TRENGGALEK</v>
          </cell>
          <cell r="C2121" t="str">
            <v>NHD</v>
          </cell>
        </row>
        <row r="2122">
          <cell r="A2122" t="str">
            <v>BIA-EKS-0727</v>
          </cell>
          <cell r="B2122" t="str">
            <v>IB CDD SBY-TULUNGAGUNG</v>
          </cell>
          <cell r="C2122" t="str">
            <v>NHD</v>
          </cell>
        </row>
        <row r="2123">
          <cell r="A2123" t="str">
            <v>BIA-EKS-0728</v>
          </cell>
          <cell r="B2123" t="str">
            <v>IB CDD SBY-TUBAN</v>
          </cell>
          <cell r="C2123" t="str">
            <v>NHD</v>
          </cell>
        </row>
        <row r="2124">
          <cell r="A2124" t="str">
            <v>BIA-EKS-0729</v>
          </cell>
          <cell r="B2124" t="str">
            <v>IB CDD SBY-RS SYUYUDIN LAMONGAN (PACIRAN)</v>
          </cell>
          <cell r="C2124" t="str">
            <v>NHD</v>
          </cell>
        </row>
        <row r="2125">
          <cell r="A2125" t="str">
            <v>BIA-EKS-0730</v>
          </cell>
          <cell r="B2125" t="str">
            <v>IB CDD SBY-RSAL SURABAYA</v>
          </cell>
          <cell r="C2125" t="str">
            <v>NHD</v>
          </cell>
        </row>
        <row r="2126">
          <cell r="A2126" t="str">
            <v>BIA-EKS-0731</v>
          </cell>
          <cell r="B2126" t="str">
            <v>IB CDD SBY-RS PHC SURABAYA</v>
          </cell>
          <cell r="C2126" t="str">
            <v>NHD</v>
          </cell>
        </row>
        <row r="2127">
          <cell r="A2127" t="str">
            <v>BIA-EKS-0732</v>
          </cell>
          <cell r="B2127" t="str">
            <v>IB CDD SBY-RS BINA SEHAT JEMBER</v>
          </cell>
          <cell r="C2127" t="str">
            <v>NHD</v>
          </cell>
        </row>
        <row r="2128">
          <cell r="A2128" t="str">
            <v>BIA-EKS-0733</v>
          </cell>
          <cell r="B2128" t="str">
            <v>RAPIH CDD SBY-BANGKALAN</v>
          </cell>
          <cell r="C2128" t="str">
            <v>NHD</v>
          </cell>
        </row>
        <row r="2129">
          <cell r="A2129" t="str">
            <v>BIA-EKS-0734</v>
          </cell>
          <cell r="B2129" t="str">
            <v>RAPIH CDD SBY-BATU(TUREN/KEPANJEN)</v>
          </cell>
          <cell r="C2129" t="str">
            <v>NHD</v>
          </cell>
        </row>
        <row r="2130">
          <cell r="A2130" t="str">
            <v>BIA-EKS-0735</v>
          </cell>
          <cell r="B2130" t="str">
            <v>RAPIH CDD SBY-BANYUWANGI</v>
          </cell>
          <cell r="C2130" t="str">
            <v>NHD</v>
          </cell>
        </row>
        <row r="2131">
          <cell r="A2131" t="str">
            <v>BIA-EKS-0736</v>
          </cell>
          <cell r="B2131" t="str">
            <v>RAPIH CDD SBY-BLAMBANGAN</v>
          </cell>
          <cell r="C2131" t="str">
            <v>NHD</v>
          </cell>
        </row>
        <row r="2132">
          <cell r="A2132" t="str">
            <v>BIA-EKS-0737</v>
          </cell>
          <cell r="B2132" t="str">
            <v>RAPIH CDD SBY-BLITAR</v>
          </cell>
          <cell r="C2132" t="str">
            <v>NHD</v>
          </cell>
        </row>
        <row r="2133">
          <cell r="A2133" t="str">
            <v>BIA-EKS-0738</v>
          </cell>
          <cell r="B2133" t="str">
            <v>RAPIH CDD SBY-BANGIL</v>
          </cell>
          <cell r="C2133" t="str">
            <v>NHD</v>
          </cell>
        </row>
        <row r="2134">
          <cell r="A2134" t="str">
            <v>BIA-EKS-0739</v>
          </cell>
          <cell r="B2134" t="str">
            <v>RAPIH CDD SBY-BOJONEGORO</v>
          </cell>
          <cell r="C2134" t="str">
            <v>NHD</v>
          </cell>
        </row>
        <row r="2135">
          <cell r="A2135" t="str">
            <v>BIA-EKS-0740</v>
          </cell>
          <cell r="B2135" t="str">
            <v>RAPIH CDD SBY-BONDOWOSO</v>
          </cell>
          <cell r="C2135" t="str">
            <v>NHD</v>
          </cell>
        </row>
        <row r="2136">
          <cell r="A2136" t="str">
            <v>BIA-EKS-0741</v>
          </cell>
          <cell r="B2136" t="str">
            <v>RAPIH CDD SBY-GRESIK</v>
          </cell>
          <cell r="C2136" t="str">
            <v>NHD</v>
          </cell>
        </row>
        <row r="2137">
          <cell r="A2137" t="str">
            <v>BIA-EKS-0742</v>
          </cell>
          <cell r="B2137" t="str">
            <v>RAPIH CDD SBY-JEMBER</v>
          </cell>
          <cell r="C2137" t="str">
            <v>NHD</v>
          </cell>
        </row>
        <row r="2138">
          <cell r="A2138" t="str">
            <v>BIA-EKS-0743</v>
          </cell>
          <cell r="B2138" t="str">
            <v>RAPIH CDD SBY-JOMBANG</v>
          </cell>
          <cell r="C2138" t="str">
            <v>NHD</v>
          </cell>
        </row>
        <row r="2139">
          <cell r="A2139" t="str">
            <v>BIA-EKS-0744</v>
          </cell>
          <cell r="B2139" t="str">
            <v>RAPIH CDD SBY-KEDIRI</v>
          </cell>
          <cell r="C2139" t="str">
            <v>NHD</v>
          </cell>
        </row>
        <row r="2140">
          <cell r="A2140" t="str">
            <v>BIA-EKS-0745</v>
          </cell>
          <cell r="B2140" t="str">
            <v>RAPIH CDD SBY-LAMONGAN</v>
          </cell>
          <cell r="C2140" t="str">
            <v>NHD</v>
          </cell>
        </row>
        <row r="2141">
          <cell r="A2141" t="str">
            <v>BIA-EKS-0746</v>
          </cell>
          <cell r="B2141" t="str">
            <v>RAPIH CDD SBY-LUMAJANG</v>
          </cell>
          <cell r="C2141" t="str">
            <v>NHD</v>
          </cell>
        </row>
        <row r="2142">
          <cell r="A2142" t="str">
            <v>BIA-EKS-0747</v>
          </cell>
          <cell r="B2142" t="str">
            <v>RAPIH CDD SBY-MADIUN</v>
          </cell>
          <cell r="C2142" t="str">
            <v>NHD</v>
          </cell>
        </row>
        <row r="2143">
          <cell r="A2143" t="str">
            <v>BIA-EKS-0748</v>
          </cell>
          <cell r="B2143" t="str">
            <v>RAPIH CDD SBY-MAGETAN</v>
          </cell>
          <cell r="C2143" t="str">
            <v>NHD</v>
          </cell>
        </row>
        <row r="2144">
          <cell r="A2144" t="str">
            <v>BIA-EKS-0749</v>
          </cell>
          <cell r="B2144" t="str">
            <v>RAPIH CDD SBY-MALANG</v>
          </cell>
          <cell r="C2144" t="str">
            <v>NHD</v>
          </cell>
        </row>
        <row r="2145">
          <cell r="A2145" t="str">
            <v>BIA-EKS-0750</v>
          </cell>
          <cell r="B2145" t="str">
            <v>RAPIH CDD SBY-MOJOKERTO</v>
          </cell>
          <cell r="C2145" t="str">
            <v>NHD</v>
          </cell>
        </row>
        <row r="2146">
          <cell r="A2146" t="str">
            <v>BIA-EKS-0751</v>
          </cell>
          <cell r="B2146" t="str">
            <v>RAPIH CDD SBY-NGANJUK</v>
          </cell>
          <cell r="C2146" t="str">
            <v>NHD</v>
          </cell>
        </row>
        <row r="2147">
          <cell r="A2147" t="str">
            <v>BIA-EKS-0752</v>
          </cell>
          <cell r="B2147" t="str">
            <v>RAPIH CDD SBY-NGAWI</v>
          </cell>
          <cell r="C2147" t="str">
            <v>NHD</v>
          </cell>
        </row>
        <row r="2148">
          <cell r="A2148" t="str">
            <v>BIA-EKS-0753</v>
          </cell>
          <cell r="B2148" t="str">
            <v>RAPIH CDD SBY-PASURUAN</v>
          </cell>
          <cell r="C2148" t="str">
            <v>NHD</v>
          </cell>
        </row>
        <row r="2149">
          <cell r="A2149" t="str">
            <v>BIA-EKS-0754</v>
          </cell>
          <cell r="B2149" t="str">
            <v>RAPIH CDD SBY-PAMEKASAN</v>
          </cell>
          <cell r="C2149" t="str">
            <v>NHD</v>
          </cell>
        </row>
        <row r="2150">
          <cell r="A2150" t="str">
            <v>BIA-EKS-0755</v>
          </cell>
          <cell r="B2150" t="str">
            <v>RAPIH CDD SBY-PONOROGO</v>
          </cell>
          <cell r="C2150" t="str">
            <v>NHD</v>
          </cell>
        </row>
        <row r="2151">
          <cell r="A2151" t="str">
            <v>BIA-EKS-0756</v>
          </cell>
          <cell r="B2151" t="str">
            <v>RAPIH CDD SBY-PROBOLINGGO</v>
          </cell>
          <cell r="C2151" t="str">
            <v>NHD</v>
          </cell>
        </row>
        <row r="2152">
          <cell r="A2152" t="str">
            <v>BIA-EKS-0757</v>
          </cell>
          <cell r="B2152" t="str">
            <v>RAPIH CDD SBY-SAMPANG</v>
          </cell>
          <cell r="C2152" t="str">
            <v>NHD</v>
          </cell>
        </row>
        <row r="2153">
          <cell r="A2153" t="str">
            <v>BIA-EKS-0758</v>
          </cell>
          <cell r="B2153" t="str">
            <v>RAPIH CDD SBY-SIDOARJO</v>
          </cell>
          <cell r="C2153" t="str">
            <v>NHD</v>
          </cell>
        </row>
        <row r="2154">
          <cell r="A2154" t="str">
            <v>BIA-EKS-0759</v>
          </cell>
          <cell r="B2154" t="str">
            <v>RAPIH CDD SBY-SITUBONDO</v>
          </cell>
          <cell r="C2154" t="str">
            <v>NHD</v>
          </cell>
        </row>
        <row r="2155">
          <cell r="A2155" t="str">
            <v>BIA-EKS-0760</v>
          </cell>
          <cell r="B2155" t="str">
            <v>RAPIH CDD SBY-SUMENEP</v>
          </cell>
          <cell r="C2155" t="str">
            <v>NHD</v>
          </cell>
        </row>
        <row r="2156">
          <cell r="A2156" t="str">
            <v>BIA-EKS-0761</v>
          </cell>
          <cell r="B2156" t="str">
            <v>RAPIH CDD SBY-SBY</v>
          </cell>
          <cell r="C2156" t="str">
            <v>NHD</v>
          </cell>
        </row>
        <row r="2157">
          <cell r="A2157" t="str">
            <v>BIA-EKS-0762</v>
          </cell>
          <cell r="B2157" t="str">
            <v>RAPIH CDD SBY-TRENGGALEK</v>
          </cell>
          <cell r="C2157" t="str">
            <v>NHD</v>
          </cell>
        </row>
        <row r="2158">
          <cell r="A2158" t="str">
            <v>BIA-EKS-0763</v>
          </cell>
          <cell r="B2158" t="str">
            <v>RAPIH CDD SBY-TULUNGAGUNG</v>
          </cell>
          <cell r="C2158" t="str">
            <v>NHD</v>
          </cell>
        </row>
        <row r="2159">
          <cell r="A2159" t="str">
            <v>BIA-EKS-0764</v>
          </cell>
          <cell r="B2159" t="str">
            <v>RAPIH CDD SBY-TUBAN</v>
          </cell>
          <cell r="C2159" t="str">
            <v>NHD</v>
          </cell>
        </row>
        <row r="2160">
          <cell r="A2160" t="str">
            <v>BIA-EKS-0765</v>
          </cell>
          <cell r="B2160" t="str">
            <v>RAPIH CDD SBY-RS SYUYUDIN LAMONGAN (PACIRAN)</v>
          </cell>
          <cell r="C2160" t="str">
            <v>NHD</v>
          </cell>
        </row>
        <row r="2161">
          <cell r="A2161" t="str">
            <v>BIA-EKS-0766</v>
          </cell>
          <cell r="B2161" t="str">
            <v>RAPIH CDD SBY-PACITAN</v>
          </cell>
          <cell r="C2161" t="str">
            <v>NHD</v>
          </cell>
        </row>
        <row r="2162">
          <cell r="A2162" t="str">
            <v>BIA-EKS-0767</v>
          </cell>
          <cell r="B2162" t="str">
            <v>RAPIH CDD SBY-RSAL SURABAYA</v>
          </cell>
          <cell r="C2162" t="str">
            <v>NHD</v>
          </cell>
        </row>
        <row r="2163">
          <cell r="A2163" t="str">
            <v>BIA-EKS-0768</v>
          </cell>
          <cell r="B2163" t="str">
            <v>RAPIH CDD SBY-RS PHC SURABAYA</v>
          </cell>
          <cell r="C2163" t="str">
            <v>NHD</v>
          </cell>
        </row>
        <row r="2164">
          <cell r="A2164" t="str">
            <v>BIA-EKS-0769</v>
          </cell>
          <cell r="B2164" t="str">
            <v>RAPIH CDD SBY-RS BINA SEHAT JEMBER</v>
          </cell>
          <cell r="C2164" t="str">
            <v>NHD</v>
          </cell>
        </row>
        <row r="2165">
          <cell r="A2165" t="str">
            <v>BIA-EKS-0770</v>
          </cell>
          <cell r="B2165" t="str">
            <v>PIP CDE SBY-BANGKALAN</v>
          </cell>
          <cell r="C2165" t="str">
            <v>NHD</v>
          </cell>
        </row>
        <row r="2166">
          <cell r="A2166" t="str">
            <v>BIA-EKS-0771</v>
          </cell>
          <cell r="B2166" t="str">
            <v>PIP CDE SBY-BATU(TUREN/KEPANJEN)</v>
          </cell>
          <cell r="C2166" t="str">
            <v>NHD</v>
          </cell>
        </row>
        <row r="2167">
          <cell r="A2167" t="str">
            <v>BIA-EKS-0772</v>
          </cell>
          <cell r="B2167" t="str">
            <v>PIP CDE SBY-BANYUWANGI</v>
          </cell>
          <cell r="C2167" t="str">
            <v>NHD</v>
          </cell>
        </row>
        <row r="2168">
          <cell r="A2168" t="str">
            <v>BIA-EKS-0773</v>
          </cell>
          <cell r="B2168" t="str">
            <v>PIP CDE SBY-BLAMBANGAN</v>
          </cell>
          <cell r="C2168" t="str">
            <v>NHD</v>
          </cell>
        </row>
        <row r="2169">
          <cell r="A2169" t="str">
            <v>BIA-EKS-0774</v>
          </cell>
          <cell r="B2169" t="str">
            <v>PIP CDE SBY-BLITAR</v>
          </cell>
          <cell r="C2169" t="str">
            <v>NHD</v>
          </cell>
        </row>
        <row r="2170">
          <cell r="A2170" t="str">
            <v>BIA-EKS-0775</v>
          </cell>
          <cell r="B2170" t="str">
            <v>PIP CDE SBY-BANGIL</v>
          </cell>
          <cell r="C2170" t="str">
            <v>NHD</v>
          </cell>
        </row>
        <row r="2171">
          <cell r="A2171" t="str">
            <v>BIA-EKS-0776</v>
          </cell>
          <cell r="B2171" t="str">
            <v>PIP CDE SBY-BOJONEGORO</v>
          </cell>
          <cell r="C2171" t="str">
            <v>NHD</v>
          </cell>
        </row>
        <row r="2172">
          <cell r="A2172" t="str">
            <v>BIA-EKS-0777</v>
          </cell>
          <cell r="B2172" t="str">
            <v>PIP CDE SBY-BONDOWOSO</v>
          </cell>
          <cell r="C2172" t="str">
            <v>NHD</v>
          </cell>
        </row>
        <row r="2173">
          <cell r="A2173" t="str">
            <v>BIA-EKS-0778</v>
          </cell>
          <cell r="B2173" t="str">
            <v>PIP CDE SBY-GRESIK</v>
          </cell>
          <cell r="C2173" t="str">
            <v>NHD</v>
          </cell>
        </row>
        <row r="2174">
          <cell r="A2174" t="str">
            <v>BIA-EKS-0779</v>
          </cell>
          <cell r="B2174" t="str">
            <v>PIP CDE SBY-JEMBER</v>
          </cell>
          <cell r="C2174" t="str">
            <v>NHD</v>
          </cell>
        </row>
        <row r="2175">
          <cell r="A2175" t="str">
            <v>BIA-EKS-0780</v>
          </cell>
          <cell r="B2175" t="str">
            <v>PIP CDE SBY-JOMBANG</v>
          </cell>
          <cell r="C2175" t="str">
            <v>NHD</v>
          </cell>
        </row>
        <row r="2176">
          <cell r="A2176" t="str">
            <v>BIA-EKS-0781</v>
          </cell>
          <cell r="B2176" t="str">
            <v>PIP CDE SBY-KEDIRI</v>
          </cell>
          <cell r="C2176" t="str">
            <v>NHD</v>
          </cell>
        </row>
        <row r="2177">
          <cell r="A2177" t="str">
            <v>BIA-EKS-0782</v>
          </cell>
          <cell r="B2177" t="str">
            <v>PIP CDE SBY-KERTOSONO</v>
          </cell>
          <cell r="C2177" t="str">
            <v>NHD</v>
          </cell>
        </row>
        <row r="2178">
          <cell r="A2178" t="str">
            <v>BIA-EKS-0783</v>
          </cell>
          <cell r="B2178" t="str">
            <v>PIP CDE SBY-LAMONGAN</v>
          </cell>
          <cell r="C2178" t="str">
            <v>NHD</v>
          </cell>
        </row>
        <row r="2179">
          <cell r="A2179" t="str">
            <v>BIA-EKS-0784</v>
          </cell>
          <cell r="B2179" t="str">
            <v>PIP CDE SBY-LUMAJANG</v>
          </cell>
          <cell r="C2179" t="str">
            <v>NHD</v>
          </cell>
        </row>
        <row r="2180">
          <cell r="A2180" t="str">
            <v>BIA-EKS-0785</v>
          </cell>
          <cell r="B2180" t="str">
            <v>PIP CDE SBY-MADIUN</v>
          </cell>
          <cell r="C2180" t="str">
            <v>NHD</v>
          </cell>
        </row>
        <row r="2181">
          <cell r="A2181" t="str">
            <v>BIA-EKS-0786</v>
          </cell>
          <cell r="B2181" t="str">
            <v>PIP CDE SBY-MAGETAN</v>
          </cell>
          <cell r="C2181" t="str">
            <v>NHD</v>
          </cell>
        </row>
        <row r="2182">
          <cell r="A2182" t="str">
            <v>BIA-EKS-0787</v>
          </cell>
          <cell r="B2182" t="str">
            <v>PIP CDE SBY-MALANG</v>
          </cell>
          <cell r="C2182" t="str">
            <v>NHD</v>
          </cell>
        </row>
        <row r="2183">
          <cell r="A2183" t="str">
            <v>BIA-EKS-0788</v>
          </cell>
          <cell r="B2183" t="str">
            <v>PIP CDE SBY-MOJOKERTO</v>
          </cell>
          <cell r="C2183" t="str">
            <v>NHD</v>
          </cell>
        </row>
        <row r="2184">
          <cell r="A2184" t="str">
            <v>BIA-EKS-0789</v>
          </cell>
          <cell r="B2184" t="str">
            <v>PIP CDE SBY-NGANJUK</v>
          </cell>
          <cell r="C2184" t="str">
            <v>NHD</v>
          </cell>
        </row>
        <row r="2185">
          <cell r="A2185" t="str">
            <v>BIA-EKS-0790</v>
          </cell>
          <cell r="B2185" t="str">
            <v>PIP CDE SBY-NGAWI</v>
          </cell>
          <cell r="C2185" t="str">
            <v>NHD</v>
          </cell>
        </row>
        <row r="2186">
          <cell r="A2186" t="str">
            <v>BIA-EKS-0791</v>
          </cell>
          <cell r="B2186" t="str">
            <v>PIP CDE SBY-PASURUAN</v>
          </cell>
          <cell r="C2186" t="str">
            <v>NHD</v>
          </cell>
        </row>
        <row r="2187">
          <cell r="A2187" t="str">
            <v>BIA-EKS-0792</v>
          </cell>
          <cell r="B2187" t="str">
            <v>PIP CDE SBY-PAMEKASAN</v>
          </cell>
          <cell r="C2187" t="str">
            <v>NHD</v>
          </cell>
        </row>
        <row r="2188">
          <cell r="A2188" t="str">
            <v>BIA-EKS-0793</v>
          </cell>
          <cell r="B2188" t="str">
            <v>PIP CDE SBY-PONOROGO</v>
          </cell>
          <cell r="C2188" t="str">
            <v>NHD</v>
          </cell>
        </row>
        <row r="2189">
          <cell r="A2189" t="str">
            <v>BIA-EKS-0794</v>
          </cell>
          <cell r="B2189" t="str">
            <v>PIP CDE SBY-PROBOLINGGO</v>
          </cell>
          <cell r="C2189" t="str">
            <v>NHD</v>
          </cell>
        </row>
        <row r="2190">
          <cell r="A2190" t="str">
            <v>BIA-EKS-0795</v>
          </cell>
          <cell r="B2190" t="str">
            <v>PIP CDE SBY-SAMPANG</v>
          </cell>
          <cell r="C2190" t="str">
            <v>NHD</v>
          </cell>
        </row>
        <row r="2191">
          <cell r="A2191" t="str">
            <v>BIA-EKS-0796</v>
          </cell>
          <cell r="B2191" t="str">
            <v>PIP CDE SBY-SIDOARJO</v>
          </cell>
          <cell r="C2191" t="str">
            <v>NHD</v>
          </cell>
        </row>
        <row r="2192">
          <cell r="A2192" t="str">
            <v>BIA-EKS-0797</v>
          </cell>
          <cell r="B2192" t="str">
            <v>PIP CDE SBY-SITUBONDO</v>
          </cell>
          <cell r="C2192" t="str">
            <v>NHD</v>
          </cell>
        </row>
        <row r="2193">
          <cell r="A2193" t="str">
            <v>BIA-EKS-0798</v>
          </cell>
          <cell r="B2193" t="str">
            <v>PIP CDE SBY-SUMENEP</v>
          </cell>
          <cell r="C2193" t="str">
            <v>NHD</v>
          </cell>
        </row>
        <row r="2194">
          <cell r="A2194" t="str">
            <v>BIA-EKS-0799</v>
          </cell>
          <cell r="B2194" t="str">
            <v>PIP CDE SBY-SBY</v>
          </cell>
          <cell r="C2194" t="str">
            <v>NHD</v>
          </cell>
        </row>
        <row r="2195">
          <cell r="A2195" t="str">
            <v>BIA-EKS-0800</v>
          </cell>
          <cell r="B2195" t="str">
            <v>PIP CDE SBY-TRENGGALEK</v>
          </cell>
          <cell r="C2195" t="str">
            <v>NHD</v>
          </cell>
        </row>
        <row r="2196">
          <cell r="A2196" t="str">
            <v>BIA-EKS-0801</v>
          </cell>
          <cell r="B2196" t="str">
            <v>PIP CDE SBY-TULUNGAGUNG</v>
          </cell>
          <cell r="C2196" t="str">
            <v>NHD</v>
          </cell>
        </row>
        <row r="2197">
          <cell r="A2197" t="str">
            <v>BIA-EKS-0802</v>
          </cell>
          <cell r="B2197" t="str">
            <v>PIP CDE SBY-TUBAN</v>
          </cell>
          <cell r="C2197" t="str">
            <v>NHD</v>
          </cell>
        </row>
        <row r="2198">
          <cell r="A2198" t="str">
            <v>BIA-EKS-0803</v>
          </cell>
          <cell r="B2198" t="str">
            <v>PIP CDE SBY-RS SYUYUDIN LAMONGAN (PACIRAN)</v>
          </cell>
          <cell r="C2198" t="str">
            <v>NHD</v>
          </cell>
        </row>
        <row r="2199">
          <cell r="A2199" t="str">
            <v>BIA-EKS-0804</v>
          </cell>
          <cell r="B2199" t="str">
            <v>PIP CDE SBY-PACITAN</v>
          </cell>
          <cell r="C2199" t="str">
            <v>NHD</v>
          </cell>
        </row>
        <row r="2200">
          <cell r="A2200" t="str">
            <v>BIA-EKS-0805</v>
          </cell>
          <cell r="B2200" t="str">
            <v>PIP CDE SBY-RSAL SURABAYA</v>
          </cell>
          <cell r="C2200" t="str">
            <v>NHD</v>
          </cell>
        </row>
        <row r="2201">
          <cell r="A2201" t="str">
            <v>BIA-EKS-0806</v>
          </cell>
          <cell r="B2201" t="str">
            <v>PIP CDE SBY-RS PHC SURABAYA</v>
          </cell>
          <cell r="C2201" t="str">
            <v>NHD</v>
          </cell>
        </row>
        <row r="2202">
          <cell r="A2202" t="str">
            <v>BIA-EKS-0807</v>
          </cell>
          <cell r="B2202" t="str">
            <v>PIP CDE SBY-RS BINA SEHAT JEMBER</v>
          </cell>
          <cell r="C2202" t="str">
            <v>NHD</v>
          </cell>
        </row>
        <row r="2203">
          <cell r="A2203" t="str">
            <v>BIA-EKS-0808</v>
          </cell>
          <cell r="B2203" t="str">
            <v>IB CDE SBY-BANGKALAN</v>
          </cell>
          <cell r="C2203" t="str">
            <v>NHD</v>
          </cell>
        </row>
        <row r="2204">
          <cell r="A2204" t="str">
            <v>BIA-EKS-0809</v>
          </cell>
          <cell r="B2204" t="str">
            <v>IB CDE SBY-BATU(TUREN/KEPANJEN)</v>
          </cell>
          <cell r="C2204" t="str">
            <v>NHD</v>
          </cell>
        </row>
        <row r="2205">
          <cell r="A2205" t="str">
            <v>BIA-EKS-0810</v>
          </cell>
          <cell r="B2205" t="str">
            <v>IB CDE SBY-BANYUWANGI</v>
          </cell>
          <cell r="C2205" t="str">
            <v>NHD</v>
          </cell>
        </row>
        <row r="2206">
          <cell r="A2206" t="str">
            <v>BIA-EKS-0811</v>
          </cell>
          <cell r="B2206" t="str">
            <v>IB CDE SBY-BLAMBANGAN</v>
          </cell>
          <cell r="C2206" t="str">
            <v>NHD</v>
          </cell>
        </row>
        <row r="2207">
          <cell r="A2207" t="str">
            <v>BIA-EKS-0812</v>
          </cell>
          <cell r="B2207" t="str">
            <v>IB CDE SBY-BLITAR</v>
          </cell>
          <cell r="C2207" t="str">
            <v>NHD</v>
          </cell>
        </row>
        <row r="2208">
          <cell r="A2208" t="str">
            <v>BIA-EKS-0813</v>
          </cell>
          <cell r="B2208" t="str">
            <v>IB CDE SBY-BANGIL</v>
          </cell>
          <cell r="C2208" t="str">
            <v>NHD</v>
          </cell>
        </row>
        <row r="2209">
          <cell r="A2209" t="str">
            <v>BIA-EKS-0814</v>
          </cell>
          <cell r="B2209" t="str">
            <v>IB CDE SBY-BOJONEGORO</v>
          </cell>
          <cell r="C2209" t="str">
            <v>NHD</v>
          </cell>
        </row>
        <row r="2210">
          <cell r="A2210" t="str">
            <v>BIA-EKS-0815</v>
          </cell>
          <cell r="B2210" t="str">
            <v>IB CDE SBY-BONDOWOSO</v>
          </cell>
          <cell r="C2210" t="str">
            <v>NHD</v>
          </cell>
        </row>
        <row r="2211">
          <cell r="A2211" t="str">
            <v>BIA-EKS-0816</v>
          </cell>
          <cell r="B2211" t="str">
            <v>IB CDE SBY-GRESIK</v>
          </cell>
          <cell r="C2211" t="str">
            <v>NHD</v>
          </cell>
        </row>
        <row r="2212">
          <cell r="A2212" t="str">
            <v>BIA-EKS-0817</v>
          </cell>
          <cell r="B2212" t="str">
            <v>IB CDE SBY-JEMBER</v>
          </cell>
          <cell r="C2212" t="str">
            <v>NHD</v>
          </cell>
        </row>
        <row r="2213">
          <cell r="A2213" t="str">
            <v>BIA-EKS-0818</v>
          </cell>
          <cell r="B2213" t="str">
            <v>IB CDE SBY-JOMBANG</v>
          </cell>
          <cell r="C2213" t="str">
            <v>NHD</v>
          </cell>
        </row>
        <row r="2214">
          <cell r="A2214" t="str">
            <v>BIA-EKS-0819</v>
          </cell>
          <cell r="B2214" t="str">
            <v>IB CDE SBY-KEDIRI</v>
          </cell>
          <cell r="C2214" t="str">
            <v>NHD</v>
          </cell>
        </row>
        <row r="2215">
          <cell r="A2215" t="str">
            <v>BIA-EKS-0820</v>
          </cell>
          <cell r="B2215" t="str">
            <v>IB CDE SBY-KERTOSONO</v>
          </cell>
          <cell r="C2215" t="str">
            <v>NHD</v>
          </cell>
        </row>
        <row r="2216">
          <cell r="A2216" t="str">
            <v>BIA-EKS-0821</v>
          </cell>
          <cell r="B2216" t="str">
            <v>IB CDE SBY-LAMONGAN</v>
          </cell>
          <cell r="C2216" t="str">
            <v>NHD</v>
          </cell>
        </row>
        <row r="2217">
          <cell r="A2217" t="str">
            <v>BIA-EKS-0822</v>
          </cell>
          <cell r="B2217" t="str">
            <v>IB CDE SBY-LUMAJANG</v>
          </cell>
          <cell r="C2217" t="str">
            <v>NHD</v>
          </cell>
        </row>
        <row r="2218">
          <cell r="A2218" t="str">
            <v>BIA-EKS-0823</v>
          </cell>
          <cell r="B2218" t="str">
            <v>IB CDE SBY-MADIUN</v>
          </cell>
          <cell r="C2218" t="str">
            <v>NHD</v>
          </cell>
        </row>
        <row r="2219">
          <cell r="A2219" t="str">
            <v>BIA-EKS-0824</v>
          </cell>
          <cell r="B2219" t="str">
            <v>IB CDE SBY-MAGETAN</v>
          </cell>
          <cell r="C2219" t="str">
            <v>NHD</v>
          </cell>
        </row>
        <row r="2220">
          <cell r="A2220" t="str">
            <v>BIA-EKS-0825</v>
          </cell>
          <cell r="B2220" t="str">
            <v>IB CDE SBY-MALANG</v>
          </cell>
          <cell r="C2220" t="str">
            <v>NHD</v>
          </cell>
        </row>
        <row r="2221">
          <cell r="A2221" t="str">
            <v>BIA-EKS-0826</v>
          </cell>
          <cell r="B2221" t="str">
            <v>IB CDE SBY-MOJOKERTO</v>
          </cell>
          <cell r="C2221" t="str">
            <v>NHD</v>
          </cell>
        </row>
        <row r="2222">
          <cell r="A2222" t="str">
            <v>BIA-EKS-0827</v>
          </cell>
          <cell r="B2222" t="str">
            <v>IB CDE SBY-NGANJUK</v>
          </cell>
          <cell r="C2222" t="str">
            <v>NHD</v>
          </cell>
        </row>
        <row r="2223">
          <cell r="A2223" t="str">
            <v>BIA-EKS-0828</v>
          </cell>
          <cell r="B2223" t="str">
            <v>IB CDE SBY-NGAWI</v>
          </cell>
          <cell r="C2223" t="str">
            <v>NHD</v>
          </cell>
        </row>
        <row r="2224">
          <cell r="A2224" t="str">
            <v>BIA-EKS-0829</v>
          </cell>
          <cell r="B2224" t="str">
            <v>IB CDE SBY-PASURUAN</v>
          </cell>
          <cell r="C2224" t="str">
            <v>NHD</v>
          </cell>
        </row>
        <row r="2225">
          <cell r="A2225" t="str">
            <v>BIA-EKS-0830</v>
          </cell>
          <cell r="B2225" t="str">
            <v>IB CDE SBY-PAMEKASAN</v>
          </cell>
          <cell r="C2225" t="str">
            <v>NHD</v>
          </cell>
        </row>
        <row r="2226">
          <cell r="A2226" t="str">
            <v>BIA-EKS-0831</v>
          </cell>
          <cell r="B2226" t="str">
            <v>IB CDE SBY-PONOROGO</v>
          </cell>
          <cell r="C2226" t="str">
            <v>NHD</v>
          </cell>
        </row>
        <row r="2227">
          <cell r="A2227" t="str">
            <v>BIA-EKS-0832</v>
          </cell>
          <cell r="B2227" t="str">
            <v>IB CDE SBY-PROBOLINGGO</v>
          </cell>
          <cell r="C2227" t="str">
            <v>NHD</v>
          </cell>
        </row>
        <row r="2228">
          <cell r="A2228" t="str">
            <v>BIA-EKS-0833</v>
          </cell>
          <cell r="B2228" t="str">
            <v>IB CDE SBY-SAMPANG</v>
          </cell>
          <cell r="C2228" t="str">
            <v>NHD</v>
          </cell>
        </row>
        <row r="2229">
          <cell r="A2229" t="str">
            <v>BIA-EKS-0834</v>
          </cell>
          <cell r="B2229" t="str">
            <v>IB CDE SBY-SIDOARJO</v>
          </cell>
          <cell r="C2229" t="str">
            <v>NHD</v>
          </cell>
        </row>
        <row r="2230">
          <cell r="A2230" t="str">
            <v>BIA-EKS-0835</v>
          </cell>
          <cell r="B2230" t="str">
            <v>IB CDE SBY-SITUBONDO</v>
          </cell>
          <cell r="C2230" t="str">
            <v>NHD</v>
          </cell>
        </row>
        <row r="2231">
          <cell r="A2231" t="str">
            <v>BIA-EKS-0836</v>
          </cell>
          <cell r="B2231" t="str">
            <v>IB CDE SBY-SUMENEP</v>
          </cell>
          <cell r="C2231" t="str">
            <v>NHD</v>
          </cell>
        </row>
        <row r="2232">
          <cell r="A2232" t="str">
            <v>BIA-EKS-0837</v>
          </cell>
          <cell r="B2232" t="str">
            <v>IB CDE SBY-SBY</v>
          </cell>
          <cell r="C2232" t="str">
            <v>NHD</v>
          </cell>
        </row>
        <row r="2233">
          <cell r="A2233" t="str">
            <v>BIA-EKS-0838</v>
          </cell>
          <cell r="B2233" t="str">
            <v>IB CDE SBY-TRENGGALEK</v>
          </cell>
          <cell r="C2233" t="str">
            <v>NHD</v>
          </cell>
        </row>
        <row r="2234">
          <cell r="A2234" t="str">
            <v>BIA-EKS-0839</v>
          </cell>
          <cell r="B2234" t="str">
            <v>IB CDE SBY-TULUNGAGUNG</v>
          </cell>
          <cell r="C2234" t="str">
            <v>NHD</v>
          </cell>
        </row>
        <row r="2235">
          <cell r="A2235" t="str">
            <v>BIA-EKS-0840</v>
          </cell>
          <cell r="B2235" t="str">
            <v>IB CDE SBY-TUBAN</v>
          </cell>
          <cell r="C2235" t="str">
            <v>NHD</v>
          </cell>
        </row>
        <row r="2236">
          <cell r="A2236" t="str">
            <v>BIA-EKS-0841</v>
          </cell>
          <cell r="B2236" t="str">
            <v>IB CDE SBY-RS SYUYUDIN LAMONGAN (PACIRAN)</v>
          </cell>
          <cell r="C2236" t="str">
            <v>NHD</v>
          </cell>
        </row>
        <row r="2237">
          <cell r="A2237" t="str">
            <v>BIA-EKS-0842</v>
          </cell>
          <cell r="B2237" t="str">
            <v>IB CDE SBY-PACITAN</v>
          </cell>
          <cell r="C2237" t="str">
            <v>NHD</v>
          </cell>
        </row>
        <row r="2238">
          <cell r="A2238" t="str">
            <v>BIA-EKS-0843</v>
          </cell>
          <cell r="B2238" t="str">
            <v>IB CDE SBY-RSAL SURABAYA</v>
          </cell>
          <cell r="C2238" t="str">
            <v>NHD</v>
          </cell>
        </row>
        <row r="2239">
          <cell r="A2239" t="str">
            <v>BIA-EKS-0844</v>
          </cell>
          <cell r="B2239" t="str">
            <v>IB CDE SBY-RS PHC SURABAYA</v>
          </cell>
          <cell r="C2239" t="str">
            <v>NHD</v>
          </cell>
        </row>
        <row r="2240">
          <cell r="A2240" t="str">
            <v>BIA-EKS-0845</v>
          </cell>
          <cell r="B2240" t="str">
            <v>IB CDE SBY-RS BINA SEHAT JEMBER</v>
          </cell>
          <cell r="C2240" t="str">
            <v>NHD</v>
          </cell>
        </row>
        <row r="2241">
          <cell r="A2241" t="str">
            <v>BIA-EKS-0846</v>
          </cell>
          <cell r="B2241" t="str">
            <v>RAPIH CDE SBY-BANGKALAN</v>
          </cell>
          <cell r="C2241" t="str">
            <v>NHD</v>
          </cell>
        </row>
        <row r="2242">
          <cell r="A2242" t="str">
            <v>BIA-EKS-0847</v>
          </cell>
          <cell r="B2242" t="str">
            <v>RAPIH CDE SBY-BATU(TUREN/KEPANJEN)</v>
          </cell>
          <cell r="C2242" t="str">
            <v>NHD</v>
          </cell>
        </row>
        <row r="2243">
          <cell r="A2243" t="str">
            <v>BIA-EKS-0848</v>
          </cell>
          <cell r="B2243" t="str">
            <v>RAPIH CDE SBY-BANYUWANGI</v>
          </cell>
          <cell r="C2243" t="str">
            <v>NHD</v>
          </cell>
        </row>
        <row r="2244">
          <cell r="A2244" t="str">
            <v>BIA-EKS-0849</v>
          </cell>
          <cell r="B2244" t="str">
            <v>RAPIH CDE SBY-BLAMBANGAN</v>
          </cell>
          <cell r="C2244" t="str">
            <v>NHD</v>
          </cell>
        </row>
        <row r="2245">
          <cell r="A2245" t="str">
            <v>BIA-EKS-0850</v>
          </cell>
          <cell r="B2245" t="str">
            <v>RAPIH CDE SBY-BLITAR</v>
          </cell>
          <cell r="C2245" t="str">
            <v>NHD</v>
          </cell>
        </row>
        <row r="2246">
          <cell r="A2246" t="str">
            <v>BIA-EKS-0851</v>
          </cell>
          <cell r="B2246" t="str">
            <v>RAPIH CDE SBY-BANGIL</v>
          </cell>
          <cell r="C2246" t="str">
            <v>NHD</v>
          </cell>
        </row>
        <row r="2247">
          <cell r="A2247" t="str">
            <v>BIA-EKS-0852</v>
          </cell>
          <cell r="B2247" t="str">
            <v>RAPIH CDE SBY-BOJONEGORO</v>
          </cell>
          <cell r="C2247" t="str">
            <v>NHD</v>
          </cell>
        </row>
        <row r="2248">
          <cell r="A2248" t="str">
            <v>BIA-EKS-0853</v>
          </cell>
          <cell r="B2248" t="str">
            <v>RAPIH CDE SBY-BONDOWOSO</v>
          </cell>
          <cell r="C2248" t="str">
            <v>NHD</v>
          </cell>
        </row>
        <row r="2249">
          <cell r="A2249" t="str">
            <v>BIA-EKS-0854</v>
          </cell>
          <cell r="B2249" t="str">
            <v>RAPIH CDE SBY-GRESIK</v>
          </cell>
          <cell r="C2249" t="str">
            <v>NHD</v>
          </cell>
        </row>
        <row r="2250">
          <cell r="A2250" t="str">
            <v>BIA-EKS-0855</v>
          </cell>
          <cell r="B2250" t="str">
            <v>RAPIH CDE SBY-JEMBER</v>
          </cell>
          <cell r="C2250" t="str">
            <v>NHD</v>
          </cell>
        </row>
        <row r="2251">
          <cell r="A2251" t="str">
            <v>BIA-EKS-0856</v>
          </cell>
          <cell r="B2251" t="str">
            <v>RAPIH CDE SBY-JOMBANG</v>
          </cell>
          <cell r="C2251" t="str">
            <v>NHD</v>
          </cell>
        </row>
        <row r="2252">
          <cell r="A2252" t="str">
            <v>BIA-EKS-0857</v>
          </cell>
          <cell r="B2252" t="str">
            <v>RAPIH CDE SBY-KEDIRI</v>
          </cell>
          <cell r="C2252" t="str">
            <v>NHD</v>
          </cell>
        </row>
        <row r="2253">
          <cell r="A2253" t="str">
            <v>BIA-EKS-0858</v>
          </cell>
          <cell r="B2253" t="str">
            <v>RAPIH CDE SBY-LAMONGAN</v>
          </cell>
          <cell r="C2253" t="str">
            <v>NHD</v>
          </cell>
        </row>
        <row r="2254">
          <cell r="A2254" t="str">
            <v>BIA-EKS-0859</v>
          </cell>
          <cell r="B2254" t="str">
            <v>RAPIH CDE SBY-LUMAJANG</v>
          </cell>
          <cell r="C2254" t="str">
            <v>NHD</v>
          </cell>
        </row>
        <row r="2255">
          <cell r="A2255" t="str">
            <v>BIA-EKS-0860</v>
          </cell>
          <cell r="B2255" t="str">
            <v>RAPIH CDE SBY-MADIUN</v>
          </cell>
          <cell r="C2255" t="str">
            <v>NHD</v>
          </cell>
        </row>
        <row r="2256">
          <cell r="A2256" t="str">
            <v>BIA-EKS-0861</v>
          </cell>
          <cell r="B2256" t="str">
            <v>RAPIH CDE SBY-MAGETAN</v>
          </cell>
          <cell r="C2256" t="str">
            <v>NHD</v>
          </cell>
        </row>
        <row r="2257">
          <cell r="A2257" t="str">
            <v>BIA-EKS-0862</v>
          </cell>
          <cell r="B2257" t="str">
            <v>RAPIH CDE SBY-MALANG</v>
          </cell>
          <cell r="C2257" t="str">
            <v>NHD</v>
          </cell>
        </row>
        <row r="2258">
          <cell r="A2258" t="str">
            <v>BIA-EKS-0863</v>
          </cell>
          <cell r="B2258" t="str">
            <v>RAPIH CDE SBY-MOJOKERTO</v>
          </cell>
          <cell r="C2258" t="str">
            <v>NHD</v>
          </cell>
        </row>
        <row r="2259">
          <cell r="A2259" t="str">
            <v>BIA-EKS-0864</v>
          </cell>
          <cell r="B2259" t="str">
            <v>RAPIH CDE SBY-NGANJUK</v>
          </cell>
          <cell r="C2259" t="str">
            <v>NHD</v>
          </cell>
        </row>
        <row r="2260">
          <cell r="A2260" t="str">
            <v>BIA-EKS-0865</v>
          </cell>
          <cell r="B2260" t="str">
            <v>RAPIH CDE SBY-NGAWI</v>
          </cell>
          <cell r="C2260" t="str">
            <v>NHD</v>
          </cell>
        </row>
        <row r="2261">
          <cell r="A2261" t="str">
            <v>BIA-EKS-0866</v>
          </cell>
          <cell r="B2261" t="str">
            <v>RAPIH CDE SBY-PASURUAN</v>
          </cell>
          <cell r="C2261" t="str">
            <v>NHD</v>
          </cell>
        </row>
        <row r="2262">
          <cell r="A2262" t="str">
            <v>BIA-EKS-0867</v>
          </cell>
          <cell r="B2262" t="str">
            <v>RAPIH CDE SBY-PAMEKASAN</v>
          </cell>
          <cell r="C2262" t="str">
            <v>NHD</v>
          </cell>
        </row>
        <row r="2263">
          <cell r="A2263" t="str">
            <v>BIA-EKS-0868</v>
          </cell>
          <cell r="B2263" t="str">
            <v>RAPIH CDE SBY-PONOROGO</v>
          </cell>
          <cell r="C2263" t="str">
            <v>NHD</v>
          </cell>
        </row>
        <row r="2264">
          <cell r="A2264" t="str">
            <v>BIA-EKS-0869</v>
          </cell>
          <cell r="B2264" t="str">
            <v>RAPIH CDE SBY-PROBOLINGGO</v>
          </cell>
          <cell r="C2264" t="str">
            <v>NHD</v>
          </cell>
        </row>
        <row r="2265">
          <cell r="A2265" t="str">
            <v>BIA-EKS-0870</v>
          </cell>
          <cell r="B2265" t="str">
            <v>RAPIH CDE SBY-SAMPANG</v>
          </cell>
          <cell r="C2265" t="str">
            <v>NHD</v>
          </cell>
        </row>
        <row r="2266">
          <cell r="A2266" t="str">
            <v>BIA-EKS-0871</v>
          </cell>
          <cell r="B2266" t="str">
            <v>RAPIH CDE SBY-SIDOARJO</v>
          </cell>
          <cell r="C2266" t="str">
            <v>NHD</v>
          </cell>
        </row>
        <row r="2267">
          <cell r="A2267" t="str">
            <v>BIA-EKS-0872</v>
          </cell>
          <cell r="B2267" t="str">
            <v>RAPIH CDE SBY-SITUBONDO</v>
          </cell>
          <cell r="C2267" t="str">
            <v>NHD</v>
          </cell>
        </row>
        <row r="2268">
          <cell r="A2268" t="str">
            <v>BIA-EKS-0873</v>
          </cell>
          <cell r="B2268" t="str">
            <v>RAPIH CDE SBY-SUMENEP</v>
          </cell>
          <cell r="C2268" t="str">
            <v>NHD</v>
          </cell>
        </row>
        <row r="2269">
          <cell r="A2269" t="str">
            <v>BIA-EKS-0874</v>
          </cell>
          <cell r="B2269" t="str">
            <v>RAPIH CDE SBY-SBY</v>
          </cell>
          <cell r="C2269" t="str">
            <v>NHD</v>
          </cell>
        </row>
        <row r="2270">
          <cell r="A2270" t="str">
            <v>BIA-EKS-0875</v>
          </cell>
          <cell r="B2270" t="str">
            <v>RAPIH CDE SBY-TRENGGALEK</v>
          </cell>
          <cell r="C2270" t="str">
            <v>NHD</v>
          </cell>
        </row>
        <row r="2271">
          <cell r="A2271" t="str">
            <v>BIA-EKS-0876</v>
          </cell>
          <cell r="B2271" t="str">
            <v>RAPIH CDE SBY-TULUNGAGUNG</v>
          </cell>
          <cell r="C2271" t="str">
            <v>NHD</v>
          </cell>
        </row>
        <row r="2272">
          <cell r="A2272" t="str">
            <v>BIA-EKS-0877</v>
          </cell>
          <cell r="B2272" t="str">
            <v>RAPIH CDE SBY-TUBAN</v>
          </cell>
          <cell r="C2272" t="str">
            <v>NHD</v>
          </cell>
        </row>
        <row r="2273">
          <cell r="A2273" t="str">
            <v>BIA-EKS-0878</v>
          </cell>
          <cell r="B2273" t="str">
            <v>RAPIH CDE SBY-RS SYUYUDIN LAMONGAN (PACIRAN)</v>
          </cell>
          <cell r="C2273" t="str">
            <v>NHD</v>
          </cell>
        </row>
        <row r="2274">
          <cell r="A2274" t="str">
            <v>BIA-EKS-0879</v>
          </cell>
          <cell r="B2274" t="str">
            <v>RAPIH CDE SBY-PACITAN</v>
          </cell>
          <cell r="C2274" t="str">
            <v>NHD</v>
          </cell>
        </row>
        <row r="2275">
          <cell r="A2275" t="str">
            <v>BIA-EKS-0880</v>
          </cell>
          <cell r="B2275" t="str">
            <v>RAPIH CDE SBY-RSAL SURABAYA</v>
          </cell>
          <cell r="C2275" t="str">
            <v>NHD</v>
          </cell>
        </row>
        <row r="2276">
          <cell r="A2276" t="str">
            <v>BIA-EKS-0881</v>
          </cell>
          <cell r="B2276" t="str">
            <v>RAPIH CDE SBY-RS PHC SURABAYA</v>
          </cell>
          <cell r="C2276" t="str">
            <v>NHD</v>
          </cell>
        </row>
        <row r="2277">
          <cell r="A2277" t="str">
            <v>BIA-EKS-0882</v>
          </cell>
          <cell r="B2277" t="str">
            <v>RAPIH CDE SBY-RS BINA SEHAT JEMBER</v>
          </cell>
          <cell r="C2277" t="str">
            <v>NHD</v>
          </cell>
        </row>
        <row r="2278">
          <cell r="A2278" t="str">
            <v>BIA-EKS-0883</v>
          </cell>
          <cell r="B2278" t="str">
            <v>PIP L300 SBY-BANGKALAN</v>
          </cell>
          <cell r="C2278" t="str">
            <v>NHD</v>
          </cell>
        </row>
        <row r="2279">
          <cell r="A2279" t="str">
            <v>BIA-EKS-0884</v>
          </cell>
          <cell r="B2279" t="str">
            <v>PIP L300 SBY-BATU(TUREN/KEPANJEN)</v>
          </cell>
          <cell r="C2279" t="str">
            <v>NHD</v>
          </cell>
        </row>
        <row r="2280">
          <cell r="A2280" t="str">
            <v>BIA-EKS-0885</v>
          </cell>
          <cell r="B2280" t="str">
            <v>PIP L300 SBY-BANYUWANGI</v>
          </cell>
          <cell r="C2280" t="str">
            <v>NHD</v>
          </cell>
        </row>
        <row r="2281">
          <cell r="A2281" t="str">
            <v>BIA-EKS-0886</v>
          </cell>
          <cell r="B2281" t="str">
            <v>PIP L300 SBY-BLAMBANGAN</v>
          </cell>
          <cell r="C2281" t="str">
            <v>NHD</v>
          </cell>
        </row>
        <row r="2282">
          <cell r="A2282" t="str">
            <v>BIA-EKS-0887</v>
          </cell>
          <cell r="B2282" t="str">
            <v>PIP L300 SBY-BLITAR</v>
          </cell>
          <cell r="C2282" t="str">
            <v>NHD</v>
          </cell>
        </row>
        <row r="2283">
          <cell r="A2283" t="str">
            <v>BIA-EKS-0888</v>
          </cell>
          <cell r="B2283" t="str">
            <v>PIP L300 SBY-BANGIL</v>
          </cell>
          <cell r="C2283" t="str">
            <v>NHD</v>
          </cell>
        </row>
        <row r="2284">
          <cell r="A2284" t="str">
            <v>BIA-EKS-0889</v>
          </cell>
          <cell r="B2284" t="str">
            <v>PIP L300 SBY-BOJONEGORO</v>
          </cell>
          <cell r="C2284" t="str">
            <v>NHD</v>
          </cell>
        </row>
        <row r="2285">
          <cell r="A2285" t="str">
            <v>BIA-EKS-0890</v>
          </cell>
          <cell r="B2285" t="str">
            <v>PIP L300 SBY-BONDOWOSO</v>
          </cell>
          <cell r="C2285" t="str">
            <v>NHD</v>
          </cell>
        </row>
        <row r="2286">
          <cell r="A2286" t="str">
            <v>BIA-EKS-0891</v>
          </cell>
          <cell r="B2286" t="str">
            <v>PIP L300 SBY-GRESIK</v>
          </cell>
          <cell r="C2286" t="str">
            <v>NHD</v>
          </cell>
        </row>
        <row r="2287">
          <cell r="A2287" t="str">
            <v>BIA-EKS-0892</v>
          </cell>
          <cell r="B2287" t="str">
            <v>PIP L300 SBY-JEMBER</v>
          </cell>
          <cell r="C2287" t="str">
            <v>NHD</v>
          </cell>
        </row>
        <row r="2288">
          <cell r="A2288" t="str">
            <v>BIA-EKS-0893</v>
          </cell>
          <cell r="B2288" t="str">
            <v>PIP L300 SBY-JOMBANG</v>
          </cell>
          <cell r="C2288" t="str">
            <v>NHD</v>
          </cell>
        </row>
        <row r="2289">
          <cell r="A2289" t="str">
            <v>BIA-EKS-0894</v>
          </cell>
          <cell r="B2289" t="str">
            <v>PIP L300 SBY-KEDIRI</v>
          </cell>
          <cell r="C2289" t="str">
            <v>NHD</v>
          </cell>
        </row>
        <row r="2290">
          <cell r="A2290" t="str">
            <v>BIA-EKS-0895</v>
          </cell>
          <cell r="B2290" t="str">
            <v>PIP L300 SBY-KERTOSONO</v>
          </cell>
          <cell r="C2290" t="str">
            <v>NHD</v>
          </cell>
        </row>
        <row r="2291">
          <cell r="A2291" t="str">
            <v>BIA-EKS-0896</v>
          </cell>
          <cell r="B2291" t="str">
            <v>PIP L300 SBY-LAMONGAN</v>
          </cell>
          <cell r="C2291" t="str">
            <v>NHD</v>
          </cell>
        </row>
        <row r="2292">
          <cell r="A2292" t="str">
            <v>BIA-EKS-0897</v>
          </cell>
          <cell r="B2292" t="str">
            <v>PIP L300 SBY-LUMAJANG</v>
          </cell>
          <cell r="C2292" t="str">
            <v>NHD</v>
          </cell>
        </row>
        <row r="2293">
          <cell r="A2293" t="str">
            <v>BIA-EKS-0898</v>
          </cell>
          <cell r="B2293" t="str">
            <v>PIP L300 SBY-MADIUN</v>
          </cell>
          <cell r="C2293" t="str">
            <v>NHD</v>
          </cell>
        </row>
        <row r="2294">
          <cell r="A2294" t="str">
            <v>BIA-EKS-0899</v>
          </cell>
          <cell r="B2294" t="str">
            <v>PIP L300 SBY-MAGETAN</v>
          </cell>
          <cell r="C2294" t="str">
            <v>NHD</v>
          </cell>
        </row>
        <row r="2295">
          <cell r="A2295" t="str">
            <v>BIA-EKS-0900</v>
          </cell>
          <cell r="B2295" t="str">
            <v>PIP L300 SBY-MALANG</v>
          </cell>
          <cell r="C2295" t="str">
            <v>NHD</v>
          </cell>
        </row>
        <row r="2296">
          <cell r="A2296" t="str">
            <v>BIA-EKS-0901</v>
          </cell>
          <cell r="B2296" t="str">
            <v>PIP L300 SBY-MOJOKERTO</v>
          </cell>
          <cell r="C2296" t="str">
            <v>NHD</v>
          </cell>
        </row>
        <row r="2297">
          <cell r="A2297" t="str">
            <v>BIA-EKS-0902</v>
          </cell>
          <cell r="B2297" t="str">
            <v>PIP L300 SBY-NGANJUK</v>
          </cell>
          <cell r="C2297" t="str">
            <v>NHD</v>
          </cell>
        </row>
        <row r="2298">
          <cell r="A2298" t="str">
            <v>BIA-EKS-0903</v>
          </cell>
          <cell r="B2298" t="str">
            <v>PIP L300 SBY-NGAWI</v>
          </cell>
          <cell r="C2298" t="str">
            <v>NHD</v>
          </cell>
        </row>
        <row r="2299">
          <cell r="A2299" t="str">
            <v>BIA-EKS-0904</v>
          </cell>
          <cell r="B2299" t="str">
            <v>PIP L300 SBY-PASURUAN</v>
          </cell>
          <cell r="C2299" t="str">
            <v>NHD</v>
          </cell>
        </row>
        <row r="2300">
          <cell r="A2300" t="str">
            <v>BIA-EKS-0905</v>
          </cell>
          <cell r="B2300" t="str">
            <v>PIP L300 SBY-PAMEKASAN</v>
          </cell>
          <cell r="C2300" t="str">
            <v>NHD</v>
          </cell>
        </row>
        <row r="2301">
          <cell r="A2301" t="str">
            <v>BIA-EKS-0906</v>
          </cell>
          <cell r="B2301" t="str">
            <v>PIP L300 SBY-PONOROGO</v>
          </cell>
          <cell r="C2301" t="str">
            <v>NHD</v>
          </cell>
        </row>
        <row r="2302">
          <cell r="A2302" t="str">
            <v>BIA-EKS-0907</v>
          </cell>
          <cell r="B2302" t="str">
            <v>PIP L300 SBY-PROBOLINGGO</v>
          </cell>
          <cell r="C2302" t="str">
            <v>NHD</v>
          </cell>
        </row>
        <row r="2303">
          <cell r="A2303" t="str">
            <v>BIA-EKS-0908</v>
          </cell>
          <cell r="B2303" t="str">
            <v>PIP L300 SBY-SAMPANG</v>
          </cell>
          <cell r="C2303" t="str">
            <v>NHD</v>
          </cell>
        </row>
        <row r="2304">
          <cell r="A2304" t="str">
            <v>BIA-EKS-0909</v>
          </cell>
          <cell r="B2304" t="str">
            <v>PIP L300 SBY-SIDOARJO</v>
          </cell>
          <cell r="C2304" t="str">
            <v>NHD</v>
          </cell>
        </row>
        <row r="2305">
          <cell r="A2305" t="str">
            <v>BIA-EKS-0910</v>
          </cell>
          <cell r="B2305" t="str">
            <v>PIP L300 SBY-SITUBONDO</v>
          </cell>
          <cell r="C2305" t="str">
            <v>NHD</v>
          </cell>
        </row>
        <row r="2306">
          <cell r="A2306" t="str">
            <v>BIA-EKS-0911</v>
          </cell>
          <cell r="B2306" t="str">
            <v>PIP L300 SBY-SUMENEP</v>
          </cell>
          <cell r="C2306" t="str">
            <v>NHD</v>
          </cell>
        </row>
        <row r="2307">
          <cell r="A2307" t="str">
            <v>BIA-EKS-0912</v>
          </cell>
          <cell r="B2307" t="str">
            <v>PIP L300 SBY-SBY</v>
          </cell>
          <cell r="C2307" t="str">
            <v>NHD</v>
          </cell>
        </row>
        <row r="2308">
          <cell r="A2308" t="str">
            <v>BIA-EKS-0913</v>
          </cell>
          <cell r="B2308" t="str">
            <v>PIP L300 SBY-TRENGGALEK</v>
          </cell>
          <cell r="C2308" t="str">
            <v>NHD</v>
          </cell>
        </row>
        <row r="2309">
          <cell r="A2309" t="str">
            <v>BIA-EKS-0914</v>
          </cell>
          <cell r="B2309" t="str">
            <v>PIP L300 SBY-TULUNGAGUNG</v>
          </cell>
          <cell r="C2309" t="str">
            <v>NHD</v>
          </cell>
        </row>
        <row r="2310">
          <cell r="A2310" t="str">
            <v>BIA-EKS-0915</v>
          </cell>
          <cell r="B2310" t="str">
            <v>PIP L300 SBY-TUBAN</v>
          </cell>
          <cell r="C2310" t="str">
            <v>NHD</v>
          </cell>
        </row>
        <row r="2311">
          <cell r="A2311" t="str">
            <v>BIA-EKS-0916</v>
          </cell>
          <cell r="B2311" t="str">
            <v>PIP L300 SBY-RS SYUYUDIN LAMONGAN (PACIRAN)</v>
          </cell>
          <cell r="C2311" t="str">
            <v>NHD</v>
          </cell>
        </row>
        <row r="2312">
          <cell r="A2312" t="str">
            <v>BIA-EKS-0917</v>
          </cell>
          <cell r="B2312" t="str">
            <v>PIP L300 SBY-PACITAN</v>
          </cell>
          <cell r="C2312" t="str">
            <v>NHD</v>
          </cell>
        </row>
        <row r="2313">
          <cell r="A2313" t="str">
            <v>BIA-EKS-0918</v>
          </cell>
          <cell r="B2313" t="str">
            <v>PIP L300 SBY-RSAL SURABAYA</v>
          </cell>
          <cell r="C2313" t="str">
            <v>NHD</v>
          </cell>
        </row>
        <row r="2314">
          <cell r="A2314" t="str">
            <v>BIA-EKS-0919</v>
          </cell>
          <cell r="B2314" t="str">
            <v>PIP L300 SBY-RS PHC SURABAYA</v>
          </cell>
          <cell r="C2314" t="str">
            <v>NHD</v>
          </cell>
        </row>
        <row r="2315">
          <cell r="A2315" t="str">
            <v>BIA-EKS-0920</v>
          </cell>
          <cell r="B2315" t="str">
            <v>PIP L300 SBY-RS BINA SEHAT JEMBER</v>
          </cell>
          <cell r="C2315" t="str">
            <v>NHD</v>
          </cell>
        </row>
        <row r="2316">
          <cell r="A2316" t="str">
            <v>BIA-EKS-0921</v>
          </cell>
          <cell r="B2316" t="str">
            <v>IB L300 SBY-BANGKALAN</v>
          </cell>
          <cell r="C2316" t="str">
            <v>NHD</v>
          </cell>
        </row>
        <row r="2317">
          <cell r="A2317" t="str">
            <v>BIA-EKS-0922</v>
          </cell>
          <cell r="B2317" t="str">
            <v>IB L300 SBY-BATU(TUREN/KEPANJEN)</v>
          </cell>
          <cell r="C2317" t="str">
            <v>NHD</v>
          </cell>
        </row>
        <row r="2318">
          <cell r="A2318" t="str">
            <v>BIA-EKS-0923</v>
          </cell>
          <cell r="B2318" t="str">
            <v>IB L300 SBY-BANYUWANGI</v>
          </cell>
          <cell r="C2318" t="str">
            <v>NHD</v>
          </cell>
        </row>
        <row r="2319">
          <cell r="A2319" t="str">
            <v>BIA-EKS-0924</v>
          </cell>
          <cell r="B2319" t="str">
            <v>IB L300 SBY-BLAMBANGAN</v>
          </cell>
          <cell r="C2319" t="str">
            <v>NHD</v>
          </cell>
        </row>
        <row r="2320">
          <cell r="A2320" t="str">
            <v>BIA-EKS-0925</v>
          </cell>
          <cell r="B2320" t="str">
            <v>IB L300 SBY-BLITAR</v>
          </cell>
          <cell r="C2320" t="str">
            <v>NHD</v>
          </cell>
        </row>
        <row r="2321">
          <cell r="A2321" t="str">
            <v>BIA-EKS-0926</v>
          </cell>
          <cell r="B2321" t="str">
            <v>IB L300 SBY-BANGIL</v>
          </cell>
          <cell r="C2321" t="str">
            <v>NHD</v>
          </cell>
        </row>
        <row r="2322">
          <cell r="A2322" t="str">
            <v>BIA-EKS-0927</v>
          </cell>
          <cell r="B2322" t="str">
            <v>IB L300 SBY-BOJONEGORO</v>
          </cell>
          <cell r="C2322" t="str">
            <v>NHD</v>
          </cell>
        </row>
        <row r="2323">
          <cell r="A2323" t="str">
            <v>BIA-EKS-0928</v>
          </cell>
          <cell r="B2323" t="str">
            <v>IB L300 SBY-BONDOWOSO</v>
          </cell>
          <cell r="C2323" t="str">
            <v>NHD</v>
          </cell>
        </row>
        <row r="2324">
          <cell r="A2324" t="str">
            <v>BIA-EKS-0929</v>
          </cell>
          <cell r="B2324" t="str">
            <v>IB L300 SBY-GRESIK</v>
          </cell>
          <cell r="C2324" t="str">
            <v>NHD</v>
          </cell>
        </row>
        <row r="2325">
          <cell r="A2325" t="str">
            <v>BIA-EKS-0930</v>
          </cell>
          <cell r="B2325" t="str">
            <v>IB L300 SBY-JEMBER</v>
          </cell>
          <cell r="C2325" t="str">
            <v>NHD</v>
          </cell>
        </row>
        <row r="2326">
          <cell r="A2326" t="str">
            <v>BIA-EKS-0931</v>
          </cell>
          <cell r="B2326" t="str">
            <v>IB L300 SBY-JOMBANG</v>
          </cell>
          <cell r="C2326" t="str">
            <v>NHD</v>
          </cell>
        </row>
        <row r="2327">
          <cell r="A2327" t="str">
            <v>BIA-EKS-0932</v>
          </cell>
          <cell r="B2327" t="str">
            <v>IB L300 SBY-KEDIRI</v>
          </cell>
          <cell r="C2327" t="str">
            <v>NHD</v>
          </cell>
        </row>
        <row r="2328">
          <cell r="A2328" t="str">
            <v>BIA-EKS-0933</v>
          </cell>
          <cell r="B2328" t="str">
            <v>IB L300 SBY-KERTOSONO</v>
          </cell>
          <cell r="C2328" t="str">
            <v>NHD</v>
          </cell>
        </row>
        <row r="2329">
          <cell r="A2329" t="str">
            <v>BIA-EKS-0934</v>
          </cell>
          <cell r="B2329" t="str">
            <v>IB L300 SBY-LAMONGAN</v>
          </cell>
          <cell r="C2329" t="str">
            <v>NHD</v>
          </cell>
        </row>
        <row r="2330">
          <cell r="A2330" t="str">
            <v>BIA-EKS-0935</v>
          </cell>
          <cell r="B2330" t="str">
            <v>IB L300 SBY-LUMAJANG</v>
          </cell>
          <cell r="C2330" t="str">
            <v>NHD</v>
          </cell>
        </row>
        <row r="2331">
          <cell r="A2331" t="str">
            <v>BIA-EKS-0936</v>
          </cell>
          <cell r="B2331" t="str">
            <v>IB L300 SBY-MADIUN</v>
          </cell>
          <cell r="C2331" t="str">
            <v>NHD</v>
          </cell>
        </row>
        <row r="2332">
          <cell r="A2332" t="str">
            <v>BIA-EKS-0937</v>
          </cell>
          <cell r="B2332" t="str">
            <v>IB L300 SBY-MAGETAN</v>
          </cell>
          <cell r="C2332" t="str">
            <v>NHD</v>
          </cell>
        </row>
        <row r="2333">
          <cell r="A2333" t="str">
            <v>BIA-EKS-0938</v>
          </cell>
          <cell r="B2333" t="str">
            <v>IB L300 SBY-MALANG</v>
          </cell>
          <cell r="C2333" t="str">
            <v>NHD</v>
          </cell>
        </row>
        <row r="2334">
          <cell r="A2334" t="str">
            <v>BIA-EKS-0939</v>
          </cell>
          <cell r="B2334" t="str">
            <v>IB L300 SBY-MOJOKERTO</v>
          </cell>
          <cell r="C2334" t="str">
            <v>NHD</v>
          </cell>
        </row>
        <row r="2335">
          <cell r="A2335" t="str">
            <v>BIA-EKS-0940</v>
          </cell>
          <cell r="B2335" t="str">
            <v>IB L300 SBY-NGANJUK</v>
          </cell>
          <cell r="C2335" t="str">
            <v>NHD</v>
          </cell>
        </row>
        <row r="2336">
          <cell r="A2336" t="str">
            <v>BIA-EKS-0941</v>
          </cell>
          <cell r="B2336" t="str">
            <v>IB L300 SBY-NGAWI</v>
          </cell>
          <cell r="C2336" t="str">
            <v>NHD</v>
          </cell>
        </row>
        <row r="2337">
          <cell r="A2337" t="str">
            <v>BIA-EKS-0942</v>
          </cell>
          <cell r="B2337" t="str">
            <v>IB L300 SBY-PASURUAN</v>
          </cell>
          <cell r="C2337" t="str">
            <v>NHD</v>
          </cell>
        </row>
        <row r="2338">
          <cell r="A2338" t="str">
            <v>BIA-EKS-0943</v>
          </cell>
          <cell r="B2338" t="str">
            <v>IB L300 SBY-PAMEKASAN</v>
          </cell>
          <cell r="C2338" t="str">
            <v>NHD</v>
          </cell>
        </row>
        <row r="2339">
          <cell r="A2339" t="str">
            <v>BIA-EKS-0944</v>
          </cell>
          <cell r="B2339" t="str">
            <v>IB L300 SBY-PONOROGO</v>
          </cell>
          <cell r="C2339" t="str">
            <v>NHD</v>
          </cell>
        </row>
        <row r="2340">
          <cell r="A2340" t="str">
            <v>BIA-EKS-0945</v>
          </cell>
          <cell r="B2340" t="str">
            <v>IB L300 SBY-PROBOLINGGO</v>
          </cell>
          <cell r="C2340" t="str">
            <v>NHD</v>
          </cell>
        </row>
        <row r="2341">
          <cell r="A2341" t="str">
            <v>BIA-EKS-0946</v>
          </cell>
          <cell r="B2341" t="str">
            <v>IB L300 SBY-SAMPANG</v>
          </cell>
          <cell r="C2341" t="str">
            <v>NHD</v>
          </cell>
        </row>
        <row r="2342">
          <cell r="A2342" t="str">
            <v>BIA-EKS-0947</v>
          </cell>
          <cell r="B2342" t="str">
            <v>IB L300 SBY-SIDOARJO</v>
          </cell>
          <cell r="C2342" t="str">
            <v>NHD</v>
          </cell>
        </row>
        <row r="2343">
          <cell r="A2343" t="str">
            <v>BIA-EKS-0948</v>
          </cell>
          <cell r="B2343" t="str">
            <v>IB L300 SBY-SITUBONDO</v>
          </cell>
          <cell r="C2343" t="str">
            <v>NHD</v>
          </cell>
        </row>
        <row r="2344">
          <cell r="A2344" t="str">
            <v>BIA-EKS-0949</v>
          </cell>
          <cell r="B2344" t="str">
            <v>IB L300 SBY-SUMENEP</v>
          </cell>
          <cell r="C2344" t="str">
            <v>NHD</v>
          </cell>
        </row>
        <row r="2345">
          <cell r="A2345" t="str">
            <v>BIA-EKS-0950</v>
          </cell>
          <cell r="B2345" t="str">
            <v>IB L300 SBY-SBY</v>
          </cell>
          <cell r="C2345" t="str">
            <v>NHD</v>
          </cell>
        </row>
        <row r="2346">
          <cell r="A2346" t="str">
            <v>BIA-EKS-0951</v>
          </cell>
          <cell r="B2346" t="str">
            <v>IB L300 SBY-TRENGGALEK</v>
          </cell>
          <cell r="C2346" t="str">
            <v>NHD</v>
          </cell>
        </row>
        <row r="2347">
          <cell r="A2347" t="str">
            <v>BIA-EKS-0952</v>
          </cell>
          <cell r="B2347" t="str">
            <v>IB L300 SBY-TULUNGAGUNG</v>
          </cell>
          <cell r="C2347" t="str">
            <v>NHD</v>
          </cell>
        </row>
        <row r="2348">
          <cell r="A2348" t="str">
            <v>BIA-EKS-0953</v>
          </cell>
          <cell r="B2348" t="str">
            <v>IB L300 SBY-TUBAN</v>
          </cell>
          <cell r="C2348" t="str">
            <v>NHD</v>
          </cell>
        </row>
        <row r="2349">
          <cell r="A2349" t="str">
            <v>BIA-EKS-0954</v>
          </cell>
          <cell r="B2349" t="str">
            <v>IB L300 SBY-RS SYUYUDIN LAMONGAN (PACIRAN)</v>
          </cell>
          <cell r="C2349" t="str">
            <v>NHD</v>
          </cell>
        </row>
        <row r="2350">
          <cell r="A2350" t="str">
            <v>BIA-EKS-0955</v>
          </cell>
          <cell r="B2350" t="str">
            <v>IB L300 SBY-PACITAN</v>
          </cell>
          <cell r="C2350" t="str">
            <v>NHD</v>
          </cell>
        </row>
        <row r="2351">
          <cell r="A2351" t="str">
            <v>BIA-EKS-0956</v>
          </cell>
          <cell r="B2351" t="str">
            <v>IB L300 SBY-RSAL SURABAYA</v>
          </cell>
          <cell r="C2351" t="str">
            <v>NHD</v>
          </cell>
        </row>
        <row r="2352">
          <cell r="A2352" t="str">
            <v>BIA-EKS-0957</v>
          </cell>
          <cell r="B2352" t="str">
            <v>IB L300 SBY-RS PHC SURABAYA</v>
          </cell>
          <cell r="C2352" t="str">
            <v>NHD</v>
          </cell>
        </row>
        <row r="2353">
          <cell r="A2353" t="str">
            <v>BIA-EKS-0958</v>
          </cell>
          <cell r="B2353" t="str">
            <v>IB L300 SBY-RS BINA SEHAT JEMBER</v>
          </cell>
          <cell r="C2353" t="str">
            <v>NHD</v>
          </cell>
        </row>
        <row r="2354">
          <cell r="A2354" t="str">
            <v>BIA-EKS-0959</v>
          </cell>
          <cell r="B2354" t="str">
            <v>RAPIH L300 SBY-BANGKALAN</v>
          </cell>
          <cell r="C2354" t="str">
            <v>NHD</v>
          </cell>
        </row>
        <row r="2355">
          <cell r="A2355" t="str">
            <v>BIA-EKS-0960</v>
          </cell>
          <cell r="B2355" t="str">
            <v>RAPIH L300 SBY-BATU(TUREN/KEPANJEN)</v>
          </cell>
          <cell r="C2355" t="str">
            <v>NHD</v>
          </cell>
        </row>
        <row r="2356">
          <cell r="A2356" t="str">
            <v>BIA-EKS-0961</v>
          </cell>
          <cell r="B2356" t="str">
            <v>RAPIH L300 SBY-BANYUWANGI</v>
          </cell>
          <cell r="C2356" t="str">
            <v>NHD</v>
          </cell>
        </row>
        <row r="2357">
          <cell r="A2357" t="str">
            <v>BIA-EKS-0962</v>
          </cell>
          <cell r="B2357" t="str">
            <v>RAPIH L300 SBY-BLAMBANGAN</v>
          </cell>
          <cell r="C2357" t="str">
            <v>NHD</v>
          </cell>
        </row>
        <row r="2358">
          <cell r="A2358" t="str">
            <v>BIA-EKS-0963</v>
          </cell>
          <cell r="B2358" t="str">
            <v>RAPIH L300 SBY-BLITAR</v>
          </cell>
          <cell r="C2358" t="str">
            <v>NHD</v>
          </cell>
        </row>
        <row r="2359">
          <cell r="A2359" t="str">
            <v>BIA-EKS-0964</v>
          </cell>
          <cell r="B2359" t="str">
            <v>RAPIH L300 SBY-BANGIL</v>
          </cell>
          <cell r="C2359" t="str">
            <v>NHD</v>
          </cell>
        </row>
        <row r="2360">
          <cell r="A2360" t="str">
            <v>BIA-EKS-0965</v>
          </cell>
          <cell r="B2360" t="str">
            <v>RAPIH L300 SBY-BOJONEGORO</v>
          </cell>
          <cell r="C2360" t="str">
            <v>NHD</v>
          </cell>
        </row>
        <row r="2361">
          <cell r="A2361" t="str">
            <v>BIA-EKS-0966</v>
          </cell>
          <cell r="B2361" t="str">
            <v>RAPIH L300 SBY-BONDOWOSO</v>
          </cell>
          <cell r="C2361" t="str">
            <v>NHD</v>
          </cell>
        </row>
        <row r="2362">
          <cell r="A2362" t="str">
            <v>BIA-EKS-0967</v>
          </cell>
          <cell r="B2362" t="str">
            <v>RAPIH L300 SBY-GRESIK</v>
          </cell>
          <cell r="C2362" t="str">
            <v>NHD</v>
          </cell>
        </row>
        <row r="2363">
          <cell r="A2363" t="str">
            <v>BIA-EKS-0968</v>
          </cell>
          <cell r="B2363" t="str">
            <v>RAPIH L300 SBY-JEMBER</v>
          </cell>
          <cell r="C2363" t="str">
            <v>NHD</v>
          </cell>
        </row>
        <row r="2364">
          <cell r="A2364" t="str">
            <v>BIA-EKS-0969</v>
          </cell>
          <cell r="B2364" t="str">
            <v>RAPIH L300 SBY-JOMBANG</v>
          </cell>
          <cell r="C2364" t="str">
            <v>NHD</v>
          </cell>
        </row>
        <row r="2365">
          <cell r="A2365" t="str">
            <v>BIA-EKS-0970</v>
          </cell>
          <cell r="B2365" t="str">
            <v>RAPIH L300 SBY-KEDIRI</v>
          </cell>
          <cell r="C2365" t="str">
            <v>NHD</v>
          </cell>
        </row>
        <row r="2366">
          <cell r="A2366" t="str">
            <v>BIA-EKS-0971</v>
          </cell>
          <cell r="B2366" t="str">
            <v>RAPIH L300 SBY-LAMONGAN</v>
          </cell>
          <cell r="C2366" t="str">
            <v>NHD</v>
          </cell>
        </row>
        <row r="2367">
          <cell r="A2367" t="str">
            <v>BIA-EKS-0972</v>
          </cell>
          <cell r="B2367" t="str">
            <v>RAPIH L300 SBY-LUMAJANG</v>
          </cell>
          <cell r="C2367" t="str">
            <v>NHD</v>
          </cell>
        </row>
        <row r="2368">
          <cell r="A2368" t="str">
            <v>BIA-EKS-0973</v>
          </cell>
          <cell r="B2368" t="str">
            <v>RAPIH L300 SBY-MADIUN</v>
          </cell>
          <cell r="C2368" t="str">
            <v>NHD</v>
          </cell>
        </row>
        <row r="2369">
          <cell r="A2369" t="str">
            <v>BIA-EKS-0974</v>
          </cell>
          <cell r="B2369" t="str">
            <v>RAPIH L300 SBY-MAGETAN</v>
          </cell>
          <cell r="C2369" t="str">
            <v>NHD</v>
          </cell>
        </row>
        <row r="2370">
          <cell r="A2370" t="str">
            <v>BIA-EKS-0975</v>
          </cell>
          <cell r="B2370" t="str">
            <v>RAPIH L300 SBY-MALANG</v>
          </cell>
          <cell r="C2370" t="str">
            <v>NHD</v>
          </cell>
        </row>
        <row r="2371">
          <cell r="A2371" t="str">
            <v>BIA-EKS-0976</v>
          </cell>
          <cell r="B2371" t="str">
            <v>RAPIH L300 SBY-MOJOKERTO</v>
          </cell>
          <cell r="C2371" t="str">
            <v>NHD</v>
          </cell>
        </row>
        <row r="2372">
          <cell r="A2372" t="str">
            <v>BIA-EKS-0977</v>
          </cell>
          <cell r="B2372" t="str">
            <v>RAPIH L300 SBY-NGANJUK</v>
          </cell>
          <cell r="C2372" t="str">
            <v>NHD</v>
          </cell>
        </row>
        <row r="2373">
          <cell r="A2373" t="str">
            <v>BIA-EKS-0978</v>
          </cell>
          <cell r="B2373" t="str">
            <v>RAPIH L300 SBY-NGAWI</v>
          </cell>
          <cell r="C2373" t="str">
            <v>NHD</v>
          </cell>
        </row>
        <row r="2374">
          <cell r="A2374" t="str">
            <v>BIA-EKS-0979</v>
          </cell>
          <cell r="B2374" t="str">
            <v>RAPIH L300 SBY-PASURUAN</v>
          </cell>
          <cell r="C2374" t="str">
            <v>NHD</v>
          </cell>
        </row>
        <row r="2375">
          <cell r="A2375" t="str">
            <v>BIA-EKS-0980</v>
          </cell>
          <cell r="B2375" t="str">
            <v>RAPIH L300 SBY-PAMEKASAN</v>
          </cell>
          <cell r="C2375" t="str">
            <v>NHD</v>
          </cell>
        </row>
        <row r="2376">
          <cell r="A2376" t="str">
            <v>BIA-EKS-0981</v>
          </cell>
          <cell r="B2376" t="str">
            <v>RAPIH L300 SBY-PONOROGO</v>
          </cell>
          <cell r="C2376" t="str">
            <v>NHD</v>
          </cell>
        </row>
        <row r="2377">
          <cell r="A2377" t="str">
            <v>BIA-EKS-0982</v>
          </cell>
          <cell r="B2377" t="str">
            <v>RAPIH L300 SBY-PROBOLINGGO</v>
          </cell>
          <cell r="C2377" t="str">
            <v>NHD</v>
          </cell>
        </row>
        <row r="2378">
          <cell r="A2378" t="str">
            <v>BIA-EKS-0983</v>
          </cell>
          <cell r="B2378" t="str">
            <v>RAPIH L300 SBY-SAMPANG</v>
          </cell>
          <cell r="C2378" t="str">
            <v>NHD</v>
          </cell>
        </row>
        <row r="2379">
          <cell r="A2379" t="str">
            <v>BIA-EKS-0984</v>
          </cell>
          <cell r="B2379" t="str">
            <v>RAPIH L300 SBY-SIDOARJO</v>
          </cell>
          <cell r="C2379" t="str">
            <v>NHD</v>
          </cell>
        </row>
        <row r="2380">
          <cell r="A2380" t="str">
            <v>BIA-EKS-0985</v>
          </cell>
          <cell r="B2380" t="str">
            <v>RAPIH L300 SBY-SITUBONDO</v>
          </cell>
          <cell r="C2380" t="str">
            <v>NHD</v>
          </cell>
        </row>
        <row r="2381">
          <cell r="A2381" t="str">
            <v>BIA-EKS-0986</v>
          </cell>
          <cell r="B2381" t="str">
            <v>RAPIH L300 SBY-SUMENEP</v>
          </cell>
          <cell r="C2381" t="str">
            <v>NHD</v>
          </cell>
        </row>
        <row r="2382">
          <cell r="A2382" t="str">
            <v>BIA-EKS-0987</v>
          </cell>
          <cell r="B2382" t="str">
            <v>RAPIH L300 SBY-SBY</v>
          </cell>
          <cell r="C2382" t="str">
            <v>NHD</v>
          </cell>
        </row>
        <row r="2383">
          <cell r="A2383" t="str">
            <v>BIA-EKS-0988</v>
          </cell>
          <cell r="B2383" t="str">
            <v>RAPIH L300 SBY-TRENGGALEK</v>
          </cell>
          <cell r="C2383" t="str">
            <v>NHD</v>
          </cell>
        </row>
        <row r="2384">
          <cell r="A2384" t="str">
            <v>BIA-EKS-0989</v>
          </cell>
          <cell r="B2384" t="str">
            <v>RAPIH L300 SBY-TULUNGAGUNG</v>
          </cell>
          <cell r="C2384" t="str">
            <v>NHD</v>
          </cell>
        </row>
        <row r="2385">
          <cell r="A2385" t="str">
            <v>BIA-EKS-0990</v>
          </cell>
          <cell r="B2385" t="str">
            <v>RAPIH L300 SBY-TUBAN</v>
          </cell>
          <cell r="C2385" t="str">
            <v>NHD</v>
          </cell>
        </row>
        <row r="2386">
          <cell r="A2386" t="str">
            <v>BIA-EKS-0991</v>
          </cell>
          <cell r="B2386" t="str">
            <v>RAPIH L300 SBY-RS SYUYUDIN LAMONGAN (PACIRAN)</v>
          </cell>
          <cell r="C2386" t="str">
            <v>NHD</v>
          </cell>
        </row>
        <row r="2387">
          <cell r="A2387" t="str">
            <v>BIA-EKS-0992</v>
          </cell>
          <cell r="B2387" t="str">
            <v>RAPIH L300 SBY-PACITAN</v>
          </cell>
          <cell r="C2387" t="str">
            <v>NHD</v>
          </cell>
        </row>
        <row r="2388">
          <cell r="A2388" t="str">
            <v>BIA-EKS-0993</v>
          </cell>
          <cell r="B2388" t="str">
            <v>RAPIH L300 SBY-RSAL SURABAYA</v>
          </cell>
          <cell r="C2388" t="str">
            <v>NHD</v>
          </cell>
        </row>
        <row r="2389">
          <cell r="A2389" t="str">
            <v>BIA-EKS-0994</v>
          </cell>
          <cell r="B2389" t="str">
            <v>RAPIH L300 SBY-RS PHC SURABAYA</v>
          </cell>
          <cell r="C2389" t="str">
            <v>NHD</v>
          </cell>
        </row>
        <row r="2390">
          <cell r="A2390" t="str">
            <v>BIA-EKS-0995</v>
          </cell>
          <cell r="B2390" t="str">
            <v>RAPIH L300 SBY-RS BINA SEHAT JEMBER</v>
          </cell>
          <cell r="C2390" t="str">
            <v>NHD</v>
          </cell>
        </row>
        <row r="2391">
          <cell r="A2391" t="str">
            <v>BIA-EKS-0996</v>
          </cell>
          <cell r="B2391" t="str">
            <v>NCS RTL CDE BPP-BANJARBARU</v>
          </cell>
          <cell r="C2391" t="str">
            <v>NHD</v>
          </cell>
        </row>
        <row r="2392">
          <cell r="A2392" t="str">
            <v>BIA-EKS-0997</v>
          </cell>
          <cell r="B2392" t="str">
            <v>NCS RTL CDE BPP-BANJARMASIN</v>
          </cell>
          <cell r="C2392" t="str">
            <v>NHD</v>
          </cell>
        </row>
        <row r="2393">
          <cell r="A2393" t="str">
            <v>BIA-EKS-0998</v>
          </cell>
          <cell r="B2393" t="str">
            <v>NCS RTL CDE BPP-BARITO KUALA</v>
          </cell>
          <cell r="C2393" t="str">
            <v>NHD</v>
          </cell>
        </row>
        <row r="2394">
          <cell r="A2394" t="str">
            <v>BIA-EKS-0999</v>
          </cell>
          <cell r="B2394" t="str">
            <v>NCS RTL CDE BPP-BERAU</v>
          </cell>
          <cell r="C2394" t="str">
            <v>NHD</v>
          </cell>
        </row>
        <row r="2395">
          <cell r="A2395" t="str">
            <v>BIA-EKS-1000</v>
          </cell>
          <cell r="B2395" t="str">
            <v>NCS RTL CDE BPP-BONTANG</v>
          </cell>
          <cell r="C2395" t="str">
            <v>NHD</v>
          </cell>
        </row>
        <row r="2396">
          <cell r="A2396" t="str">
            <v>BIA-EKS-1001</v>
          </cell>
          <cell r="B2396" t="str">
            <v>NCS RTL CDE BPP-PENAJAM</v>
          </cell>
          <cell r="C2396" t="str">
            <v>NHD</v>
          </cell>
        </row>
        <row r="2397">
          <cell r="A2397" t="str">
            <v>BIA-EKS-1002</v>
          </cell>
          <cell r="B2397" t="str">
            <v>NCS RTL CDE BPP-SAMARINDA</v>
          </cell>
          <cell r="C2397" t="str">
            <v>NHD</v>
          </cell>
        </row>
        <row r="2398">
          <cell r="A2398" t="str">
            <v>BIA-EKS-1003</v>
          </cell>
          <cell r="B2398" t="str">
            <v>NCS RTL CDE BPP-SAMBOJA</v>
          </cell>
          <cell r="C2398" t="str">
            <v>NHD</v>
          </cell>
        </row>
        <row r="2399">
          <cell r="A2399" t="str">
            <v>BIA-EKS-1004</v>
          </cell>
          <cell r="B2399" t="str">
            <v>NCS RTL CDE BPP-SANGATTA</v>
          </cell>
          <cell r="C2399" t="str">
            <v>NHD</v>
          </cell>
        </row>
        <row r="2400">
          <cell r="A2400" t="str">
            <v>BIA-EKS-1005</v>
          </cell>
          <cell r="B2400" t="str">
            <v>NCS RTL CDE BPP-TANAH GROGOT</v>
          </cell>
          <cell r="C2400" t="str">
            <v>NHD</v>
          </cell>
        </row>
        <row r="2401">
          <cell r="A2401" t="str">
            <v>BIA-EKS-1006</v>
          </cell>
          <cell r="B2401" t="str">
            <v>NCS RTL CDE BPP-TANJUNG</v>
          </cell>
          <cell r="C2401" t="str">
            <v>NHD</v>
          </cell>
        </row>
        <row r="2402">
          <cell r="A2402" t="str">
            <v>BIA-EKS-1007</v>
          </cell>
          <cell r="B2402" t="str">
            <v>NCS RTL CDE BPP-TARAKAN</v>
          </cell>
          <cell r="C2402" t="str">
            <v>NHD</v>
          </cell>
        </row>
        <row r="2403">
          <cell r="A2403" t="str">
            <v>BIA-EKS-1008</v>
          </cell>
          <cell r="B2403" t="str">
            <v>NCS RTL CDE BPP-TENGGARONG</v>
          </cell>
          <cell r="C2403" t="str">
            <v>NHD</v>
          </cell>
        </row>
        <row r="2404">
          <cell r="A2404" t="str">
            <v>BIA-EKS-1009</v>
          </cell>
          <cell r="B2404" t="str">
            <v>DUNEX CDD SMG-PURWOKERTO</v>
          </cell>
          <cell r="C2404" t="str">
            <v>NHD</v>
          </cell>
        </row>
        <row r="2405">
          <cell r="A2405" t="str">
            <v>BIA-EKS-1010</v>
          </cell>
          <cell r="B2405" t="str">
            <v>DUNEX CDD SMG-PURWODADI</v>
          </cell>
          <cell r="C2405" t="str">
            <v>NHD</v>
          </cell>
        </row>
        <row r="2406">
          <cell r="A2406" t="str">
            <v>BIA-EKS-1011</v>
          </cell>
          <cell r="B2406" t="str">
            <v>BCR LCL JKT-BTM</v>
          </cell>
          <cell r="C2406" t="str">
            <v>NHD</v>
          </cell>
        </row>
        <row r="2407">
          <cell r="A2407" t="str">
            <v>BIA-EKS-1012</v>
          </cell>
          <cell r="B2407" t="str">
            <v>NIKI BM</v>
          </cell>
          <cell r="C2407" t="str">
            <v>NHD</v>
          </cell>
        </row>
        <row r="2408">
          <cell r="A2408" t="str">
            <v>BIA-EKS-1013</v>
          </cell>
          <cell r="B2408" t="str">
            <v>NIKI BM JAYAPURA</v>
          </cell>
          <cell r="C2408" t="str">
            <v>NHD</v>
          </cell>
        </row>
        <row r="2409">
          <cell r="A2409" t="str">
            <v>BIA-EKS-1014</v>
          </cell>
          <cell r="B2409" t="str">
            <v>PIP CDD JUMBO SBY-SBY</v>
          </cell>
          <cell r="C2409" t="str">
            <v>NHD</v>
          </cell>
        </row>
        <row r="2410">
          <cell r="A2410" t="str">
            <v>BIA-EKS-1015</v>
          </cell>
          <cell r="B2410" t="str">
            <v>PIP CDD JUMBO SBY-LUAR KOTA</v>
          </cell>
          <cell r="C2410" t="str">
            <v>NHD</v>
          </cell>
        </row>
        <row r="2411">
          <cell r="A2411" t="str">
            <v>BIA-EKS-1016</v>
          </cell>
          <cell r="B2411" t="str">
            <v>PIP WINGBOX SBY-MEDISA</v>
          </cell>
          <cell r="C2411" t="str">
            <v>NHD</v>
          </cell>
        </row>
        <row r="2412">
          <cell r="A2412" t="str">
            <v>BIA-EKS-1017</v>
          </cell>
          <cell r="B2412" t="str">
            <v>NIKI LCL SBY-AMBON</v>
          </cell>
          <cell r="C2412" t="str">
            <v>NHD</v>
          </cell>
        </row>
        <row r="2413">
          <cell r="A2413" t="str">
            <v>BIA-EKS-1018</v>
          </cell>
          <cell r="B2413" t="str">
            <v>NIKI LCL SBY-BIAK</v>
          </cell>
          <cell r="C2413" t="str">
            <v>NHD</v>
          </cell>
        </row>
        <row r="2414">
          <cell r="A2414" t="str">
            <v>BIA-EKS-1019</v>
          </cell>
          <cell r="B2414" t="str">
            <v>NIKI LCL SBY-BOALEMO</v>
          </cell>
          <cell r="C2414" t="str">
            <v>NHD</v>
          </cell>
        </row>
        <row r="2415">
          <cell r="A2415" t="str">
            <v>BIA-EKS-1020</v>
          </cell>
          <cell r="B2415" t="str">
            <v>NIKI LCL SBY-FAK-FAK</v>
          </cell>
          <cell r="C2415" t="str">
            <v>NHD</v>
          </cell>
        </row>
        <row r="2416">
          <cell r="A2416" t="str">
            <v>BIA-EKS-1021</v>
          </cell>
          <cell r="B2416" t="str">
            <v>NIKI LCL SBY-GORONTALO</v>
          </cell>
          <cell r="C2416" t="str">
            <v>NHD</v>
          </cell>
        </row>
        <row r="2417">
          <cell r="A2417" t="str">
            <v>BIA-EKS-1022</v>
          </cell>
          <cell r="B2417" t="str">
            <v>NIKI LCL SBY-JAYAPURA</v>
          </cell>
          <cell r="C2417" t="str">
            <v>NHD</v>
          </cell>
        </row>
        <row r="2418">
          <cell r="A2418" t="str">
            <v>BIA-EKS-1023</v>
          </cell>
          <cell r="B2418" t="str">
            <v>NIKI LCL SBY-KUPANG</v>
          </cell>
          <cell r="C2418" t="str">
            <v>NHD</v>
          </cell>
        </row>
        <row r="2419">
          <cell r="A2419" t="str">
            <v>BIA-EKS-1024</v>
          </cell>
          <cell r="B2419" t="str">
            <v>NIKI LCL SBY-MAKASAR</v>
          </cell>
          <cell r="C2419" t="str">
            <v>NHD</v>
          </cell>
        </row>
        <row r="2420">
          <cell r="A2420" t="str">
            <v>BIA-EKS-1025</v>
          </cell>
          <cell r="B2420" t="str">
            <v>NIKI LCL SBY-MANADO</v>
          </cell>
          <cell r="C2420" t="str">
            <v>NHD</v>
          </cell>
        </row>
        <row r="2421">
          <cell r="A2421" t="str">
            <v>BIA-EKS-1026</v>
          </cell>
          <cell r="B2421" t="str">
            <v>NIKI LCL SBY-MANOKWARI</v>
          </cell>
          <cell r="C2421" t="str">
            <v>NHD</v>
          </cell>
        </row>
        <row r="2422">
          <cell r="A2422" t="str">
            <v>BIA-EKS-1027</v>
          </cell>
          <cell r="B2422" t="str">
            <v>NIKI LCL SBY-MAUMERE</v>
          </cell>
          <cell r="C2422" t="str">
            <v>NHD</v>
          </cell>
        </row>
        <row r="2423">
          <cell r="A2423" t="str">
            <v>BIA-EKS-1028</v>
          </cell>
          <cell r="B2423" t="str">
            <v>NIKI LCL SBY-MINAHASA</v>
          </cell>
          <cell r="C2423" t="str">
            <v>NHD</v>
          </cell>
        </row>
        <row r="2424">
          <cell r="A2424" t="str">
            <v>BIA-EKS-1029</v>
          </cell>
          <cell r="B2424" t="str">
            <v>NIKI LCL SBY-MOROWALI</v>
          </cell>
          <cell r="C2424" t="str">
            <v>NHD</v>
          </cell>
        </row>
        <row r="2425">
          <cell r="A2425" t="str">
            <v>BIA-EKS-1030</v>
          </cell>
          <cell r="B2425" t="str">
            <v>NIKI LCL SBY-NABIRE</v>
          </cell>
          <cell r="C2425" t="str">
            <v>NHD</v>
          </cell>
        </row>
        <row r="2426">
          <cell r="A2426" t="str">
            <v>BIA-EKS-1031</v>
          </cell>
          <cell r="B2426" t="str">
            <v>NIKI LCL SBY-PALU</v>
          </cell>
          <cell r="C2426" t="str">
            <v>NHD</v>
          </cell>
        </row>
        <row r="2427">
          <cell r="A2427" t="str">
            <v>BIA-EKS-1032</v>
          </cell>
          <cell r="B2427" t="str">
            <v>NIKI LCL SBY-PARIGI</v>
          </cell>
          <cell r="C2427" t="str">
            <v>NHD</v>
          </cell>
        </row>
        <row r="2428">
          <cell r="A2428" t="str">
            <v>BIA-EKS-1033</v>
          </cell>
          <cell r="B2428" t="str">
            <v>NIKI LCL SBY-POHUWATO</v>
          </cell>
          <cell r="C2428" t="str">
            <v>NHD</v>
          </cell>
        </row>
        <row r="2429">
          <cell r="A2429" t="str">
            <v>BIA-EKS-1034</v>
          </cell>
          <cell r="B2429" t="str">
            <v>NIKI LCL SBY-SORONG</v>
          </cell>
          <cell r="C2429" t="str">
            <v>NHD</v>
          </cell>
        </row>
        <row r="2430">
          <cell r="A2430" t="str">
            <v>BIA-EKS-1035</v>
          </cell>
          <cell r="B2430" t="str">
            <v>NIKI LCL SBY-TERNATE</v>
          </cell>
          <cell r="C2430" t="str">
            <v>NHD</v>
          </cell>
        </row>
        <row r="2431">
          <cell r="A2431" t="str">
            <v>BIA-EKS-1036</v>
          </cell>
          <cell r="B2431" t="str">
            <v>NIKI LCL SBY-TIMIKA</v>
          </cell>
          <cell r="C2431" t="str">
            <v>NHD</v>
          </cell>
        </row>
        <row r="2432">
          <cell r="A2432" t="str">
            <v>BIA-EKS-1037</v>
          </cell>
          <cell r="B2432" t="str">
            <v>NIKI LCL SBY-TOBELO</v>
          </cell>
          <cell r="C2432" t="str">
            <v>NHD</v>
          </cell>
        </row>
        <row r="2433">
          <cell r="A2433" t="str">
            <v>BIA-EKS-1038</v>
          </cell>
          <cell r="B2433" t="str">
            <v>NIKI LCL SBY-WAINGAPU</v>
          </cell>
          <cell r="C2433" t="str">
            <v>NHD</v>
          </cell>
        </row>
        <row r="2434">
          <cell r="A2434" t="str">
            <v>BIA-EKS-1039</v>
          </cell>
          <cell r="B2434" t="str">
            <v>NIKI LCL SBY-WAIKABUBAK</v>
          </cell>
          <cell r="C2434" t="str">
            <v>NHD</v>
          </cell>
        </row>
        <row r="2435">
          <cell r="A2435" t="str">
            <v>BIA-EKS-1040</v>
          </cell>
          <cell r="B2435" t="str">
            <v>PANDU - PAKET SBY ALL JATIM KOTA</v>
          </cell>
          <cell r="C2435" t="str">
            <v>NHD</v>
          </cell>
        </row>
        <row r="2436">
          <cell r="A2436" t="str">
            <v>BIA-EKS-1041</v>
          </cell>
          <cell r="B2436" t="str">
            <v>NCS - SBY ALL JATIM KOTA</v>
          </cell>
          <cell r="C2436" t="str">
            <v>NHD</v>
          </cell>
        </row>
        <row r="2437">
          <cell r="A2437" t="str">
            <v>BIA-EKS-1042</v>
          </cell>
          <cell r="B2437" t="str">
            <v>NCS - PAKET  OUT AREA JATIM</v>
          </cell>
          <cell r="C2437" t="str">
            <v>NHD</v>
          </cell>
        </row>
        <row r="2438">
          <cell r="A2438" t="str">
            <v>BIA-EKS-1043</v>
          </cell>
          <cell r="B2438" t="str">
            <v>BNR CDD KRWG-LPG-NIJ</v>
          </cell>
          <cell r="C2438" t="str">
            <v>NHD</v>
          </cell>
        </row>
        <row r="2439">
          <cell r="A2439" t="str">
            <v>BIA-EKS-1044</v>
          </cell>
          <cell r="B2439" t="str">
            <v>INDOJASA CONTAINER KRWG-MDN-NIJ</v>
          </cell>
          <cell r="C2439" t="str">
            <v>NHD</v>
          </cell>
        </row>
        <row r="2440">
          <cell r="A2440" t="str">
            <v>BIA-EKS-1045</v>
          </cell>
          <cell r="B2440" t="str">
            <v>INDOJASA CONTAINER KRWG-BPP-NIJ</v>
          </cell>
          <cell r="C2440" t="str">
            <v>NHD</v>
          </cell>
        </row>
        <row r="2441">
          <cell r="A2441" t="str">
            <v>BIA-EKS-1046</v>
          </cell>
          <cell r="B2441" t="str">
            <v>MOSTRANS CONTAINER CKPA-BPP</v>
          </cell>
          <cell r="C2441" t="str">
            <v>NHD</v>
          </cell>
        </row>
        <row r="2442">
          <cell r="A2442" t="str">
            <v>BIA-EKS-1047</v>
          </cell>
          <cell r="B2442" t="str">
            <v>MOSTRANS CONTAINER CKRA-BPP-IJM</v>
          </cell>
          <cell r="C2442" t="str">
            <v>NHD</v>
          </cell>
        </row>
        <row r="2443">
          <cell r="A2443" t="str">
            <v>BIA-EKS-1048</v>
          </cell>
          <cell r="B2443" t="str">
            <v>MOSTRANS CONTAINER KBN JERUK -BANJARMASIN</v>
          </cell>
          <cell r="C2443" t="str">
            <v>NHD</v>
          </cell>
        </row>
        <row r="2444">
          <cell r="A2444" t="str">
            <v>BIA-EKS-1049</v>
          </cell>
          <cell r="B2444" t="str">
            <v>MOSTRANS CONTAINER KBN JERUK-MKS</v>
          </cell>
          <cell r="C2444" t="str">
            <v>NHD</v>
          </cell>
        </row>
        <row r="2445">
          <cell r="A2445" t="str">
            <v>BIA-EKS-1050</v>
          </cell>
          <cell r="B2445" t="str">
            <v>MOSTRANS CONTAINER KBN JERUK -BPP</v>
          </cell>
          <cell r="C2445" t="str">
            <v>NHD</v>
          </cell>
        </row>
        <row r="2446">
          <cell r="A2446" t="str">
            <v>BIA-EKS-1051</v>
          </cell>
          <cell r="B2446" t="str">
            <v>MOSTRANS CONTAINER SUNTER -BANJARMASIN</v>
          </cell>
          <cell r="C2446" t="str">
            <v>NHD</v>
          </cell>
        </row>
        <row r="2447">
          <cell r="A2447" t="str">
            <v>BIA-EKS-1052</v>
          </cell>
          <cell r="B2447" t="str">
            <v>MOSTRANS CONTAINER SUNTER-MKS</v>
          </cell>
          <cell r="C2447" t="str">
            <v>NHD</v>
          </cell>
        </row>
        <row r="2448">
          <cell r="A2448" t="str">
            <v>BIA-EKS-1053</v>
          </cell>
          <cell r="B2448" t="str">
            <v>MOSTRANS CONTAINER SUNTER -BPP</v>
          </cell>
          <cell r="C2448" t="str">
            <v>NHD</v>
          </cell>
        </row>
        <row r="2449">
          <cell r="A2449" t="str">
            <v>BIA-EKS-1054</v>
          </cell>
          <cell r="B2449" t="str">
            <v>BCR  LCL JKT - BTM</v>
          </cell>
          <cell r="C2449" t="str">
            <v>NHD</v>
          </cell>
        </row>
        <row r="2450">
          <cell r="A2450" t="str">
            <v>BIA-EKS-1055</v>
          </cell>
          <cell r="B2450" t="str">
            <v>JBE  LCL JKT - BELITUNG</v>
          </cell>
          <cell r="C2450" t="str">
            <v>NHD</v>
          </cell>
        </row>
        <row r="2451">
          <cell r="A2451" t="str">
            <v>BIA-EKS-1056</v>
          </cell>
          <cell r="B2451" t="str">
            <v>JBE  LCL JKT -SUNGAILIAT</v>
          </cell>
          <cell r="C2451" t="str">
            <v>NHD</v>
          </cell>
        </row>
        <row r="2452">
          <cell r="A2452" t="str">
            <v>BIA-EKS-1057</v>
          </cell>
          <cell r="B2452" t="str">
            <v>JBE  LCL JKT -PANGKAL PINANG</v>
          </cell>
          <cell r="C2452" t="str">
            <v>NHD</v>
          </cell>
        </row>
        <row r="2453">
          <cell r="A2453" t="str">
            <v>BIA-EKS-1058</v>
          </cell>
          <cell r="B2453" t="str">
            <v>PENGIRIMAN KG VIA DARAT TERNATE KE MKS</v>
          </cell>
          <cell r="C2453" t="str">
            <v>NHD</v>
          </cell>
        </row>
        <row r="2454">
          <cell r="A2454" t="str">
            <v>BIA-EKS-1059</v>
          </cell>
          <cell r="B2454" t="str">
            <v>PENGIRIMAN KG VIA DARAT GORONTALO KE MKS</v>
          </cell>
          <cell r="C2454" t="str">
            <v>NHD</v>
          </cell>
        </row>
        <row r="2455">
          <cell r="A2455" t="str">
            <v>BIA-EKS-1060</v>
          </cell>
          <cell r="B2455" t="str">
            <v>PENGIRIMAN KG VIA DARAT PALU KE MKS</v>
          </cell>
          <cell r="C2455" t="str">
            <v>NHD</v>
          </cell>
        </row>
        <row r="2456">
          <cell r="A2456" t="str">
            <v>BIA-EKS-1061</v>
          </cell>
          <cell r="B2456" t="str">
            <v>PENGIRIMAN VIA UDARA MKS KE POHUWATO</v>
          </cell>
          <cell r="C2456" t="str">
            <v>NHD</v>
          </cell>
        </row>
        <row r="2457">
          <cell r="A2457" t="str">
            <v>BIA-EKS-1062</v>
          </cell>
          <cell r="B2457" t="str">
            <v>PENGIRIMAN VIA UDARA MKS KE MINAHASA UTARA</v>
          </cell>
          <cell r="C2457" t="str">
            <v>NHD</v>
          </cell>
        </row>
        <row r="2458">
          <cell r="A2458" t="str">
            <v>BIA-EKS-1063</v>
          </cell>
          <cell r="B2458" t="str">
            <v>PENGIRIMAN VIA UDARA MKS KE GORONTALO</v>
          </cell>
          <cell r="C2458" t="str">
            <v>NHD</v>
          </cell>
        </row>
        <row r="2459">
          <cell r="A2459" t="str">
            <v>BIA-EKS-1064</v>
          </cell>
          <cell r="B2459" t="str">
            <v>PENGIRIMAN VIA DARAT PALOPO - MKS</v>
          </cell>
          <cell r="C2459" t="str">
            <v>NHD</v>
          </cell>
        </row>
        <row r="2460">
          <cell r="A2460" t="str">
            <v>BIA-EKS-1065</v>
          </cell>
          <cell r="B2460" t="str">
            <v>PENGIRIMAN VIA UDARA MKS KE BIAK</v>
          </cell>
          <cell r="C2460" t="str">
            <v>NHD</v>
          </cell>
        </row>
        <row r="2461">
          <cell r="A2461" t="str">
            <v>BIA-EKS-1066</v>
          </cell>
          <cell r="B2461" t="str">
            <v>PENGIRIMAN VIA UDARA MKS KE JAYAPURA</v>
          </cell>
          <cell r="C2461" t="str">
            <v>NHD</v>
          </cell>
        </row>
        <row r="2462">
          <cell r="A2462" t="str">
            <v>BIA-EKS-1067</v>
          </cell>
          <cell r="B2462" t="str">
            <v>PENGIRIMAN KG VIA UDARA MKS KE PALUA</v>
          </cell>
          <cell r="C2462" t="str">
            <v>NHD</v>
          </cell>
        </row>
        <row r="2463">
          <cell r="A2463" t="str">
            <v>BIA-EKS-1068</v>
          </cell>
          <cell r="B2463" t="str">
            <v>PENGIRIMAN KG VIA UDARA MKS KE TERNATE</v>
          </cell>
          <cell r="C2463" t="str">
            <v>NHD</v>
          </cell>
        </row>
        <row r="2464">
          <cell r="A2464" t="str">
            <v>BIA-EKS-1069</v>
          </cell>
          <cell r="B2464" t="str">
            <v>PENGIRIMAN VIA LAUT MKS KE SURABAYA</v>
          </cell>
          <cell r="C2464" t="str">
            <v>NHD</v>
          </cell>
        </row>
        <row r="2465">
          <cell r="A2465" t="str">
            <v>BIA-EKS-1070</v>
          </cell>
          <cell r="B2465" t="str">
            <v>NIKI LCL SBY - BANTAENG</v>
          </cell>
          <cell r="C2465" t="str">
            <v>NHD</v>
          </cell>
        </row>
        <row r="2466">
          <cell r="A2466" t="str">
            <v>BIA-EKS-1071</v>
          </cell>
          <cell r="B2466" t="str">
            <v>RAPI CDD LONG SBY-SBY</v>
          </cell>
          <cell r="C2466" t="str">
            <v>NHD</v>
          </cell>
        </row>
        <row r="2467">
          <cell r="A2467" t="str">
            <v>BIA-EKS-1072</v>
          </cell>
          <cell r="B2467" t="str">
            <v>RAPI CDD LONG SBY-BAMBE</v>
          </cell>
          <cell r="C2467" t="str">
            <v>NHD</v>
          </cell>
        </row>
        <row r="2468">
          <cell r="A2468" t="str">
            <v>BIA-EKS-1073</v>
          </cell>
          <cell r="B2468" t="str">
            <v>RAPI CDD LONG SBY-SIDOARJO</v>
          </cell>
          <cell r="C2468" t="str">
            <v>NHD</v>
          </cell>
        </row>
        <row r="2469">
          <cell r="A2469" t="str">
            <v>BIA-EKS-1074</v>
          </cell>
          <cell r="B2469" t="str">
            <v>RAPI CDD LONG SBY-GRESIK</v>
          </cell>
          <cell r="C2469" t="str">
            <v>NHD</v>
          </cell>
        </row>
        <row r="2470">
          <cell r="A2470" t="str">
            <v>BIA-EKS-1075</v>
          </cell>
          <cell r="B2470" t="str">
            <v>RAPI CDD LONG SBY-LAMONGAN</v>
          </cell>
          <cell r="C2470" t="str">
            <v>NHD</v>
          </cell>
        </row>
        <row r="2471">
          <cell r="A2471" t="str">
            <v>BIA-EKS-1076</v>
          </cell>
          <cell r="B2471" t="str">
            <v>RAPI CDD LONG SBY-GEMPOL</v>
          </cell>
          <cell r="C2471" t="str">
            <v>NHD</v>
          </cell>
        </row>
        <row r="2472">
          <cell r="A2472" t="str">
            <v>BIA-EKS-1077</v>
          </cell>
          <cell r="B2472" t="str">
            <v>RAPI CDD LONG SBY-NGORO</v>
          </cell>
          <cell r="C2472" t="str">
            <v>NHD</v>
          </cell>
        </row>
        <row r="2473">
          <cell r="A2473" t="str">
            <v>BIA-EKS-1078</v>
          </cell>
          <cell r="B2473" t="str">
            <v>RAPI CDD LONG SBY-MOJOKERTO</v>
          </cell>
          <cell r="C2473" t="str">
            <v>NHD</v>
          </cell>
        </row>
        <row r="2474">
          <cell r="A2474" t="str">
            <v>BIA-EKS-1079</v>
          </cell>
          <cell r="B2474" t="str">
            <v>RAPI CDD LONG SBY-PANDAAN</v>
          </cell>
          <cell r="C2474" t="str">
            <v>NHD</v>
          </cell>
        </row>
        <row r="2475">
          <cell r="A2475" t="str">
            <v>BIA-EKS-1080</v>
          </cell>
          <cell r="B2475" t="str">
            <v>RAPI CDD LONG SBY-JOMBANG</v>
          </cell>
          <cell r="C2475" t="str">
            <v>NHD</v>
          </cell>
        </row>
        <row r="2476">
          <cell r="A2476" t="str">
            <v>BIA-EKS-1081</v>
          </cell>
          <cell r="B2476" t="str">
            <v>RAPI CDD LONG SBY-BANGKALAN</v>
          </cell>
          <cell r="C2476" t="str">
            <v>NHD</v>
          </cell>
        </row>
        <row r="2477">
          <cell r="A2477" t="str">
            <v>BIA-EKS-1082</v>
          </cell>
          <cell r="B2477" t="str">
            <v>RAPI CDD LONG SBY-PASURUAN</v>
          </cell>
          <cell r="C2477" t="str">
            <v>NHD</v>
          </cell>
        </row>
        <row r="2478">
          <cell r="A2478" t="str">
            <v>BIA-EKS-1083</v>
          </cell>
          <cell r="B2478" t="str">
            <v>RAPI CDD LONG SBY-MALANG</v>
          </cell>
          <cell r="C2478" t="str">
            <v>NHD</v>
          </cell>
        </row>
        <row r="2479">
          <cell r="A2479" t="str">
            <v>BIA-EKS-1084</v>
          </cell>
          <cell r="B2479" t="str">
            <v>RAPI CDD LONG SBY-PROBOLINGGO</v>
          </cell>
          <cell r="C2479" t="str">
            <v>NHD</v>
          </cell>
        </row>
        <row r="2480">
          <cell r="A2480" t="str">
            <v>BIA-EKS-1085</v>
          </cell>
          <cell r="B2480" t="str">
            <v>RAPI CDD LONG SBY-BABAT</v>
          </cell>
          <cell r="C2480" t="str">
            <v>NHD</v>
          </cell>
        </row>
        <row r="2481">
          <cell r="A2481" t="str">
            <v>BIA-EKS-1086</v>
          </cell>
          <cell r="B2481" t="str">
            <v>RAPI CDD LONG SBY-BOJONEGORO</v>
          </cell>
          <cell r="C2481" t="str">
            <v>NHD</v>
          </cell>
        </row>
        <row r="2482">
          <cell r="A2482" t="str">
            <v>BIA-EKS-1087</v>
          </cell>
          <cell r="B2482" t="str">
            <v>RAPI CDD LONG SBY-TUBAN</v>
          </cell>
          <cell r="C2482" t="str">
            <v>NHD</v>
          </cell>
        </row>
        <row r="2483">
          <cell r="A2483" t="str">
            <v>BIA-EKS-1088</v>
          </cell>
          <cell r="B2483" t="str">
            <v>RAPI CDD LONG SBY-KEDIRI</v>
          </cell>
          <cell r="C2483" t="str">
            <v>NHD</v>
          </cell>
        </row>
        <row r="2484">
          <cell r="A2484" t="str">
            <v>BIA-EKS-1089</v>
          </cell>
          <cell r="B2484" t="str">
            <v>RAPI CDD LONG SBY-NGANJUK</v>
          </cell>
          <cell r="C2484" t="str">
            <v>NHD</v>
          </cell>
        </row>
        <row r="2485">
          <cell r="A2485" t="str">
            <v>BIA-EKS-1090</v>
          </cell>
          <cell r="B2485" t="str">
            <v>RAPI CDD LONG SBY-BLITAR</v>
          </cell>
          <cell r="C2485" t="str">
            <v>NHD</v>
          </cell>
        </row>
        <row r="2486">
          <cell r="A2486" t="str">
            <v>BIA-EKS-1091</v>
          </cell>
          <cell r="B2486" t="str">
            <v>RAPI CDD LONG SBY-LUMAJANG</v>
          </cell>
          <cell r="C2486" t="str">
            <v>NHD</v>
          </cell>
        </row>
        <row r="2487">
          <cell r="A2487" t="str">
            <v>BIA-EKS-1092</v>
          </cell>
          <cell r="B2487" t="str">
            <v>RAPI CDD LONG SBY-SAMPANG</v>
          </cell>
          <cell r="C2487" t="str">
            <v>NHD</v>
          </cell>
        </row>
        <row r="2488">
          <cell r="A2488" t="str">
            <v>BIA-EKS-1093</v>
          </cell>
          <cell r="B2488" t="str">
            <v>RAPI CDD LONG SBY-PAMEKASAN</v>
          </cell>
          <cell r="C2488" t="str">
            <v>NHD</v>
          </cell>
        </row>
        <row r="2489">
          <cell r="A2489" t="str">
            <v>BIA-EKS-1094</v>
          </cell>
          <cell r="B2489" t="str">
            <v>RAPI CDD LONG SBY-MADIUN</v>
          </cell>
          <cell r="C2489" t="str">
            <v>NHD</v>
          </cell>
        </row>
        <row r="2490">
          <cell r="A2490" t="str">
            <v>BIA-EKS-1095</v>
          </cell>
          <cell r="B2490" t="str">
            <v>RAPI CDD LONG SBY-TULUNGAGUNG</v>
          </cell>
          <cell r="C2490" t="str">
            <v>NHD</v>
          </cell>
        </row>
        <row r="2491">
          <cell r="A2491" t="str">
            <v>BIA-EKS-1096</v>
          </cell>
          <cell r="B2491" t="str">
            <v>RAPI CDD LONG SBY-JEMBER</v>
          </cell>
          <cell r="C2491" t="str">
            <v>NHD</v>
          </cell>
        </row>
        <row r="2492">
          <cell r="A2492" t="str">
            <v>BIA-EKS-1097</v>
          </cell>
          <cell r="B2492" t="str">
            <v>RAPI CDD LONG SBY-SITUBONDO</v>
          </cell>
          <cell r="C2492" t="str">
            <v>NHD</v>
          </cell>
        </row>
        <row r="2493">
          <cell r="A2493" t="str">
            <v>BIA-EKS-1098</v>
          </cell>
          <cell r="B2493" t="str">
            <v>RAPI CDD LONG SBY-BONDOWOSO</v>
          </cell>
          <cell r="C2493" t="str">
            <v>NHD</v>
          </cell>
        </row>
        <row r="2494">
          <cell r="A2494" t="str">
            <v>BIA-EKS-1099</v>
          </cell>
          <cell r="B2494" t="str">
            <v>RAPI CDD LONG SBY-SUMENEP</v>
          </cell>
          <cell r="C2494" t="str">
            <v>NHD</v>
          </cell>
        </row>
        <row r="2495">
          <cell r="A2495" t="str">
            <v>BIA-EKS-1100</v>
          </cell>
          <cell r="B2495" t="str">
            <v>RAPI CDD LONG SBY-PONOROGO</v>
          </cell>
          <cell r="C2495" t="str">
            <v>NHD</v>
          </cell>
        </row>
        <row r="2496">
          <cell r="A2496" t="str">
            <v>BIA-EKS-1101</v>
          </cell>
          <cell r="B2496" t="str">
            <v>RAPI CDD LONG SBY-MAGETAN</v>
          </cell>
          <cell r="C2496" t="str">
            <v>NHD</v>
          </cell>
        </row>
        <row r="2497">
          <cell r="A2497" t="str">
            <v>BIA-EKS-1102</v>
          </cell>
          <cell r="B2497" t="str">
            <v>RAPI CDD LONG SBY-NGAWI</v>
          </cell>
          <cell r="C2497" t="str">
            <v>NHD</v>
          </cell>
        </row>
        <row r="2498">
          <cell r="A2498" t="str">
            <v>BIA-EKS-1103</v>
          </cell>
          <cell r="B2498" t="str">
            <v>RAPI CDD LONG SBY-TRENGGALEK</v>
          </cell>
          <cell r="C2498" t="str">
            <v>NHD</v>
          </cell>
        </row>
        <row r="2499">
          <cell r="A2499" t="str">
            <v>BIA-EKS-1104</v>
          </cell>
          <cell r="B2499" t="str">
            <v>RAPI CDD LONG SBY-BANYUWANGI</v>
          </cell>
          <cell r="C2499" t="str">
            <v>NHD</v>
          </cell>
        </row>
        <row r="2500">
          <cell r="A2500" t="str">
            <v>BIA-EKS-1105</v>
          </cell>
          <cell r="B2500" t="str">
            <v>RAPI CDD LONG SBY-PACITAN</v>
          </cell>
          <cell r="C2500" t="str">
            <v>NHD</v>
          </cell>
        </row>
        <row r="2501">
          <cell r="A2501" t="str">
            <v>BIA-EKS-1106</v>
          </cell>
          <cell r="B2501" t="str">
            <v>RAPI CDD LONG SBY-DENPASAR</v>
          </cell>
          <cell r="C2501" t="str">
            <v>NHD</v>
          </cell>
        </row>
        <row r="2502">
          <cell r="A2502" t="str">
            <v>BIA-EKS-1107</v>
          </cell>
          <cell r="B2502" t="str">
            <v>RAPI CDD LONG SBY-KLUNGKUNG</v>
          </cell>
          <cell r="C2502" t="str">
            <v>NHD</v>
          </cell>
        </row>
        <row r="2503">
          <cell r="A2503" t="str">
            <v>BIA-EKS-1108</v>
          </cell>
          <cell r="B2503" t="str">
            <v>RAPI CDD LONG SBY-SINGARAJA</v>
          </cell>
          <cell r="C2503" t="str">
            <v>NHD</v>
          </cell>
        </row>
        <row r="2504">
          <cell r="A2504" t="str">
            <v>BIA-EKS-1109</v>
          </cell>
          <cell r="B2504" t="str">
            <v>RAPI FULL CONTAINER 20 " SBY-MAKASAR</v>
          </cell>
          <cell r="C2504" t="str">
            <v>NHD</v>
          </cell>
        </row>
        <row r="2505">
          <cell r="A2505" t="str">
            <v>BIA-EKS-1110</v>
          </cell>
          <cell r="B2505" t="str">
            <v>RAPI FULL CONTAINER 24 " SBY-MAKASAR</v>
          </cell>
          <cell r="C2505" t="str">
            <v>NHD</v>
          </cell>
        </row>
        <row r="2506">
          <cell r="A2506" t="str">
            <v>BIA-EKS-1111</v>
          </cell>
          <cell r="B2506" t="str">
            <v>TIKI RTL ECO BPP-KUARO PASER</v>
          </cell>
          <cell r="C2506" t="str">
            <v>NHD</v>
          </cell>
        </row>
        <row r="2507">
          <cell r="A2507" t="str">
            <v>BIA-EKS-1112</v>
          </cell>
          <cell r="B2507" t="str">
            <v>TIKI RTL REG BPP-PANGKALAN BUN</v>
          </cell>
          <cell r="C2507" t="str">
            <v>NHD</v>
          </cell>
        </row>
        <row r="2508">
          <cell r="A2508" t="str">
            <v>BIA-EKS-1113</v>
          </cell>
          <cell r="B2508" t="str">
            <v>TIKI RTL REG BPP-SAMARINDA</v>
          </cell>
          <cell r="C2508" t="str">
            <v>NHD</v>
          </cell>
        </row>
        <row r="2509">
          <cell r="A2509" t="str">
            <v>BIA-EKS-1114</v>
          </cell>
          <cell r="B2509" t="str">
            <v>TIKI RTL REG BPP-BANJARMASIN</v>
          </cell>
          <cell r="C2509" t="str">
            <v>NHD</v>
          </cell>
        </row>
        <row r="2510">
          <cell r="A2510" t="str">
            <v>BIA-EKS-1115</v>
          </cell>
          <cell r="B2510" t="str">
            <v>NCS RTL DARAT JKT-BALIKPAPAN</v>
          </cell>
          <cell r="C2510" t="str">
            <v>NHD</v>
          </cell>
        </row>
        <row r="2511">
          <cell r="A2511" t="str">
            <v>BIA-EKS-1116</v>
          </cell>
          <cell r="B2511" t="str">
            <v>NCS RTL UDARA JKT-BALIKPAPAN</v>
          </cell>
          <cell r="C2511" t="str">
            <v>NHD</v>
          </cell>
        </row>
        <row r="2512">
          <cell r="A2512" t="str">
            <v>BIA-EKS-1117</v>
          </cell>
          <cell r="B2512" t="str">
            <v>TMG CDE BPP-TARAKAN (50KG)</v>
          </cell>
          <cell r="C2512" t="str">
            <v>NHD</v>
          </cell>
        </row>
        <row r="2513">
          <cell r="A2513" t="str">
            <v>BIA-EKS-1118</v>
          </cell>
          <cell r="B2513" t="str">
            <v>TMG CDE BPP-PALANGKARAYA (50KG)</v>
          </cell>
          <cell r="C2513" t="str">
            <v>NHD</v>
          </cell>
        </row>
        <row r="2514">
          <cell r="A2514" t="str">
            <v>BIA-EKS-1119</v>
          </cell>
          <cell r="B2514" t="str">
            <v>TIKI RTL REG BPP-AMBON</v>
          </cell>
          <cell r="C2514" t="str">
            <v>NHD</v>
          </cell>
        </row>
        <row r="2515">
          <cell r="A2515" t="str">
            <v>BIA-EKS-1120</v>
          </cell>
          <cell r="B2515" t="str">
            <v>TIKI RTL REG BPP-BABULU</v>
          </cell>
          <cell r="C2515" t="str">
            <v>NHD</v>
          </cell>
        </row>
        <row r="2516">
          <cell r="A2516" t="str">
            <v>BIA-EKS-1121</v>
          </cell>
          <cell r="B2516" t="str">
            <v>TIKI RTL REG BPP-BALANGAN</v>
          </cell>
          <cell r="C2516" t="str">
            <v>NHD</v>
          </cell>
        </row>
        <row r="2517">
          <cell r="A2517" t="str">
            <v>BIA-EKS-1122</v>
          </cell>
          <cell r="B2517" t="str">
            <v>TIKI RTL REG BPP-BALIKPAPAN</v>
          </cell>
          <cell r="C2517" t="str">
            <v>NHD</v>
          </cell>
        </row>
        <row r="2518">
          <cell r="A2518" t="str">
            <v>BIA-EKS-1123</v>
          </cell>
          <cell r="B2518" t="str">
            <v>TIKI RTL REG BPP-BANDA ACEH</v>
          </cell>
          <cell r="C2518" t="str">
            <v>NHD</v>
          </cell>
        </row>
        <row r="2519">
          <cell r="A2519" t="str">
            <v>BIA-EKS-1124</v>
          </cell>
          <cell r="B2519" t="str">
            <v>TIKI RTL ONS BPP-YOGYAKARTA</v>
          </cell>
          <cell r="C2519" t="str">
            <v>NHD</v>
          </cell>
        </row>
        <row r="2520">
          <cell r="A2520" t="str">
            <v>BIA-EKS-1125</v>
          </cell>
          <cell r="B2520" t="str">
            <v>TIKI RTL ONS BPP-TENGGARONG</v>
          </cell>
          <cell r="C2520" t="str">
            <v>NHD</v>
          </cell>
        </row>
        <row r="2521">
          <cell r="A2521" t="str">
            <v>BIA-EKS-1126</v>
          </cell>
          <cell r="B2521" t="str">
            <v>TIKI RTL REG BPP-BANDAR LAMPUNG</v>
          </cell>
          <cell r="C2521" t="str">
            <v>NHD</v>
          </cell>
        </row>
        <row r="2522">
          <cell r="A2522" t="str">
            <v>BIA-EKS-1127</v>
          </cell>
          <cell r="B2522" t="str">
            <v>TIKI RTL ONS BPP-TARAKAN</v>
          </cell>
          <cell r="C2522" t="str">
            <v>NHD</v>
          </cell>
        </row>
        <row r="2523">
          <cell r="A2523" t="str">
            <v>BIA-EKS-1128</v>
          </cell>
          <cell r="B2523" t="str">
            <v>TIKI RTL REG BPP-BANDUNG</v>
          </cell>
          <cell r="C2523" t="str">
            <v>NHD</v>
          </cell>
        </row>
        <row r="2524">
          <cell r="A2524" t="str">
            <v>BIA-EKS-1129</v>
          </cell>
          <cell r="B2524" t="str">
            <v>TIKI RTL ONS BPP-TANGERANG</v>
          </cell>
          <cell r="C2524" t="str">
            <v>NHD</v>
          </cell>
        </row>
        <row r="2525">
          <cell r="A2525" t="str">
            <v>BIA-EKS-1130</v>
          </cell>
          <cell r="B2525" t="str">
            <v>TIKI RTL REG BPP-BANJARBARU</v>
          </cell>
          <cell r="C2525" t="str">
            <v>NHD</v>
          </cell>
        </row>
        <row r="2526">
          <cell r="A2526" t="str">
            <v>BIA-EKS-1131</v>
          </cell>
          <cell r="B2526" t="str">
            <v>TIKI RTL REG BPP-BARITO KUALA</v>
          </cell>
          <cell r="C2526" t="str">
            <v>NHD</v>
          </cell>
        </row>
        <row r="2527">
          <cell r="A2527" t="str">
            <v>BIA-EKS-1132</v>
          </cell>
          <cell r="B2527" t="str">
            <v>TIKI RTL REG BPP-BATAM</v>
          </cell>
          <cell r="C2527" t="str">
            <v>NHD</v>
          </cell>
        </row>
        <row r="2528">
          <cell r="A2528" t="str">
            <v>BIA-EKS-1133</v>
          </cell>
          <cell r="B2528" t="str">
            <v>TIKI RTL REG BPP-BATU KAJANG</v>
          </cell>
          <cell r="C2528" t="str">
            <v>NHD</v>
          </cell>
        </row>
        <row r="2529">
          <cell r="A2529" t="str">
            <v>BIA-EKS-1134</v>
          </cell>
          <cell r="B2529" t="str">
            <v>TIKI RTL REG BPP-BATU LICIN</v>
          </cell>
          <cell r="C2529" t="str">
            <v>NHD</v>
          </cell>
        </row>
        <row r="2530">
          <cell r="A2530" t="str">
            <v>BIA-EKS-1135</v>
          </cell>
          <cell r="B2530" t="str">
            <v>TIKI RTL REG BPP-BEKASI</v>
          </cell>
          <cell r="C2530" t="str">
            <v>NHD</v>
          </cell>
        </row>
        <row r="2531">
          <cell r="A2531" t="str">
            <v>BIA-EKS-1136</v>
          </cell>
          <cell r="B2531" t="str">
            <v>TIKI RTL REG BPP-BENGKAYANG</v>
          </cell>
          <cell r="C2531" t="str">
            <v>NHD</v>
          </cell>
        </row>
        <row r="2532">
          <cell r="A2532" t="str">
            <v>BIA-EKS-1137</v>
          </cell>
          <cell r="B2532" t="str">
            <v>TIKI RTL REG BPP-BENGKULU</v>
          </cell>
          <cell r="C2532" t="str">
            <v>NHD</v>
          </cell>
        </row>
        <row r="2533">
          <cell r="A2533" t="str">
            <v>BIA-EKS-1138</v>
          </cell>
          <cell r="B2533" t="str">
            <v>TIKI RTL REG BPP-BERAU</v>
          </cell>
          <cell r="C2533" t="str">
            <v>NHD</v>
          </cell>
        </row>
        <row r="2534">
          <cell r="A2534" t="str">
            <v>BIA-EKS-1139</v>
          </cell>
          <cell r="B2534" t="str">
            <v>TIKI RTL REG BPP-BOGOR</v>
          </cell>
          <cell r="C2534" t="str">
            <v>NHD</v>
          </cell>
        </row>
        <row r="2535">
          <cell r="A2535" t="str">
            <v>BIA-EKS-1140</v>
          </cell>
          <cell r="B2535" t="str">
            <v>TIKI RTL REG BPP-BONTANG</v>
          </cell>
          <cell r="C2535" t="str">
            <v>NHD</v>
          </cell>
        </row>
        <row r="2536">
          <cell r="A2536" t="str">
            <v>BIA-EKS-1141</v>
          </cell>
          <cell r="B2536" t="str">
            <v>TIKI RTL REG BPP-BUNTAK</v>
          </cell>
          <cell r="C2536" t="str">
            <v>NHD</v>
          </cell>
        </row>
        <row r="2537">
          <cell r="A2537" t="str">
            <v>BIA-EKS-1142</v>
          </cell>
          <cell r="B2537" t="str">
            <v>TIKI RTL REG BPP-BUNYU</v>
          </cell>
          <cell r="C2537" t="str">
            <v>NHD</v>
          </cell>
        </row>
        <row r="2538">
          <cell r="A2538" t="str">
            <v>BIA-EKS-1143</v>
          </cell>
          <cell r="B2538" t="str">
            <v>TIKI RTL REG BPP-DENPASAR</v>
          </cell>
          <cell r="C2538" t="str">
            <v>NHD</v>
          </cell>
        </row>
        <row r="2539">
          <cell r="A2539" t="str">
            <v>BIA-EKS-1144</v>
          </cell>
          <cell r="B2539" t="str">
            <v>TIKI RTL REG BPP-DEPOK</v>
          </cell>
          <cell r="C2539" t="str">
            <v>NHD</v>
          </cell>
        </row>
        <row r="2540">
          <cell r="A2540" t="str">
            <v>BIA-EKS-1145</v>
          </cell>
          <cell r="B2540" t="str">
            <v>TIKI RTL REG BPP-HULU SUNGAI SELATAN</v>
          </cell>
          <cell r="C2540" t="str">
            <v>NHD</v>
          </cell>
        </row>
        <row r="2541">
          <cell r="A2541" t="str">
            <v>BIA-EKS-1146</v>
          </cell>
          <cell r="B2541" t="str">
            <v>TIKI RTL REG BPP-HULU SUNGAI TENGAH</v>
          </cell>
          <cell r="C2541" t="str">
            <v>NHD</v>
          </cell>
        </row>
        <row r="2542">
          <cell r="A2542" t="str">
            <v>BIA-EKS-1147</v>
          </cell>
          <cell r="B2542" t="str">
            <v>TIKI RTL REG BPP-HULU SUNGAI UTARA</v>
          </cell>
          <cell r="C2542" t="str">
            <v>NHD</v>
          </cell>
        </row>
        <row r="2543">
          <cell r="A2543" t="str">
            <v>BIA-EKS-1148</v>
          </cell>
          <cell r="B2543" t="str">
            <v>TIKI RTL REG BPP-JAKARTA</v>
          </cell>
          <cell r="C2543" t="str">
            <v>NHD</v>
          </cell>
        </row>
        <row r="2544">
          <cell r="A2544" t="str">
            <v>BIA-EKS-1149</v>
          </cell>
          <cell r="B2544" t="str">
            <v>TIKI RTL REG BPP-JAMBI</v>
          </cell>
          <cell r="C2544" t="str">
            <v>NHD</v>
          </cell>
        </row>
        <row r="2545">
          <cell r="A2545" t="str">
            <v>BIA-EKS-1150</v>
          </cell>
          <cell r="B2545" t="str">
            <v>TIKI RTL REG BPP-JAYAPURA</v>
          </cell>
          <cell r="C2545" t="str">
            <v>NHD</v>
          </cell>
        </row>
        <row r="2546">
          <cell r="A2546" t="str">
            <v>BIA-EKS-1151</v>
          </cell>
          <cell r="B2546" t="str">
            <v>TIKI RTL REG BPP-KAPUAS HULU</v>
          </cell>
          <cell r="C2546" t="str">
            <v>NHD</v>
          </cell>
        </row>
        <row r="2547">
          <cell r="A2547" t="str">
            <v>BIA-EKS-1152</v>
          </cell>
          <cell r="B2547" t="str">
            <v>TIKI RTL REG BPP-KENDARI</v>
          </cell>
          <cell r="C2547" t="str">
            <v>NHD</v>
          </cell>
        </row>
        <row r="2548">
          <cell r="A2548" t="str">
            <v>BIA-EKS-1153</v>
          </cell>
          <cell r="B2548" t="str">
            <v>TIKI RTL REG BPP-KETAPANG</v>
          </cell>
          <cell r="C2548" t="str">
            <v>NHD</v>
          </cell>
        </row>
        <row r="2549">
          <cell r="A2549" t="str">
            <v>BIA-EKS-1154</v>
          </cell>
          <cell r="B2549" t="str">
            <v>TIKI RTL REG BPP-KOTA BARU</v>
          </cell>
          <cell r="C2549" t="str">
            <v>NHD</v>
          </cell>
        </row>
        <row r="2550">
          <cell r="A2550" t="str">
            <v>BIA-EKS-1155</v>
          </cell>
          <cell r="B2550" t="str">
            <v>TIKI RTL REG BPP-KUALA KAPUAS</v>
          </cell>
          <cell r="C2550" t="str">
            <v>NHD</v>
          </cell>
        </row>
        <row r="2551">
          <cell r="A2551" t="str">
            <v>BIA-EKS-1156</v>
          </cell>
          <cell r="B2551" t="str">
            <v>TIKI RTL REG BPP-KUARO</v>
          </cell>
          <cell r="C2551" t="str">
            <v>NHD</v>
          </cell>
        </row>
        <row r="2552">
          <cell r="A2552" t="str">
            <v>BIA-EKS-1157</v>
          </cell>
          <cell r="B2552" t="str">
            <v>TIKI RTL REG BPP-KUTAI BARAT</v>
          </cell>
          <cell r="C2552" t="str">
            <v>NHD</v>
          </cell>
        </row>
        <row r="2553">
          <cell r="A2553" t="str">
            <v>BIA-EKS-1158</v>
          </cell>
          <cell r="B2553" t="str">
            <v>TIKI RTL REG BPP-LONGIKIS</v>
          </cell>
          <cell r="C2553" t="str">
            <v>NHD</v>
          </cell>
        </row>
        <row r="2554">
          <cell r="A2554" t="str">
            <v>BIA-EKS-1159</v>
          </cell>
          <cell r="B2554" t="str">
            <v>TIKI RTL REG BPP-LONGKALI</v>
          </cell>
          <cell r="C2554" t="str">
            <v>NHD</v>
          </cell>
        </row>
        <row r="2555">
          <cell r="A2555" t="str">
            <v>BIA-EKS-1160</v>
          </cell>
          <cell r="B2555" t="str">
            <v>TIKI RTL REG BPP-MAKASSAR</v>
          </cell>
          <cell r="C2555" t="str">
            <v>NHD</v>
          </cell>
        </row>
        <row r="2556">
          <cell r="A2556" t="str">
            <v>BIA-EKS-1161</v>
          </cell>
          <cell r="B2556" t="str">
            <v>TIKI RTL REG BPP-MALANG</v>
          </cell>
          <cell r="C2556" t="str">
            <v>NHD</v>
          </cell>
        </row>
        <row r="2557">
          <cell r="A2557" t="str">
            <v>BIA-EKS-1162</v>
          </cell>
          <cell r="B2557" t="str">
            <v>TIKI RTL REG BPP-MALINAU</v>
          </cell>
          <cell r="C2557" t="str">
            <v>NHD</v>
          </cell>
        </row>
        <row r="2558">
          <cell r="A2558" t="str">
            <v>BIA-EKS-1163</v>
          </cell>
          <cell r="B2558" t="str">
            <v>TIKI RTL REG BPP-MANADO</v>
          </cell>
          <cell r="C2558" t="str">
            <v>NHD</v>
          </cell>
        </row>
        <row r="2559">
          <cell r="A2559" t="str">
            <v>BIA-EKS-1164</v>
          </cell>
          <cell r="B2559" t="str">
            <v>TIKI RTL REG BPP-MARTAPURA</v>
          </cell>
          <cell r="C2559" t="str">
            <v>NHD</v>
          </cell>
        </row>
        <row r="2560">
          <cell r="A2560" t="str">
            <v>BIA-EKS-1165</v>
          </cell>
          <cell r="B2560" t="str">
            <v>TIKI RTL REG BPP-MEDAN</v>
          </cell>
          <cell r="C2560" t="str">
            <v>NHD</v>
          </cell>
        </row>
        <row r="2561">
          <cell r="A2561" t="str">
            <v>BIA-EKS-1166</v>
          </cell>
          <cell r="B2561" t="str">
            <v>TIKI RTL REG BPP-MEMPAWAH</v>
          </cell>
          <cell r="C2561" t="str">
            <v>NHD</v>
          </cell>
        </row>
        <row r="2562">
          <cell r="A2562" t="str">
            <v>BIA-EKS-1167</v>
          </cell>
          <cell r="B2562" t="str">
            <v>TIKI RTL REG BPP-MERAUKE</v>
          </cell>
          <cell r="C2562" t="str">
            <v>NHD</v>
          </cell>
        </row>
        <row r="2563">
          <cell r="A2563" t="str">
            <v>BIA-EKS-1168</v>
          </cell>
          <cell r="B2563" t="str">
            <v>TIKI RTL REG BPP-MUARA JAWA</v>
          </cell>
          <cell r="C2563" t="str">
            <v>NHD</v>
          </cell>
        </row>
        <row r="2564">
          <cell r="A2564" t="str">
            <v>BIA-EKS-1169</v>
          </cell>
          <cell r="B2564" t="str">
            <v>TIKI RTL REG BPP-MUARA TEWEH</v>
          </cell>
          <cell r="C2564" t="str">
            <v>NHD</v>
          </cell>
        </row>
        <row r="2565">
          <cell r="A2565" t="str">
            <v>BIA-EKS-1170</v>
          </cell>
          <cell r="B2565" t="str">
            <v>TIKI RTL REG BPP-MURUNG RAYA</v>
          </cell>
          <cell r="C2565" t="str">
            <v>NHD</v>
          </cell>
        </row>
        <row r="2566">
          <cell r="A2566" t="str">
            <v>BIA-EKS-1171</v>
          </cell>
          <cell r="B2566" t="str">
            <v>TIKI RTL REG BPP-NANGA PINOH</v>
          </cell>
          <cell r="C2566" t="str">
            <v>NHD</v>
          </cell>
        </row>
        <row r="2567">
          <cell r="A2567" t="str">
            <v>BIA-EKS-1172</v>
          </cell>
          <cell r="B2567" t="str">
            <v>TIKI RTL REG BPP-NGABANG</v>
          </cell>
          <cell r="C2567" t="str">
            <v>NHD</v>
          </cell>
        </row>
        <row r="2568">
          <cell r="A2568" t="str">
            <v>BIA-EKS-1173</v>
          </cell>
          <cell r="B2568" t="str">
            <v>TIKI RTL REG BPP-NUNUKAN</v>
          </cell>
          <cell r="C2568" t="str">
            <v>NHD</v>
          </cell>
        </row>
        <row r="2569">
          <cell r="A2569" t="str">
            <v>BIA-EKS-1174</v>
          </cell>
          <cell r="B2569" t="str">
            <v>TIKI RTL REG BPP-PADANG</v>
          </cell>
          <cell r="C2569" t="str">
            <v>NHD</v>
          </cell>
        </row>
        <row r="2570">
          <cell r="A2570" t="str">
            <v>BIA-EKS-1175</v>
          </cell>
          <cell r="B2570" t="str">
            <v>TIKI RTL REG BPP-PALANGKARAYA</v>
          </cell>
          <cell r="C2570" t="str">
            <v>NHD</v>
          </cell>
        </row>
        <row r="2571">
          <cell r="A2571" t="str">
            <v>BIA-EKS-1176</v>
          </cell>
          <cell r="B2571" t="str">
            <v>TIKI RTL REG BPP-PALEMBANG</v>
          </cell>
          <cell r="C2571" t="str">
            <v>NHD</v>
          </cell>
        </row>
        <row r="2572">
          <cell r="A2572" t="str">
            <v>BIA-EKS-1177</v>
          </cell>
          <cell r="B2572" t="str">
            <v>TIKI RTL REG BPP-PALU</v>
          </cell>
          <cell r="C2572" t="str">
            <v>NHD</v>
          </cell>
        </row>
        <row r="2573">
          <cell r="A2573" t="str">
            <v>BIA-EKS-1178</v>
          </cell>
          <cell r="B2573" t="str">
            <v>TIKI RTL REG BPP-PANGKAL PINANG</v>
          </cell>
          <cell r="C2573" t="str">
            <v>NHD</v>
          </cell>
        </row>
        <row r="2574">
          <cell r="A2574" t="str">
            <v>BIA-EKS-1179</v>
          </cell>
          <cell r="B2574" t="str">
            <v>TIKI RTL REG BPP-PASER</v>
          </cell>
          <cell r="C2574" t="str">
            <v>NHD</v>
          </cell>
        </row>
        <row r="2575">
          <cell r="A2575" t="str">
            <v>BIA-EKS-1180</v>
          </cell>
          <cell r="B2575" t="str">
            <v>TIKI RTL REG BPP-PEKANBARU</v>
          </cell>
          <cell r="C2575" t="str">
            <v>NHD</v>
          </cell>
        </row>
        <row r="2576">
          <cell r="A2576" t="str">
            <v>BIA-EKS-1181</v>
          </cell>
          <cell r="B2576" t="str">
            <v>TIKI RTL REG BPP-PENAJAM</v>
          </cell>
          <cell r="C2576" t="str">
            <v>NHD</v>
          </cell>
        </row>
        <row r="2577">
          <cell r="A2577" t="str">
            <v>BIA-EKS-1182</v>
          </cell>
          <cell r="B2577" t="str">
            <v>TIKI RTL REG BPP-PONTIANAK</v>
          </cell>
          <cell r="C2577" t="str">
            <v>NHD</v>
          </cell>
        </row>
        <row r="2578">
          <cell r="A2578" t="str">
            <v>BIA-EKS-1183</v>
          </cell>
          <cell r="B2578" t="str">
            <v>TIKI RTL REG BPP-SAMBAS</v>
          </cell>
          <cell r="C2578" t="str">
            <v>NHD</v>
          </cell>
        </row>
        <row r="2579">
          <cell r="A2579" t="str">
            <v>BIA-EKS-1184</v>
          </cell>
          <cell r="B2579" t="str">
            <v>TIKI RTL REG BPP-SAMBOJA</v>
          </cell>
          <cell r="C2579" t="str">
            <v>NHD</v>
          </cell>
        </row>
        <row r="2580">
          <cell r="A2580" t="str">
            <v>BIA-EKS-1185</v>
          </cell>
          <cell r="B2580" t="str">
            <v>TIKI RTL REG BPP-SANGATTA</v>
          </cell>
          <cell r="C2580" t="str">
            <v>NHD</v>
          </cell>
        </row>
        <row r="2581">
          <cell r="A2581" t="str">
            <v>BIA-EKS-1186</v>
          </cell>
          <cell r="B2581" t="str">
            <v>TIKI RTL REG BPP-SANGGAU</v>
          </cell>
          <cell r="C2581" t="str">
            <v>NHD</v>
          </cell>
        </row>
        <row r="2582">
          <cell r="A2582" t="str">
            <v>BIA-EKS-1187</v>
          </cell>
          <cell r="B2582" t="str">
            <v>TIKI RTL REG BPP-SEBANGAU</v>
          </cell>
          <cell r="C2582" t="str">
            <v>NHD</v>
          </cell>
        </row>
        <row r="2583">
          <cell r="A2583" t="str">
            <v>BIA-EKS-1188</v>
          </cell>
          <cell r="B2583" t="str">
            <v>TIKI RTL REG BPP-SEKADAU</v>
          </cell>
          <cell r="C2583" t="str">
            <v>NHD</v>
          </cell>
        </row>
        <row r="2584">
          <cell r="A2584" t="str">
            <v>BIA-EKS-1189</v>
          </cell>
          <cell r="B2584" t="str">
            <v>TIKI RTL REG BPP-SEMARANG</v>
          </cell>
          <cell r="C2584" t="str">
            <v>NHD</v>
          </cell>
        </row>
        <row r="2585">
          <cell r="A2585" t="str">
            <v>BIA-EKS-1190</v>
          </cell>
          <cell r="B2585" t="str">
            <v>TIKI RTL REG BPP-SERANG</v>
          </cell>
          <cell r="C2585" t="str">
            <v>NHD</v>
          </cell>
        </row>
        <row r="2586">
          <cell r="A2586" t="str">
            <v>BIA-EKS-1191</v>
          </cell>
          <cell r="B2586" t="str">
            <v>TIKI RTL REG BPP-SINGKAWANG</v>
          </cell>
          <cell r="C2586" t="str">
            <v>NHD</v>
          </cell>
        </row>
        <row r="2587">
          <cell r="A2587" t="str">
            <v>BIA-EKS-1192</v>
          </cell>
          <cell r="B2587" t="str">
            <v>TIKI RTL REG BPP-SINTANG</v>
          </cell>
          <cell r="C2587" t="str">
            <v>NHD</v>
          </cell>
        </row>
        <row r="2588">
          <cell r="A2588" t="str">
            <v>BIA-EKS-1193</v>
          </cell>
          <cell r="B2588" t="str">
            <v>TIKI RTL REG BPP-SUKAMARA</v>
          </cell>
          <cell r="C2588" t="str">
            <v>NHD</v>
          </cell>
        </row>
        <row r="2589">
          <cell r="A2589" t="str">
            <v>BIA-EKS-1194</v>
          </cell>
          <cell r="B2589" t="str">
            <v>TIKI RTL REG BPP-SUNGAI RAYA</v>
          </cell>
          <cell r="C2589" t="str">
            <v>NHD</v>
          </cell>
        </row>
        <row r="2590">
          <cell r="A2590" t="str">
            <v>BIA-EKS-1195</v>
          </cell>
          <cell r="B2590" t="str">
            <v>TIKI RTL REG BPP-SURABAYA</v>
          </cell>
          <cell r="C2590" t="str">
            <v>NHD</v>
          </cell>
        </row>
        <row r="2591">
          <cell r="A2591" t="str">
            <v>BIA-EKS-1196</v>
          </cell>
          <cell r="B2591" t="str">
            <v>TIKI RTL REG BPP-TANA TIDUNG</v>
          </cell>
          <cell r="C2591" t="str">
            <v>NHD</v>
          </cell>
        </row>
        <row r="2592">
          <cell r="A2592" t="str">
            <v>BIA-EKS-1197</v>
          </cell>
          <cell r="B2592" t="str">
            <v>TIKI RTL REG BPP-TANAH GROGOT</v>
          </cell>
          <cell r="C2592" t="str">
            <v>NHD</v>
          </cell>
        </row>
        <row r="2593">
          <cell r="A2593" t="str">
            <v>BIA-EKS-1198</v>
          </cell>
          <cell r="B2593" t="str">
            <v>TIKI RTL REG BPP-TANAH LAUT</v>
          </cell>
          <cell r="C2593" t="str">
            <v>NHD</v>
          </cell>
        </row>
        <row r="2594">
          <cell r="A2594" t="str">
            <v>BIA-EKS-1199</v>
          </cell>
          <cell r="B2594" t="str">
            <v>TIKI RTL REG BPP-TANGERANG</v>
          </cell>
          <cell r="C2594" t="str">
            <v>NHD</v>
          </cell>
        </row>
        <row r="2595">
          <cell r="A2595" t="str">
            <v>BIA-EKS-1200</v>
          </cell>
          <cell r="B2595" t="str">
            <v>TIKI RTL REG BPP-TANJUNG SELOR</v>
          </cell>
          <cell r="C2595" t="str">
            <v>NHD</v>
          </cell>
        </row>
        <row r="2596">
          <cell r="A2596" t="str">
            <v>BIA-EKS-1201</v>
          </cell>
          <cell r="B2596" t="str">
            <v>TIKI RTL REG BPP-TANJUNG TABALONG</v>
          </cell>
          <cell r="C2596" t="str">
            <v>NHD</v>
          </cell>
        </row>
        <row r="2597">
          <cell r="A2597" t="str">
            <v>BIA-EKS-1202</v>
          </cell>
          <cell r="B2597" t="str">
            <v>TIKI RTL REG BPP-TAPIN</v>
          </cell>
          <cell r="C2597" t="str">
            <v>NHD</v>
          </cell>
        </row>
        <row r="2598">
          <cell r="A2598" t="str">
            <v>BIA-EKS-1203</v>
          </cell>
          <cell r="B2598" t="str">
            <v>TIKI RTL REG BPP-TARAKAN</v>
          </cell>
          <cell r="C2598" t="str">
            <v>NHD</v>
          </cell>
        </row>
        <row r="2599">
          <cell r="A2599" t="str">
            <v>BIA-EKS-1204</v>
          </cell>
          <cell r="B2599" t="str">
            <v>TIKI RTL REG BPP-TENGGARONG</v>
          </cell>
          <cell r="C2599" t="str">
            <v>NHD</v>
          </cell>
        </row>
        <row r="2600">
          <cell r="A2600" t="str">
            <v>BIA-EKS-1205</v>
          </cell>
          <cell r="B2600" t="str">
            <v>TIKI RTL REG BPP-TIMIKA</v>
          </cell>
          <cell r="C2600" t="str">
            <v>NHD</v>
          </cell>
        </row>
        <row r="2601">
          <cell r="A2601" t="str">
            <v>BIA-EKS-1206</v>
          </cell>
          <cell r="B2601" t="str">
            <v>TIKI RTL REG BPP-WARINGIN BARAT</v>
          </cell>
          <cell r="C2601" t="str">
            <v>NHD</v>
          </cell>
        </row>
        <row r="2602">
          <cell r="A2602" t="str">
            <v>BIA-EKS-1207</v>
          </cell>
          <cell r="B2602" t="str">
            <v>TIKI RTL REG BPP-WARINGIN TIMUR</v>
          </cell>
          <cell r="C2602" t="str">
            <v>NHD</v>
          </cell>
        </row>
        <row r="2603">
          <cell r="A2603" t="str">
            <v>BIA-EKS-1208</v>
          </cell>
          <cell r="B2603" t="str">
            <v>TIKI RTL REG BPP-YOGYAKARTA</v>
          </cell>
          <cell r="C2603" t="str">
            <v>NHD</v>
          </cell>
        </row>
        <row r="2604">
          <cell r="A2604" t="str">
            <v>BIA-EKS-1209</v>
          </cell>
          <cell r="B2604" t="str">
            <v>TIKI RTL ECO BPP-MALANG</v>
          </cell>
          <cell r="C2604" t="str">
            <v>NHD</v>
          </cell>
        </row>
        <row r="2605">
          <cell r="A2605" t="str">
            <v>BIA-EKS-1210</v>
          </cell>
          <cell r="B2605" t="str">
            <v>TIKI RTL ONS BPP-BALIKPAPAN</v>
          </cell>
          <cell r="C2605" t="str">
            <v>NHD</v>
          </cell>
        </row>
        <row r="2606">
          <cell r="A2606" t="str">
            <v>BIA-EKS-1211</v>
          </cell>
          <cell r="B2606" t="str">
            <v>TIKI RTL ONS BPP-BANDA ACEH</v>
          </cell>
          <cell r="C2606" t="str">
            <v>NHD</v>
          </cell>
        </row>
        <row r="2607">
          <cell r="A2607" t="str">
            <v>BIA-EKS-1212</v>
          </cell>
          <cell r="B2607" t="str">
            <v>TIKI RTL ONS BPP-BANDAR LAMPUNG</v>
          </cell>
          <cell r="C2607" t="str">
            <v>NHD</v>
          </cell>
        </row>
        <row r="2608">
          <cell r="A2608" t="str">
            <v>BIA-EKS-1213</v>
          </cell>
          <cell r="B2608" t="str">
            <v>TIKI RTL ONS BPP-BANDUNG</v>
          </cell>
          <cell r="C2608" t="str">
            <v>NHD</v>
          </cell>
        </row>
        <row r="2609">
          <cell r="A2609" t="str">
            <v>BIA-EKS-1214</v>
          </cell>
          <cell r="B2609" t="str">
            <v>TIKI RTL ONS BPP-BANJARMASIN</v>
          </cell>
          <cell r="C2609" t="str">
            <v>NHD</v>
          </cell>
        </row>
        <row r="2610">
          <cell r="A2610" t="str">
            <v>BIA-EKS-1215</v>
          </cell>
          <cell r="B2610" t="str">
            <v>TIKI RTL ONS BPP-BATAM</v>
          </cell>
          <cell r="C2610" t="str">
            <v>NHD</v>
          </cell>
        </row>
        <row r="2611">
          <cell r="A2611" t="str">
            <v>BIA-EKS-1216</v>
          </cell>
          <cell r="B2611" t="str">
            <v>TIKI RTL ONS BPP-BEKASI</v>
          </cell>
          <cell r="C2611" t="str">
            <v>NHD</v>
          </cell>
        </row>
        <row r="2612">
          <cell r="A2612" t="str">
            <v>BIA-EKS-1217</v>
          </cell>
          <cell r="B2612" t="str">
            <v>TIKI RTL ONS BPP-BENGKULU</v>
          </cell>
          <cell r="C2612" t="str">
            <v>NHD</v>
          </cell>
        </row>
        <row r="2613">
          <cell r="A2613" t="str">
            <v>BIA-EKS-1218</v>
          </cell>
          <cell r="B2613" t="str">
            <v>TIKI RTL ONS BPP-BERAU</v>
          </cell>
          <cell r="C2613" t="str">
            <v>NHD</v>
          </cell>
        </row>
        <row r="2614">
          <cell r="A2614" t="str">
            <v>BIA-EKS-1219</v>
          </cell>
          <cell r="B2614" t="str">
            <v>TIKI RTL ONS BPP-BOGOR</v>
          </cell>
          <cell r="C2614" t="str">
            <v>NHD</v>
          </cell>
        </row>
        <row r="2615">
          <cell r="A2615" t="str">
            <v>BIA-EKS-1220</v>
          </cell>
          <cell r="B2615" t="str">
            <v>TIKI RTL ONS BPP-BONTANG</v>
          </cell>
          <cell r="C2615" t="str">
            <v>NHD</v>
          </cell>
        </row>
        <row r="2616">
          <cell r="A2616" t="str">
            <v>BIA-EKS-1221</v>
          </cell>
          <cell r="B2616" t="str">
            <v>TIKI RTL ONS BPP-DENPASAR</v>
          </cell>
          <cell r="C2616" t="str">
            <v>NHD</v>
          </cell>
        </row>
        <row r="2617">
          <cell r="A2617" t="str">
            <v>BIA-EKS-1222</v>
          </cell>
          <cell r="B2617" t="str">
            <v>TIKI RTL ONS BPP-DEPOK</v>
          </cell>
          <cell r="C2617" t="str">
            <v>NHD</v>
          </cell>
        </row>
        <row r="2618">
          <cell r="A2618" t="str">
            <v>BIA-EKS-1223</v>
          </cell>
          <cell r="B2618" t="str">
            <v>TIKI RTL ONS BPP-JAKARTA</v>
          </cell>
          <cell r="C2618" t="str">
            <v>NHD</v>
          </cell>
        </row>
        <row r="2619">
          <cell r="A2619" t="str">
            <v>BIA-EKS-1224</v>
          </cell>
          <cell r="B2619" t="str">
            <v>TIKI RTL ONS BPP-JAMBI</v>
          </cell>
          <cell r="C2619" t="str">
            <v>NHD</v>
          </cell>
        </row>
        <row r="2620">
          <cell r="A2620" t="str">
            <v>BIA-EKS-1225</v>
          </cell>
          <cell r="B2620" t="str">
            <v>TIKI RTL ONS BPP-MAKASSAR</v>
          </cell>
          <cell r="C2620" t="str">
            <v>NHD</v>
          </cell>
        </row>
        <row r="2621">
          <cell r="A2621" t="str">
            <v>BIA-EKS-1226</v>
          </cell>
          <cell r="B2621" t="str">
            <v>TIKI RTL ONS BPP-MANADO</v>
          </cell>
          <cell r="C2621" t="str">
            <v>NHD</v>
          </cell>
        </row>
        <row r="2622">
          <cell r="A2622" t="str">
            <v>BIA-EKS-1227</v>
          </cell>
          <cell r="B2622" t="str">
            <v>TIKI RTL ONS BPP-MEDAN</v>
          </cell>
          <cell r="C2622" t="str">
            <v>NHD</v>
          </cell>
        </row>
        <row r="2623">
          <cell r="A2623" t="str">
            <v>BIA-EKS-1228</v>
          </cell>
          <cell r="B2623" t="str">
            <v>TIKI RTL ONS BPP-PADANG</v>
          </cell>
          <cell r="C2623" t="str">
            <v>NHD</v>
          </cell>
        </row>
        <row r="2624">
          <cell r="A2624" t="str">
            <v>BIA-EKS-1229</v>
          </cell>
          <cell r="B2624" t="str">
            <v>TIKI RTL ONS BPP-PALANGKARAYA</v>
          </cell>
          <cell r="C2624" t="str">
            <v>NHD</v>
          </cell>
        </row>
        <row r="2625">
          <cell r="A2625" t="str">
            <v>BIA-EKS-1230</v>
          </cell>
          <cell r="B2625" t="str">
            <v>TIKI RTL ONS BPP-PALEMBANG</v>
          </cell>
          <cell r="C2625" t="str">
            <v>NHD</v>
          </cell>
        </row>
        <row r="2626">
          <cell r="A2626" t="str">
            <v>BIA-EKS-1231</v>
          </cell>
          <cell r="B2626" t="str">
            <v>TIKI RTL ONS BPP-PANGKAL PINANG</v>
          </cell>
          <cell r="C2626" t="str">
            <v>NHD</v>
          </cell>
        </row>
        <row r="2627">
          <cell r="A2627" t="str">
            <v>BIA-EKS-1232</v>
          </cell>
          <cell r="B2627" t="str">
            <v>TIKI RTL ONS BPP-PEKANBARU</v>
          </cell>
          <cell r="C2627" t="str">
            <v>NHD</v>
          </cell>
        </row>
        <row r="2628">
          <cell r="A2628" t="str">
            <v>BIA-EKS-1233</v>
          </cell>
          <cell r="B2628" t="str">
            <v>TIKI RTL ONS BPP-PENAJAM</v>
          </cell>
          <cell r="C2628" t="str">
            <v>NHD</v>
          </cell>
        </row>
        <row r="2629">
          <cell r="A2629" t="str">
            <v>BIA-EKS-1234</v>
          </cell>
          <cell r="B2629" t="str">
            <v>TIKI RTL ONS BPP-PONTIANAK</v>
          </cell>
          <cell r="C2629" t="str">
            <v>NHD</v>
          </cell>
        </row>
        <row r="2630">
          <cell r="A2630" t="str">
            <v>BIA-EKS-1235</v>
          </cell>
          <cell r="B2630" t="str">
            <v>TIKI RTL ONS BPP-SAMARINDA</v>
          </cell>
          <cell r="C2630" t="str">
            <v>NHD</v>
          </cell>
        </row>
        <row r="2631">
          <cell r="A2631" t="str">
            <v>BIA-EKS-1236</v>
          </cell>
          <cell r="B2631" t="str">
            <v>TIKI RTL ONS BPP-SANGATTA</v>
          </cell>
          <cell r="C2631" t="str">
            <v>NHD</v>
          </cell>
        </row>
        <row r="2632">
          <cell r="A2632" t="str">
            <v>BIA-EKS-1237</v>
          </cell>
          <cell r="B2632" t="str">
            <v>TIKI RTL ONS BPP-SEMARANG</v>
          </cell>
          <cell r="C2632" t="str">
            <v>NHD</v>
          </cell>
        </row>
        <row r="2633">
          <cell r="A2633" t="str">
            <v>BIA-EKS-1238</v>
          </cell>
          <cell r="B2633" t="str">
            <v>TIKI RTL ONS BPP-SERANG</v>
          </cell>
          <cell r="C2633" t="str">
            <v>NHD</v>
          </cell>
        </row>
        <row r="2634">
          <cell r="A2634" t="str">
            <v>BIA-EKS-1239</v>
          </cell>
          <cell r="B2634" t="str">
            <v>TIKI RTL ONS BPP-SURABAYA</v>
          </cell>
          <cell r="C2634" t="str">
            <v>NHD</v>
          </cell>
        </row>
        <row r="2635">
          <cell r="A2635" t="str">
            <v>BIA-EKS-1240</v>
          </cell>
          <cell r="B2635" t="str">
            <v>PANDU - PAKET SBY - JAKARTA</v>
          </cell>
          <cell r="C2635" t="str">
            <v>NHD</v>
          </cell>
        </row>
        <row r="2636">
          <cell r="A2636" t="str">
            <v>BIA-EKS-1241</v>
          </cell>
          <cell r="B2636" t="str">
            <v>PENGIRIMAN KG VIA UDARA PALU KE MKS</v>
          </cell>
          <cell r="C2636" t="str">
            <v>NHD</v>
          </cell>
        </row>
        <row r="2637">
          <cell r="A2637" t="str">
            <v>BIA-EKS-1242</v>
          </cell>
          <cell r="B2637" t="str">
            <v>PENGIRIMAN KG VIA UDARA TERNATE KE MKS</v>
          </cell>
          <cell r="C2637" t="str">
            <v>NHD</v>
          </cell>
        </row>
        <row r="2638">
          <cell r="A2638" t="str">
            <v>BIA-EKS-1243</v>
          </cell>
          <cell r="B2638" t="str">
            <v>PENGIRIMAN KG VIA UDARA GORONTALO KE MKS</v>
          </cell>
          <cell r="C2638" t="str">
            <v>NHD</v>
          </cell>
        </row>
        <row r="2639">
          <cell r="A2639" t="str">
            <v>BIA-EKS-1244</v>
          </cell>
          <cell r="B2639" t="str">
            <v>LJR-PAKET MAKASSAR ALL SULAWESI</v>
          </cell>
          <cell r="C2639" t="str">
            <v>NHD</v>
          </cell>
        </row>
        <row r="2640">
          <cell r="A2640" t="str">
            <v>BIA-EKS-1245</v>
          </cell>
          <cell r="B2640" t="str">
            <v>NCS-PAKET MAKASSAR ALL SULAWESI</v>
          </cell>
          <cell r="C2640" t="str">
            <v>NHD</v>
          </cell>
        </row>
        <row r="2641">
          <cell r="A2641" t="str">
            <v>BIA-EKS-1246</v>
          </cell>
          <cell r="B2641" t="str">
            <v>MOSTRANS CDD JKT-SERANG</v>
          </cell>
          <cell r="C2641" t="str">
            <v>NHD</v>
          </cell>
        </row>
        <row r="2642">
          <cell r="A2642" t="str">
            <v>BIA-EKS-1247</v>
          </cell>
          <cell r="B2642" t="str">
            <v>EUROSPEED LCL SBY-MAKASSAR</v>
          </cell>
          <cell r="C2642" t="str">
            <v>NHD</v>
          </cell>
        </row>
        <row r="2643">
          <cell r="A2643" t="str">
            <v>BIA-EKS-1248</v>
          </cell>
          <cell r="B2643" t="str">
            <v>EUROSPEED LCL SBY-MANADO</v>
          </cell>
          <cell r="C2643" t="str">
            <v>NHD</v>
          </cell>
        </row>
        <row r="2644">
          <cell r="A2644" t="str">
            <v>BIA-EKS-1249</v>
          </cell>
          <cell r="B2644" t="str">
            <v>EUROSPEED LCL SBY-PALU / RS UNDATA</v>
          </cell>
          <cell r="C2644" t="str">
            <v>NHD</v>
          </cell>
        </row>
        <row r="2645">
          <cell r="A2645" t="str">
            <v>BIA-EKS-1250</v>
          </cell>
          <cell r="B2645" t="str">
            <v>EUROSPEED LCL SBY-KENDARI/RSUD KOTA</v>
          </cell>
          <cell r="C2645" t="str">
            <v>NHD</v>
          </cell>
        </row>
        <row r="2646">
          <cell r="A2646" t="str">
            <v>BIA-EKS-1251</v>
          </cell>
          <cell r="B2646" t="str">
            <v>EUROSPEED LCL SBY-DENPASAR</v>
          </cell>
          <cell r="C2646" t="str">
            <v>NHD</v>
          </cell>
        </row>
        <row r="2647">
          <cell r="A2647" t="str">
            <v>BIA-EKS-1252</v>
          </cell>
          <cell r="B2647" t="str">
            <v>EUROSPEED LCL SBY-MATARAM</v>
          </cell>
          <cell r="C2647" t="str">
            <v>NHD</v>
          </cell>
        </row>
        <row r="2648">
          <cell r="A2648" t="str">
            <v>BIA-EKS-1253</v>
          </cell>
          <cell r="B2648" t="str">
            <v>EUROSPEED LCL SBY-PONTIANAK</v>
          </cell>
          <cell r="C2648" t="str">
            <v>NHD</v>
          </cell>
        </row>
        <row r="2649">
          <cell r="A2649" t="str">
            <v>BIA-EKS-1254</v>
          </cell>
          <cell r="B2649" t="str">
            <v>EUROSPEED LCL SBY-SAMARINDA</v>
          </cell>
          <cell r="C2649" t="str">
            <v>NHD</v>
          </cell>
        </row>
        <row r="2650">
          <cell r="A2650" t="str">
            <v>BIA-EKS-1255</v>
          </cell>
          <cell r="B2650" t="str">
            <v>EUROSPEED LCL SBY-PALANGKARAYA</v>
          </cell>
          <cell r="C2650" t="str">
            <v>NHD</v>
          </cell>
        </row>
        <row r="2651">
          <cell r="A2651" t="str">
            <v>BIA-EKS-1256</v>
          </cell>
          <cell r="B2651" t="str">
            <v>EUROSPEED LCL SBY-SAMPIT</v>
          </cell>
          <cell r="C2651" t="str">
            <v>NHD</v>
          </cell>
        </row>
        <row r="2652">
          <cell r="A2652" t="str">
            <v>BIA-EKS-1257</v>
          </cell>
          <cell r="B2652" t="str">
            <v>EUROSPEED LCL SBY-BANJARMASIN</v>
          </cell>
          <cell r="C2652" t="str">
            <v>NHD</v>
          </cell>
        </row>
        <row r="2653">
          <cell r="A2653" t="str">
            <v>BIA-EKS-1258</v>
          </cell>
          <cell r="B2653" t="str">
            <v>EUROSPEED LCL SBY-BALIKPAPAN</v>
          </cell>
          <cell r="C2653" t="str">
            <v>NHD</v>
          </cell>
        </row>
        <row r="2654">
          <cell r="A2654" t="str">
            <v>BIA-EKS-1259</v>
          </cell>
          <cell r="B2654" t="str">
            <v>EUROSPEED LCL SBY-TARAKAN</v>
          </cell>
          <cell r="C2654" t="str">
            <v>NHD</v>
          </cell>
        </row>
        <row r="2655">
          <cell r="A2655" t="str">
            <v>BIA-EKS-1260</v>
          </cell>
          <cell r="B2655" t="str">
            <v>EUROSPEED LCL SBY-NUNUKAN</v>
          </cell>
          <cell r="C2655" t="str">
            <v>NHD</v>
          </cell>
        </row>
        <row r="2656">
          <cell r="A2656" t="str">
            <v>BIA-EKS-1261</v>
          </cell>
          <cell r="B2656" t="str">
            <v>EUROSPEED LCL SBY-TERNATE/RSUD CHASAN</v>
          </cell>
          <cell r="C2656" t="str">
            <v>NHD</v>
          </cell>
        </row>
        <row r="2657">
          <cell r="A2657" t="str">
            <v>BIA-EKS-1262</v>
          </cell>
          <cell r="B2657" t="str">
            <v>EUROSPEED LCL SBY-WAINGAPU</v>
          </cell>
          <cell r="C2657" t="str">
            <v>NHD</v>
          </cell>
        </row>
        <row r="2658">
          <cell r="A2658" t="str">
            <v>BIA-EKS-1263</v>
          </cell>
          <cell r="B2658" t="str">
            <v>EUROSPEED LCL SBY-MINAHASA UTARA</v>
          </cell>
          <cell r="C2658" t="str">
            <v>NHD</v>
          </cell>
        </row>
        <row r="2659">
          <cell r="A2659" t="str">
            <v>BIA-EKS-1264</v>
          </cell>
          <cell r="B2659" t="str">
            <v>EUROSPEED LCL SBY-NABIRE</v>
          </cell>
          <cell r="C2659" t="str">
            <v>NHD</v>
          </cell>
        </row>
        <row r="2660">
          <cell r="A2660" t="str">
            <v>BIA-EKS-1265</v>
          </cell>
          <cell r="B2660" t="str">
            <v>EUROSPEED LCL SBY-PARIGI / RSUD ANUNTALOKO</v>
          </cell>
          <cell r="C2660" t="str">
            <v>NHD</v>
          </cell>
        </row>
        <row r="2661">
          <cell r="A2661" t="str">
            <v>BIA-EKS-1266</v>
          </cell>
          <cell r="B2661" t="str">
            <v>EUROSPEED LCL SBY-KUPANG</v>
          </cell>
          <cell r="C2661" t="str">
            <v>NHD</v>
          </cell>
        </row>
        <row r="2662">
          <cell r="A2662" t="str">
            <v>BIA-EKS-1267</v>
          </cell>
          <cell r="B2662" t="str">
            <v>EUROSPEED LCL SBY-GORONTALO/RSUD TOTOKABILA</v>
          </cell>
          <cell r="C2662" t="str">
            <v>NHD</v>
          </cell>
        </row>
        <row r="2663">
          <cell r="A2663" t="str">
            <v>BIA-EKS-1268</v>
          </cell>
          <cell r="B2663" t="str">
            <v>EUROSPEED LCL SBY-AMBON</v>
          </cell>
          <cell r="C2663" t="str">
            <v>NHD</v>
          </cell>
        </row>
        <row r="2664">
          <cell r="A2664" t="str">
            <v>BIA-EKS-1269</v>
          </cell>
          <cell r="B2664" t="str">
            <v>EUROSPEED LCL SBY-POHUWATO/RSUD BUMI PANUA</v>
          </cell>
          <cell r="C2664" t="str">
            <v>NHD</v>
          </cell>
        </row>
        <row r="2665">
          <cell r="A2665" t="str">
            <v>BIA-EKS-1270</v>
          </cell>
          <cell r="B2665" t="str">
            <v>EUROSPEED LCL SBY-TOBELO</v>
          </cell>
          <cell r="C2665" t="str">
            <v>NHD</v>
          </cell>
        </row>
        <row r="2666">
          <cell r="A2666" t="str">
            <v>BIA-EKS-1271</v>
          </cell>
          <cell r="B2666" t="str">
            <v>PENGIRIMAN KG VIA UDARA PALU KE SBY</v>
          </cell>
          <cell r="C2666" t="str">
            <v>NHD</v>
          </cell>
        </row>
        <row r="2667">
          <cell r="A2667" t="str">
            <v>BIA-EKS-1272</v>
          </cell>
          <cell r="B2667" t="str">
            <v>BJL LCL JKT - SUNGAILIAT</v>
          </cell>
          <cell r="C2667" t="str">
            <v>NHD</v>
          </cell>
        </row>
        <row r="2668">
          <cell r="A2668" t="str">
            <v>BIA-EKS-1273</v>
          </cell>
          <cell r="B2668" t="str">
            <v>BJL LCL JKT - PANGKAL PINANG</v>
          </cell>
          <cell r="C2668" t="str">
            <v>NHD</v>
          </cell>
        </row>
        <row r="2669">
          <cell r="A2669" t="str">
            <v>BIA-EKS-1274</v>
          </cell>
          <cell r="B2669" t="str">
            <v>SAMUDERA CDD SMG-DALAM SEMARANG</v>
          </cell>
          <cell r="C2669" t="str">
            <v>NHD</v>
          </cell>
        </row>
        <row r="2670">
          <cell r="A2670" t="str">
            <v>BIA-EKS-1275</v>
          </cell>
          <cell r="B2670" t="str">
            <v>SAMUDERA CDD SMG-SALATIGA</v>
          </cell>
          <cell r="C2670" t="str">
            <v>NHD</v>
          </cell>
        </row>
        <row r="2671">
          <cell r="A2671" t="str">
            <v>BIA-EKS-1276</v>
          </cell>
          <cell r="B2671" t="str">
            <v>SAMUDERA CDD SMG-PURWODADI</v>
          </cell>
          <cell r="C2671" t="str">
            <v>NHD</v>
          </cell>
        </row>
        <row r="2672">
          <cell r="A2672" t="str">
            <v>BIA-EKS-1277</v>
          </cell>
          <cell r="B2672" t="str">
            <v>SAMUDERA CDD SMG-KUDUS</v>
          </cell>
          <cell r="C2672" t="str">
            <v>NHD</v>
          </cell>
        </row>
        <row r="2673">
          <cell r="A2673" t="str">
            <v>BIA-EKS-1278</v>
          </cell>
          <cell r="B2673" t="str">
            <v>SAMUDERA CDD SMG-PATI</v>
          </cell>
          <cell r="C2673" t="str">
            <v>NHD</v>
          </cell>
        </row>
        <row r="2674">
          <cell r="A2674" t="str">
            <v>BIA-EKS-1279</v>
          </cell>
          <cell r="B2674" t="str">
            <v>SAMUDERA CDD SMG-DEMAK</v>
          </cell>
          <cell r="C2674" t="str">
            <v>NHD</v>
          </cell>
        </row>
        <row r="2675">
          <cell r="A2675" t="str">
            <v>BIA-EKS-1280</v>
          </cell>
          <cell r="B2675" t="str">
            <v>SAMUDERACDD SMG-AMBARAWA</v>
          </cell>
          <cell r="C2675" t="str">
            <v>NHD</v>
          </cell>
        </row>
        <row r="2676">
          <cell r="A2676" t="str">
            <v>BIA-EKS-1281</v>
          </cell>
          <cell r="B2676" t="str">
            <v>SAMUDERA CDD SMG-JEPARA</v>
          </cell>
          <cell r="C2676" t="str">
            <v>NHD</v>
          </cell>
        </row>
        <row r="2677">
          <cell r="A2677" t="str">
            <v>BIA-EKS-1282</v>
          </cell>
          <cell r="B2677" t="str">
            <v>SAMUDERA CDD SMG-MAGELANG</v>
          </cell>
          <cell r="C2677" t="str">
            <v>NHD</v>
          </cell>
        </row>
        <row r="2678">
          <cell r="A2678" t="str">
            <v>BIA-EKS-1283</v>
          </cell>
          <cell r="B2678" t="str">
            <v>SAMUDERA CDD SMG-TEMANGGUNG</v>
          </cell>
          <cell r="C2678" t="str">
            <v>NHD</v>
          </cell>
        </row>
        <row r="2679">
          <cell r="A2679" t="str">
            <v>BIA-EKS-1284</v>
          </cell>
          <cell r="B2679" t="str">
            <v>SAMUDERA CDD SMG-KLATEN</v>
          </cell>
          <cell r="C2679" t="str">
            <v>NHD</v>
          </cell>
        </row>
        <row r="2680">
          <cell r="A2680" t="str">
            <v>BIA-EKS-1285</v>
          </cell>
          <cell r="B2680" t="str">
            <v>SAMUDERA CDD SMG-KELET</v>
          </cell>
          <cell r="C2680" t="str">
            <v>NHD</v>
          </cell>
        </row>
        <row r="2681">
          <cell r="A2681" t="str">
            <v>BIA-EKS-1286</v>
          </cell>
          <cell r="B2681" t="str">
            <v>SAMUDERA CDD SMG-SURAKARTA/SOLO</v>
          </cell>
          <cell r="C2681" t="str">
            <v>NHD</v>
          </cell>
        </row>
        <row r="2682">
          <cell r="A2682" t="str">
            <v>BIA-EKS-1287</v>
          </cell>
          <cell r="B2682" t="str">
            <v>SAMUDERA CDD SMG-SUKOHARJO</v>
          </cell>
          <cell r="C2682" t="str">
            <v>NHD</v>
          </cell>
        </row>
        <row r="2683">
          <cell r="A2683" t="str">
            <v>BIA-EKS-1288</v>
          </cell>
          <cell r="B2683" t="str">
            <v>SAMUDERA CDD SMG-WONOSOBO</v>
          </cell>
          <cell r="C2683" t="str">
            <v>NHD</v>
          </cell>
        </row>
        <row r="2684">
          <cell r="A2684" t="str">
            <v>BIA-EKS-1289</v>
          </cell>
          <cell r="B2684" t="str">
            <v>SAMUDERA CDD SMG-YOGYAKARTA</v>
          </cell>
          <cell r="C2684" t="str">
            <v>NHD</v>
          </cell>
        </row>
        <row r="2685">
          <cell r="A2685" t="str">
            <v>BIA-EKS-1290</v>
          </cell>
          <cell r="B2685" t="str">
            <v>SAMUDERA CDD SMG-BANTUL</v>
          </cell>
          <cell r="C2685" t="str">
            <v>NHD</v>
          </cell>
        </row>
        <row r="2686">
          <cell r="A2686" t="str">
            <v>BIA-EKS-1291</v>
          </cell>
          <cell r="B2686" t="str">
            <v>SAMUDERA CDD SMG-WONOGIRI</v>
          </cell>
          <cell r="C2686" t="str">
            <v>NHD</v>
          </cell>
        </row>
        <row r="2687">
          <cell r="A2687" t="str">
            <v>BIA-EKS-1292</v>
          </cell>
          <cell r="B2687" t="str">
            <v>SAMUDERA CDD SMG-SRAGEN</v>
          </cell>
          <cell r="C2687" t="str">
            <v>NHD</v>
          </cell>
        </row>
        <row r="2688">
          <cell r="A2688" t="str">
            <v>BIA-EKS-1293</v>
          </cell>
          <cell r="B2688" t="str">
            <v>SAMUDERA CDD SMG-REMBANG</v>
          </cell>
          <cell r="C2688" t="str">
            <v>NHD</v>
          </cell>
        </row>
        <row r="2689">
          <cell r="A2689" t="str">
            <v>BIA-EKS-1294</v>
          </cell>
          <cell r="B2689" t="str">
            <v>SAMUDERA CDD SMG-PEMALANG</v>
          </cell>
          <cell r="C2689" t="str">
            <v>NHD</v>
          </cell>
        </row>
        <row r="2690">
          <cell r="A2690" t="str">
            <v>BIA-EKS-1295</v>
          </cell>
          <cell r="B2690" t="str">
            <v>SAMUDERA CDD SMG-WONOSARI</v>
          </cell>
          <cell r="C2690" t="str">
            <v>NHD</v>
          </cell>
        </row>
        <row r="2691">
          <cell r="A2691" t="str">
            <v>BIA-EKS-1296</v>
          </cell>
          <cell r="B2691" t="str">
            <v>SAMUDERA CDD SMG-BLORA</v>
          </cell>
          <cell r="C2691" t="str">
            <v>NHD</v>
          </cell>
        </row>
        <row r="2692">
          <cell r="A2692" t="str">
            <v>BIA-EKS-1297</v>
          </cell>
          <cell r="B2692" t="str">
            <v>SAMUDERA CDD SMG-TEGAL</v>
          </cell>
          <cell r="C2692" t="str">
            <v>NHD</v>
          </cell>
        </row>
        <row r="2693">
          <cell r="A2693" t="str">
            <v>BIA-EKS-1298</v>
          </cell>
          <cell r="B2693" t="str">
            <v>SAMUDERA CDD SMG-SLAWI</v>
          </cell>
          <cell r="C2693" t="str">
            <v>NHD</v>
          </cell>
        </row>
        <row r="2694">
          <cell r="A2694" t="str">
            <v>BIA-EKS-1299</v>
          </cell>
          <cell r="B2694" t="str">
            <v>SAMUDERA CDD SMG-PURWOKERTO</v>
          </cell>
          <cell r="C2694" t="str">
            <v>NHD</v>
          </cell>
        </row>
        <row r="2695">
          <cell r="A2695" t="str">
            <v>BIA-EKS-1300</v>
          </cell>
          <cell r="B2695" t="str">
            <v>SAMUDERA CDD SMG-BATANG</v>
          </cell>
          <cell r="C2695" t="str">
            <v>NHD</v>
          </cell>
        </row>
        <row r="2696">
          <cell r="A2696" t="str">
            <v>BIA-EKS-1301</v>
          </cell>
          <cell r="B2696" t="str">
            <v>SAMUDERA CDD SMG-PRACIMANTORO</v>
          </cell>
          <cell r="C2696" t="str">
            <v>NHD</v>
          </cell>
        </row>
        <row r="2697">
          <cell r="A2697" t="str">
            <v>BIA-EKS-1302</v>
          </cell>
          <cell r="B2697" t="str">
            <v>SAMUDERA CDD SMG-UNGARAN</v>
          </cell>
          <cell r="C2697" t="str">
            <v>NHD</v>
          </cell>
        </row>
        <row r="2698">
          <cell r="A2698" t="str">
            <v>BIA-EKS-1303</v>
          </cell>
          <cell r="B2698" t="str">
            <v>SAMUDERA CDD SMG-BAWEN</v>
          </cell>
          <cell r="C2698" t="str">
            <v>NHD</v>
          </cell>
        </row>
        <row r="2699">
          <cell r="A2699" t="str">
            <v>BIA-EKS-1304</v>
          </cell>
          <cell r="B2699" t="str">
            <v>SAMUDERA CDD SMG-WATES KULON PROGO</v>
          </cell>
          <cell r="C2699" t="str">
            <v>NHD</v>
          </cell>
        </row>
        <row r="2700">
          <cell r="A2700" t="str">
            <v>BIA-EKS-1305</v>
          </cell>
          <cell r="B2700" t="str">
            <v>SAMUDERA CDD SMG-PEKALONGAN</v>
          </cell>
          <cell r="C2700" t="str">
            <v>NHD</v>
          </cell>
        </row>
        <row r="2701">
          <cell r="A2701" t="str">
            <v>BIA-EKS-1306</v>
          </cell>
          <cell r="B2701" t="str">
            <v>SAMUDERA CDD SMG-PEKAJANGAN</v>
          </cell>
          <cell r="C2701" t="str">
            <v>NHD</v>
          </cell>
        </row>
        <row r="2702">
          <cell r="A2702" t="str">
            <v>BIA-EKS-1307</v>
          </cell>
          <cell r="B2702" t="str">
            <v>SAMUDERA CDD SMG-BANJARNEGARA</v>
          </cell>
          <cell r="C2702" t="str">
            <v>NHD</v>
          </cell>
        </row>
        <row r="2703">
          <cell r="A2703" t="str">
            <v>BIA-EKS-1308</v>
          </cell>
          <cell r="B2703" t="str">
            <v>SAMUDERA CDD SMG-PURBALINGGA</v>
          </cell>
          <cell r="C2703" t="str">
            <v>NHD</v>
          </cell>
        </row>
        <row r="2704">
          <cell r="A2704" t="str">
            <v>BIA-EKS-1309</v>
          </cell>
          <cell r="B2704" t="str">
            <v>SAMUDERA CDD SMG-CILACAP</v>
          </cell>
          <cell r="C2704" t="str">
            <v>NHD</v>
          </cell>
        </row>
        <row r="2705">
          <cell r="A2705" t="str">
            <v>BIA-EKS-1310</v>
          </cell>
          <cell r="B2705" t="str">
            <v>SAMUDERA CDD SMG-MAJENANG</v>
          </cell>
          <cell r="C2705" t="str">
            <v>NHD</v>
          </cell>
        </row>
        <row r="2706">
          <cell r="A2706" t="str">
            <v>BIA-EKS-1311</v>
          </cell>
          <cell r="B2706" t="str">
            <v>SAMUDERA CDD SMG-KAJEN</v>
          </cell>
          <cell r="C2706" t="str">
            <v>NHD</v>
          </cell>
        </row>
        <row r="2707">
          <cell r="A2707" t="str">
            <v>BIA-EKS-1312</v>
          </cell>
          <cell r="B2707" t="str">
            <v>SAMUDERA CDD SMG-KAYEN</v>
          </cell>
          <cell r="C2707" t="str">
            <v>NHD</v>
          </cell>
        </row>
        <row r="2708">
          <cell r="A2708" t="str">
            <v>BIA-EKS-1313</v>
          </cell>
          <cell r="B2708" t="str">
            <v>SAMUDERA CDD SMG-BOYOLALI</v>
          </cell>
          <cell r="C2708" t="str">
            <v>NHD</v>
          </cell>
        </row>
        <row r="2709">
          <cell r="A2709" t="str">
            <v>BIA-EKS-1314</v>
          </cell>
          <cell r="B2709" t="str">
            <v>SAMUDERACDD SMG-PURWOREJO</v>
          </cell>
          <cell r="C2709" t="str">
            <v>NHD</v>
          </cell>
        </row>
        <row r="2710">
          <cell r="A2710" t="str">
            <v>BIA-EKS-1315</v>
          </cell>
          <cell r="B2710" t="str">
            <v>J&amp;T L300 MKS- Bulukumba</v>
          </cell>
          <cell r="C2710" t="str">
            <v>NHD</v>
          </cell>
        </row>
        <row r="2711">
          <cell r="A2711" t="str">
            <v>BIA-EKS-1316</v>
          </cell>
          <cell r="B2711" t="str">
            <v>J&amp;T L300 MKS- BONE</v>
          </cell>
          <cell r="C2711" t="str">
            <v>NHD</v>
          </cell>
        </row>
        <row r="2712">
          <cell r="A2712" t="str">
            <v>BIA-EKS-1317</v>
          </cell>
          <cell r="B2712" t="str">
            <v>J&amp;T L300 MKS- BELOPA</v>
          </cell>
          <cell r="C2712" t="str">
            <v>NHD</v>
          </cell>
        </row>
        <row r="2713">
          <cell r="A2713" t="str">
            <v>BIA-EKS-1318</v>
          </cell>
          <cell r="B2713" t="str">
            <v>J&amp;T L300 MKS- PALOPO</v>
          </cell>
          <cell r="C2713" t="str">
            <v>NHD</v>
          </cell>
        </row>
        <row r="2714">
          <cell r="A2714" t="str">
            <v>BIA-EKS-1319</v>
          </cell>
          <cell r="B2714" t="str">
            <v>J&amp;T-PAKET MAKASSAR ALL SULAWESI</v>
          </cell>
          <cell r="C2714" t="str">
            <v>NHD</v>
          </cell>
        </row>
        <row r="2715">
          <cell r="A2715" t="str">
            <v>BIA-EKS-1320</v>
          </cell>
          <cell r="B2715" t="str">
            <v>KGX L300 MKS- BONE</v>
          </cell>
          <cell r="C2715" t="str">
            <v>NHD</v>
          </cell>
        </row>
        <row r="2716">
          <cell r="A2716" t="str">
            <v>BIA-EKS-1321</v>
          </cell>
          <cell r="B2716" t="str">
            <v>KGX L300 MKS- Bulukumba</v>
          </cell>
          <cell r="C2716" t="str">
            <v>NHD</v>
          </cell>
        </row>
        <row r="2717">
          <cell r="A2717" t="str">
            <v>BIA-EKS-1322</v>
          </cell>
          <cell r="B2717" t="str">
            <v>KGX CDE MKS- Belopa</v>
          </cell>
          <cell r="C2717" t="str">
            <v>NHD</v>
          </cell>
        </row>
        <row r="2718">
          <cell r="A2718" t="str">
            <v>BIA-EKS-1323</v>
          </cell>
          <cell r="B2718" t="str">
            <v>KGX CDE MKS- Palopo</v>
          </cell>
          <cell r="C2718" t="str">
            <v>NHD</v>
          </cell>
        </row>
        <row r="2719">
          <cell r="A2719" t="str">
            <v>BIA-EKS-1324</v>
          </cell>
          <cell r="B2719" t="str">
            <v>KGX CDE MKS- Bone</v>
          </cell>
          <cell r="C2719" t="str">
            <v>NHD</v>
          </cell>
        </row>
        <row r="2720">
          <cell r="A2720" t="str">
            <v>BIA-EKS-1325</v>
          </cell>
          <cell r="B2720" t="str">
            <v>KGX CDE MKS- Bulukumba</v>
          </cell>
          <cell r="C2720" t="str">
            <v>NHD</v>
          </cell>
        </row>
        <row r="2721">
          <cell r="A2721" t="str">
            <v>BIA-EKS-1326</v>
          </cell>
          <cell r="B2721" t="str">
            <v>KGX-PAKET MAKASSAR ALL SULAWESI</v>
          </cell>
          <cell r="C2721" t="str">
            <v>NHD</v>
          </cell>
        </row>
        <row r="2722">
          <cell r="A2722" t="str">
            <v>BIA-EKS-1327</v>
          </cell>
          <cell r="B2722" t="str">
            <v>Pengiriman Mesin HD DARI RS DOK II JYP ke SBY</v>
          </cell>
          <cell r="C2722" t="str">
            <v>NHD</v>
          </cell>
        </row>
        <row r="2723">
          <cell r="A2723" t="str">
            <v>BIA-EKS-1328</v>
          </cell>
          <cell r="B2723" t="str">
            <v>Pengiriman kg Via Udara MKS ke SBY</v>
          </cell>
          <cell r="C2723" t="str">
            <v>NHD</v>
          </cell>
        </row>
        <row r="2724">
          <cell r="A2724" t="str">
            <v>BIA-EKS-1329</v>
          </cell>
          <cell r="B2724" t="str">
            <v>P.M. HD+ RO DARI RS DOK II JYP ke RSUD ABEPURA JYP</v>
          </cell>
          <cell r="C2724" t="str">
            <v>NHD</v>
          </cell>
        </row>
        <row r="2725">
          <cell r="A2725" t="str">
            <v>BIA-EKS-1330</v>
          </cell>
          <cell r="B2725" t="str">
            <v>EUROSPEED LCL SBY-GORONTALO / BOALEMO</v>
          </cell>
          <cell r="C2725" t="str">
            <v>NHD</v>
          </cell>
        </row>
        <row r="2726">
          <cell r="A2726" t="str">
            <v>BIA-EKS-1331</v>
          </cell>
          <cell r="B2726" t="str">
            <v>BELITUNG LCL JKT - BELITUNG</v>
          </cell>
          <cell r="C2726" t="str">
            <v>NHD</v>
          </cell>
        </row>
        <row r="2727">
          <cell r="A2727" t="str">
            <v>BIA-EKS-1332</v>
          </cell>
          <cell r="B2727" t="str">
            <v>BNR FUSO LPG-CIKUPA</v>
          </cell>
          <cell r="C2727" t="str">
            <v>NHD</v>
          </cell>
        </row>
        <row r="2728">
          <cell r="A2728" t="str">
            <v>BIA-EKS-1333</v>
          </cell>
          <cell r="B2728" t="str">
            <v>BNR FUSO LPG-SUNTER</v>
          </cell>
          <cell r="C2728" t="str">
            <v>NHD</v>
          </cell>
        </row>
        <row r="2729">
          <cell r="A2729" t="str">
            <v>BIA-EKS-1334</v>
          </cell>
          <cell r="B2729" t="str">
            <v>BNR FUSO LPG-KEBUN JERUK</v>
          </cell>
          <cell r="C2729" t="str">
            <v>NHD</v>
          </cell>
        </row>
        <row r="2730">
          <cell r="A2730" t="str">
            <v>BIA-EKS-1335</v>
          </cell>
          <cell r="B2730" t="str">
            <v>PANDU SBY - MINAHASA</v>
          </cell>
          <cell r="C2730" t="str">
            <v>NHD</v>
          </cell>
        </row>
        <row r="2731">
          <cell r="A2731" t="str">
            <v>BIA-EKS-1336</v>
          </cell>
          <cell r="B2731" t="str">
            <v>EUROSPEED  - TERNATE KIRIM MESIN</v>
          </cell>
          <cell r="C2731" t="str">
            <v>NHD</v>
          </cell>
        </row>
        <row r="2732">
          <cell r="A2732" t="str">
            <v>BIA-EKS-1337</v>
          </cell>
          <cell r="B2732" t="str">
            <v>EUROSPEED  - WAINGAPU KIRIM MESIN</v>
          </cell>
          <cell r="C2732" t="str">
            <v>NHD</v>
          </cell>
        </row>
        <row r="2733">
          <cell r="A2733" t="str">
            <v>BIA-EKS-MULTI-0001</v>
          </cell>
          <cell r="B2733" t="str">
            <v>HDJ MULTI DROP JAKARTA</v>
          </cell>
          <cell r="C2733" t="str">
            <v>NHD</v>
          </cell>
        </row>
        <row r="2734">
          <cell r="A2734" t="str">
            <v>BIA-EKS-MULTI-0002</v>
          </cell>
          <cell r="B2734" t="str">
            <v>INDOJASA MULTI DROP JAKARTA</v>
          </cell>
          <cell r="C2734" t="str">
            <v>NHD</v>
          </cell>
        </row>
        <row r="2735">
          <cell r="A2735" t="str">
            <v>BIA-EKS-MULTI-0003</v>
          </cell>
          <cell r="B2735" t="str">
            <v>MTI MULTI DROP JAKARTA</v>
          </cell>
          <cell r="C2735" t="str">
            <v>NHD</v>
          </cell>
        </row>
        <row r="2736">
          <cell r="A2736" t="str">
            <v>BIA-EKS-MULTI-0004</v>
          </cell>
          <cell r="B2736" t="str">
            <v>MOSTRANS MULTI DROP JAKARTA</v>
          </cell>
          <cell r="C2736" t="str">
            <v>NHD</v>
          </cell>
        </row>
        <row r="2737">
          <cell r="A2737" t="str">
            <v>BIA-EKS-MULTI-0005</v>
          </cell>
          <cell r="B2737" t="str">
            <v>PIP MULTI DROP SEMARANG</v>
          </cell>
          <cell r="C2737" t="str">
            <v>NHD</v>
          </cell>
        </row>
        <row r="2738">
          <cell r="A2738" t="str">
            <v>BIA-EKS-MULTI-0006</v>
          </cell>
          <cell r="B2738" t="str">
            <v>DUNEX MULTI DROP SEMARANG</v>
          </cell>
          <cell r="C2738" t="str">
            <v>NHD</v>
          </cell>
        </row>
        <row r="2739">
          <cell r="A2739" t="str">
            <v>BIA-EKS-MULTI-0007</v>
          </cell>
          <cell r="B2739" t="str">
            <v>TSL MULTI DROP SEMARANG</v>
          </cell>
          <cell r="C2739" t="str">
            <v>NHD</v>
          </cell>
        </row>
        <row r="2740">
          <cell r="A2740" t="str">
            <v>BIA-EKS-MULTI-0008</v>
          </cell>
          <cell r="B2740" t="str">
            <v>HDJ MULTI DROP PURWOKERTO</v>
          </cell>
          <cell r="C2740" t="str">
            <v>NHD</v>
          </cell>
        </row>
        <row r="2741">
          <cell r="A2741" t="str">
            <v>BIA-EKS-MULTI-0009</v>
          </cell>
          <cell r="B2741" t="str">
            <v>BNR MULTI DROP LAMPUNG</v>
          </cell>
          <cell r="C2741" t="str">
            <v>NHD</v>
          </cell>
        </row>
        <row r="2742">
          <cell r="A2742" t="str">
            <v>BIA-EKS-MULTI-0010</v>
          </cell>
          <cell r="B2742" t="str">
            <v>HDJ MULTI DROP LAMPUNG</v>
          </cell>
          <cell r="C2742" t="str">
            <v>NHD</v>
          </cell>
        </row>
        <row r="2743">
          <cell r="A2743" t="str">
            <v>BIA-EKS-MULTI-0011</v>
          </cell>
          <cell r="B2743" t="str">
            <v>NCS MULTI DROP BALIKPAPAN</v>
          </cell>
          <cell r="C2743" t="str">
            <v>NHD</v>
          </cell>
        </row>
        <row r="2744">
          <cell r="A2744" t="str">
            <v>BIA-EKS-MULTI-0012</v>
          </cell>
          <cell r="B2744" t="str">
            <v>BE MULTI DROP BALIKPAPAN</v>
          </cell>
          <cell r="C2744" t="str">
            <v>NHD</v>
          </cell>
        </row>
        <row r="2745">
          <cell r="A2745" t="str">
            <v>BIA-EKS-MULTI-0013</v>
          </cell>
          <cell r="B2745" t="str">
            <v>TMG MULTI DROP BALIKPAPAN</v>
          </cell>
          <cell r="C2745" t="str">
            <v>NHD</v>
          </cell>
        </row>
        <row r="2746">
          <cell r="A2746" t="str">
            <v>BIA-EKS-MULTI-0014</v>
          </cell>
          <cell r="B2746" t="str">
            <v>SPM MULTI DROP MEDAN</v>
          </cell>
          <cell r="C2746" t="str">
            <v>NHD</v>
          </cell>
        </row>
        <row r="2747">
          <cell r="A2747" t="str">
            <v>BIA-EKS-MULTI-0015</v>
          </cell>
          <cell r="B2747" t="str">
            <v>LJR MULTI DROP MAKASSAR</v>
          </cell>
          <cell r="C2747" t="str">
            <v>NHD</v>
          </cell>
        </row>
        <row r="2748">
          <cell r="A2748" t="str">
            <v>BIA-EKS-MULTI-0016</v>
          </cell>
          <cell r="B2748" t="str">
            <v>NCS MULTI DROP MAKASSAR</v>
          </cell>
          <cell r="C2748" t="str">
            <v>NHD</v>
          </cell>
        </row>
        <row r="2749">
          <cell r="A2749" t="str">
            <v>BIA-EKS-MULTI-0017</v>
          </cell>
          <cell r="B2749" t="str">
            <v>PIP MULTI DROP SURABAYA</v>
          </cell>
          <cell r="C2749" t="str">
            <v>NHD</v>
          </cell>
        </row>
        <row r="2750">
          <cell r="A2750" t="str">
            <v>BIA-EKS-MULTI-0018</v>
          </cell>
          <cell r="B2750" t="str">
            <v>IB MULTI DROP SURABAYA</v>
          </cell>
          <cell r="C2750" t="str">
            <v>NHD</v>
          </cell>
        </row>
        <row r="2751">
          <cell r="A2751" t="str">
            <v>BIA-EKS-MULTI-0019</v>
          </cell>
          <cell r="B2751" t="str">
            <v>BONGKAR MUAT</v>
          </cell>
          <cell r="C2751" t="str">
            <v>NHD</v>
          </cell>
        </row>
        <row r="2752">
          <cell r="A2752" t="str">
            <v>BIA-EKS-MULTI-0020</v>
          </cell>
          <cell r="B2752" t="str">
            <v>BONGKAR MUAT  JAYAPURA-SEKITARNYA</v>
          </cell>
          <cell r="C2752" t="str">
            <v>NHD</v>
          </cell>
        </row>
        <row r="2753">
          <cell r="A2753" t="str">
            <v>BIA-EKS-MULTI-0021</v>
          </cell>
          <cell r="B2753" t="str">
            <v>PIP CDD JUMBO DALAM KOTA</v>
          </cell>
          <cell r="C2753" t="str">
            <v>NHD</v>
          </cell>
        </row>
        <row r="2754">
          <cell r="A2754" t="str">
            <v>BIA-EKS-MULTI-0022</v>
          </cell>
          <cell r="B2754" t="str">
            <v>PIP CDD JUMBO LUAR KOTA</v>
          </cell>
          <cell r="C2754" t="str">
            <v>NHD</v>
          </cell>
        </row>
        <row r="2755">
          <cell r="A2755" t="str">
            <v>BIA-EKS-MULTI-0023</v>
          </cell>
          <cell r="B2755" t="str">
            <v>PIP KIRIM MESIN</v>
          </cell>
          <cell r="C2755" t="str">
            <v>NHD</v>
          </cell>
        </row>
        <row r="2756">
          <cell r="A2756" t="str">
            <v>BIA-EKS-MULTI-0024</v>
          </cell>
          <cell r="B2756" t="str">
            <v>RAPI MULTI DROP SURABAYA</v>
          </cell>
          <cell r="C2756" t="str">
            <v>NHD</v>
          </cell>
        </row>
        <row r="2757">
          <cell r="A2757" t="str">
            <v>BIA-EKS-MULTI-0025</v>
          </cell>
          <cell r="B2757" t="str">
            <v>BONGKAR MUAT - CUSTOMER</v>
          </cell>
          <cell r="C2757" t="str">
            <v>NHD</v>
          </cell>
        </row>
        <row r="2758">
          <cell r="A2758" t="str">
            <v>BIA-EKS-MULTI-0026</v>
          </cell>
          <cell r="B2758" t="str">
            <v>BONGKAR MUAT  CUSTOMER JAYAPURA-SEKITARNYA</v>
          </cell>
          <cell r="C2758" t="str">
            <v>NHD</v>
          </cell>
        </row>
        <row r="2759">
          <cell r="A2759" t="str">
            <v>BIA-EKS-MULTI-0027</v>
          </cell>
          <cell r="B2759" t="str">
            <v>PIP MULTI DROP JAKARTA</v>
          </cell>
          <cell r="C2759" t="str">
            <v>NHD</v>
          </cell>
        </row>
        <row r="2760">
          <cell r="A2760" t="str">
            <v>BIA-EKS-MULTI-0028</v>
          </cell>
          <cell r="B2760" t="str">
            <v>IRON MULTI DROP JAKARTA</v>
          </cell>
          <cell r="C2760" t="str">
            <v>NHD</v>
          </cell>
        </row>
        <row r="2761">
          <cell r="A2761" t="str">
            <v>BIA-EKS-MULTI-0029</v>
          </cell>
          <cell r="B2761" t="str">
            <v>SAKA MULTI DROP JAKARTA</v>
          </cell>
          <cell r="C2761" t="str">
            <v>NHD</v>
          </cell>
        </row>
        <row r="2762">
          <cell r="A2762" t="str">
            <v>BIA-EKS-MULTI-0030</v>
          </cell>
          <cell r="B2762" t="str">
            <v>BNR MULTI DROP JAKARTA - LAMPUNG</v>
          </cell>
          <cell r="C2762" t="str">
            <v>NHD</v>
          </cell>
        </row>
        <row r="2763">
          <cell r="A2763" t="str">
            <v>BIA-EKS-MULTI-0031</v>
          </cell>
          <cell r="B2763" t="str">
            <v>PIP MULTI DROP JAKARTA</v>
          </cell>
          <cell r="C2763" t="str">
            <v>NHD</v>
          </cell>
        </row>
        <row r="2764">
          <cell r="A2764" t="str">
            <v>BIA-EKS-MULTI-0032</v>
          </cell>
          <cell r="B2764" t="str">
            <v>MOSTRANS MULTI DROP JAKARTA</v>
          </cell>
          <cell r="C2764" t="str">
            <v>NHD</v>
          </cell>
        </row>
        <row r="2765">
          <cell r="A2765" t="str">
            <v>BIA-EKS-MULTI-0033</v>
          </cell>
          <cell r="B2765" t="str">
            <v>HDJ MULTI DROP JAKARTA - MEDAN</v>
          </cell>
          <cell r="C2765" t="str">
            <v>NHD</v>
          </cell>
        </row>
        <row r="2766">
          <cell r="A2766" t="str">
            <v>BIA-EKS-MULTI-0034</v>
          </cell>
          <cell r="B2766" t="str">
            <v>HDJ MULTI DROP JAKARTA - LAMPUNG</v>
          </cell>
          <cell r="C2766" t="str">
            <v>NHD</v>
          </cell>
        </row>
        <row r="2767">
          <cell r="A2767" t="str">
            <v>BIA-EKS-MULTI-0035</v>
          </cell>
          <cell r="B2767" t="str">
            <v>HDJ MULTI DROP JAKARTA - SURABAYA</v>
          </cell>
          <cell r="C2767" t="str">
            <v>NHD</v>
          </cell>
        </row>
        <row r="2768">
          <cell r="A2768" t="str">
            <v>BIA-EKS-MULTI-0036</v>
          </cell>
          <cell r="B2768" t="str">
            <v>HDJ MULTI DROP JAKARTA - SEMARANG</v>
          </cell>
          <cell r="C2768" t="str">
            <v>NHD</v>
          </cell>
        </row>
        <row r="2769">
          <cell r="A2769" t="str">
            <v>BIA-EKS-MULTI-0037</v>
          </cell>
          <cell r="B2769" t="str">
            <v>HDJ MULTI DROP JAKARTA - BANDUNG</v>
          </cell>
          <cell r="C2769" t="str">
            <v>NHD</v>
          </cell>
        </row>
        <row r="2770">
          <cell r="A2770" t="str">
            <v>BIA-EKS-MULTI-0038</v>
          </cell>
          <cell r="B2770" t="str">
            <v>HDJ MULTI DROP JAKARTA - PURWOKERTO</v>
          </cell>
          <cell r="C2770" t="str">
            <v>NHD</v>
          </cell>
        </row>
        <row r="2771">
          <cell r="A2771" t="str">
            <v>BIA-EKS-MULTI-0039</v>
          </cell>
          <cell r="B2771" t="str">
            <v>IB MULTI DROP JAKARTA - SURABAYA</v>
          </cell>
          <cell r="C2771" t="str">
            <v>NHD</v>
          </cell>
        </row>
        <row r="2772">
          <cell r="A2772" t="str">
            <v>BIA-EKS-MULTI-0040</v>
          </cell>
          <cell r="B2772" t="str">
            <v>IB MULTI DROP JAKARTA - BANDUNG</v>
          </cell>
          <cell r="C2772" t="str">
            <v>NHD</v>
          </cell>
        </row>
        <row r="2773">
          <cell r="A2773" t="str">
            <v>BIA-EKS-MULTI-0041</v>
          </cell>
          <cell r="B2773" t="str">
            <v>IB MULTI DROP JAKARTA - SEMARANG</v>
          </cell>
          <cell r="C2773" t="str">
            <v>NHD</v>
          </cell>
        </row>
        <row r="2774">
          <cell r="A2774" t="str">
            <v>BIA-EKS-MULTI-0042</v>
          </cell>
          <cell r="B2774" t="str">
            <v>MTI MULTI DROP JAKARTA - BANDUNG</v>
          </cell>
          <cell r="C2774" t="str">
            <v>NHD</v>
          </cell>
        </row>
        <row r="2775">
          <cell r="A2775" t="str">
            <v>BIA-EKS-MULTI-0043</v>
          </cell>
          <cell r="B2775" t="str">
            <v>MTI MULTI DROP JAKARTA - SURABAYA</v>
          </cell>
          <cell r="C2775" t="str">
            <v>NHD</v>
          </cell>
        </row>
        <row r="2776">
          <cell r="A2776" t="str">
            <v>BIA-EKS-MULTI-0044</v>
          </cell>
          <cell r="B2776" t="str">
            <v>INDOJASA MULTI DROP JAKARTA - BALIKPAPAN</v>
          </cell>
          <cell r="C2776" t="str">
            <v>NHD</v>
          </cell>
        </row>
        <row r="2777">
          <cell r="A2777" t="str">
            <v>BIA-EKS-MULTI-0045</v>
          </cell>
          <cell r="B2777" t="str">
            <v>INDOJASA MULTI DROP JAKARTA - MAKASSAR</v>
          </cell>
          <cell r="C2777" t="str">
            <v>NHD</v>
          </cell>
        </row>
        <row r="2778">
          <cell r="A2778" t="str">
            <v>BIA-EKS-MULTI-0046</v>
          </cell>
          <cell r="B2778" t="str">
            <v>INDOJASA MULTI DROP JAKARTA - MEDAN</v>
          </cell>
          <cell r="C2778" t="str">
            <v>NHD</v>
          </cell>
        </row>
        <row r="2779">
          <cell r="A2779" t="str">
            <v>BIA-EKS-MULTI-0047</v>
          </cell>
          <cell r="B2779" t="str">
            <v>INDOJASA MULTI DROP JAKARTA - BALIKPAPAN</v>
          </cell>
          <cell r="C2779" t="str">
            <v>NHD</v>
          </cell>
        </row>
        <row r="2780">
          <cell r="A2780" t="str">
            <v>BIA-EKS-MULTI-0048</v>
          </cell>
          <cell r="B2780" t="str">
            <v>INDOJASA MULTI DROP JAKARTA - PONTIANAK</v>
          </cell>
          <cell r="C2780" t="str">
            <v>NHD</v>
          </cell>
        </row>
        <row r="2781">
          <cell r="A2781" t="str">
            <v>BIA-EKS-MULTI-0049</v>
          </cell>
          <cell r="B2781" t="str">
            <v>MOSTRANS MULTI DROP JAKARTA - LAMPUNG</v>
          </cell>
          <cell r="C2781" t="str">
            <v>NHD</v>
          </cell>
        </row>
        <row r="2782">
          <cell r="A2782" t="str">
            <v>BIA-EKS-MULTI-0050</v>
          </cell>
          <cell r="B2782" t="str">
            <v>MOSTRANS MULTI DROP JAKARTA - SURABAYA</v>
          </cell>
          <cell r="C2782" t="str">
            <v>NHD</v>
          </cell>
        </row>
        <row r="2783">
          <cell r="A2783" t="str">
            <v>BIA-EKS-MULTI-0051</v>
          </cell>
          <cell r="B2783" t="str">
            <v>MOSTRANS MULTI DROP JAKARTA - SEMARANG</v>
          </cell>
          <cell r="C2783" t="str">
            <v>NHD</v>
          </cell>
        </row>
        <row r="2784">
          <cell r="A2784" t="str">
            <v>BIA-EKS-MULTI-0052</v>
          </cell>
          <cell r="B2784" t="str">
            <v>MOSTRANS MULTI DROP JAKARTA - BANDUNG</v>
          </cell>
          <cell r="C2784" t="str">
            <v>NHD</v>
          </cell>
        </row>
        <row r="2785">
          <cell r="A2785" t="str">
            <v>BIA-EKS-MULTI-0053</v>
          </cell>
          <cell r="B2785" t="str">
            <v>INDOJASA MULTI DROP JAKARTA</v>
          </cell>
          <cell r="C2785" t="str">
            <v>NHD</v>
          </cell>
        </row>
        <row r="2786">
          <cell r="A2786" t="str">
            <v>BIA-EKS-MULTI-0054</v>
          </cell>
          <cell r="B2786" t="str">
            <v>MTI MULTI DROP JAKARTA</v>
          </cell>
          <cell r="C2786" t="str">
            <v>NHD</v>
          </cell>
        </row>
        <row r="2787">
          <cell r="A2787" t="str">
            <v>BIA-EKS-MULTI-0055</v>
          </cell>
          <cell r="B2787" t="str">
            <v>IB MULTI DROP JAKARTA</v>
          </cell>
          <cell r="C2787" t="str">
            <v>NHD</v>
          </cell>
        </row>
        <row r="2788">
          <cell r="A2788" t="str">
            <v>BIA-EKS-MULTI-0056</v>
          </cell>
          <cell r="B2788" t="str">
            <v>HDJ MULTI DROP JAKARTA</v>
          </cell>
          <cell r="C2788" t="str">
            <v>NHD</v>
          </cell>
        </row>
        <row r="2789">
          <cell r="A2789" t="str">
            <v>BIA-EKS-MULTI-0057</v>
          </cell>
          <cell r="B2789" t="str">
            <v>BNR MULTI DROP JAKARTA</v>
          </cell>
          <cell r="C2789" t="str">
            <v>NHD</v>
          </cell>
        </row>
        <row r="2790">
          <cell r="A2790" t="str">
            <v>BIA-EKS-MULTI-0058</v>
          </cell>
          <cell r="B2790" t="str">
            <v>SAKA MULTI DROP JAKARTA - BANDUNG</v>
          </cell>
          <cell r="C2790" t="str">
            <v>NHD</v>
          </cell>
        </row>
        <row r="2791">
          <cell r="A2791" t="str">
            <v>BIA-EKS-MULTI-0059</v>
          </cell>
          <cell r="B2791" t="str">
            <v>SAKA MULTI DROP JAKARTA - SEMARANG</v>
          </cell>
          <cell r="C2791" t="str">
            <v>NHD</v>
          </cell>
        </row>
        <row r="2792">
          <cell r="A2792" t="str">
            <v>BIA-EKS-MULTI-0060</v>
          </cell>
          <cell r="B2792" t="str">
            <v>SAKA MULTI DROP JAKARTA - SURABAYA</v>
          </cell>
          <cell r="C2792" t="str">
            <v>NHD</v>
          </cell>
        </row>
        <row r="2793">
          <cell r="A2793" t="str">
            <v>BIA-EKS-MULTI-0061</v>
          </cell>
          <cell r="B2793" t="str">
            <v>PIP MULTI DROP JAKARTA - BANDUNG</v>
          </cell>
          <cell r="C2793" t="str">
            <v>NHD</v>
          </cell>
        </row>
        <row r="2794">
          <cell r="A2794" t="str">
            <v>BIA-EKS-MULTI-0062</v>
          </cell>
          <cell r="B2794" t="str">
            <v>PIP MULTI DROP JAKARTA - SEMARANG</v>
          </cell>
          <cell r="C2794" t="str">
            <v>NHD</v>
          </cell>
        </row>
        <row r="2795">
          <cell r="A2795" t="str">
            <v>BIA-EKS-MULTI-0063</v>
          </cell>
          <cell r="B2795" t="str">
            <v>PIP MULTI DROP JAKARTA - SURABAYA</v>
          </cell>
          <cell r="C2795" t="str">
            <v>NHD</v>
          </cell>
        </row>
        <row r="2796">
          <cell r="A2796" t="str">
            <v>BIA-EKS-MULTI-0064</v>
          </cell>
          <cell r="B2796" t="str">
            <v>MOSTRANS MULTI DROP JAKARTA - PURWOKERTO</v>
          </cell>
          <cell r="C2796" t="str">
            <v>NHD</v>
          </cell>
        </row>
        <row r="2797">
          <cell r="A2797" t="str">
            <v>BIA-EKS-MULTI-0065</v>
          </cell>
          <cell r="B2797" t="str">
            <v>SAMUDERA MULTI DROP SEMARANG</v>
          </cell>
          <cell r="C2797" t="str">
            <v>NHD</v>
          </cell>
        </row>
        <row r="2798">
          <cell r="A2798" t="str">
            <v>BIA-EL-0061</v>
          </cell>
          <cell r="B2798" t="str">
            <v>PLC with SOFTWARE</v>
          </cell>
          <cell r="C2798" t="str">
            <v>NHD</v>
          </cell>
        </row>
        <row r="2799">
          <cell r="A2799" t="str">
            <v>BIA-EL-0146</v>
          </cell>
          <cell r="B2799" t="str">
            <v>LCD Colour Touch Screen</v>
          </cell>
          <cell r="C2799" t="str">
            <v>NHD</v>
          </cell>
        </row>
        <row r="2800">
          <cell r="A2800" t="str">
            <v>BIA-EL-0160</v>
          </cell>
          <cell r="B2800" t="str">
            <v>EPD Sensor</v>
          </cell>
          <cell r="C2800" t="str">
            <v>NHD</v>
          </cell>
        </row>
        <row r="2801">
          <cell r="A2801" t="str">
            <v>BIA-EL-0162</v>
          </cell>
          <cell r="B2801" t="str">
            <v>DRAIN SENSOR</v>
          </cell>
          <cell r="C2801" t="str">
            <v>NHD</v>
          </cell>
        </row>
        <row r="2802">
          <cell r="A2802" t="str">
            <v>BIA-EL-0163</v>
          </cell>
          <cell r="B2802" t="str">
            <v>System Inlet Pressure Sensor c/w Manifold</v>
          </cell>
          <cell r="C2802" t="str">
            <v>NHD</v>
          </cell>
        </row>
        <row r="2803">
          <cell r="A2803" t="str">
            <v>BIA-EL-0164</v>
          </cell>
          <cell r="B2803" t="str">
            <v>Main Driver Board AT-889</v>
          </cell>
          <cell r="C2803" t="str">
            <v>NHD</v>
          </cell>
        </row>
        <row r="2804">
          <cell r="A2804" t="str">
            <v>BIA-EL-0165</v>
          </cell>
          <cell r="B2804" t="str">
            <v>24 VDC Power Supply</v>
          </cell>
          <cell r="C2804" t="str">
            <v>NHD</v>
          </cell>
        </row>
        <row r="2805">
          <cell r="A2805" t="str">
            <v>BIA-FG-0034</v>
          </cell>
          <cell r="B2805" t="str">
            <v>PPM KIT</v>
          </cell>
          <cell r="C2805" t="str">
            <v>NHD</v>
          </cell>
        </row>
        <row r="2806">
          <cell r="A2806" t="str">
            <v>BIA-JA-001</v>
          </cell>
          <cell r="B2806" t="str">
            <v>1/4" JACO COM NUT</v>
          </cell>
          <cell r="C2806" t="str">
            <v>NHD</v>
          </cell>
        </row>
        <row r="2807">
          <cell r="A2807" t="str">
            <v>BIA-JA-0013</v>
          </cell>
          <cell r="B2807" t="str">
            <v>JACO ELBOW 3/8" FOR V4</v>
          </cell>
          <cell r="C2807" t="str">
            <v>NHD</v>
          </cell>
        </row>
        <row r="2808">
          <cell r="A2808" t="str">
            <v>BIA-JA-002</v>
          </cell>
          <cell r="B2808" t="str">
            <v>3/8" JACO COM NUT</v>
          </cell>
          <cell r="C2808" t="str">
            <v>NHD</v>
          </cell>
        </row>
        <row r="2809">
          <cell r="A2809" t="str">
            <v>BIA-MIS-0029</v>
          </cell>
          <cell r="B2809" t="str">
            <v>Mixing Tank Assembly</v>
          </cell>
          <cell r="C2809" t="str">
            <v>NHD</v>
          </cell>
        </row>
        <row r="2810">
          <cell r="A2810" t="str">
            <v>BIA-MN300YMCKO/4</v>
          </cell>
          <cell r="B2810" t="str">
            <v>NEO 300 YMCKO 300 Shot Dye Film</v>
          </cell>
          <cell r="C2810" t="str">
            <v>NHD</v>
          </cell>
        </row>
        <row r="2811">
          <cell r="A2811" t="str">
            <v>BIA-MP100YMCKO/4</v>
          </cell>
          <cell r="B2811" t="str">
            <v>100 Shot Color Film For Neo 100</v>
          </cell>
          <cell r="C2811" t="str">
            <v>NHD</v>
          </cell>
        </row>
        <row r="2812">
          <cell r="A2812" t="str">
            <v>BIA-PD225W-DT-PDA</v>
          </cell>
          <cell r="B2812" t="str">
            <v>Direct Thermal Printer PD225W-DT-PDA 6.5 INCH</v>
          </cell>
          <cell r="C2812" t="str">
            <v>NHD</v>
          </cell>
        </row>
        <row r="2813">
          <cell r="A2813" t="str">
            <v>BIA-PM-CHLF 4-60</v>
          </cell>
          <cell r="B2813" t="str">
            <v>POMPA CNP CHLF 4-60</v>
          </cell>
          <cell r="C2813" t="str">
            <v>NHD</v>
          </cell>
        </row>
        <row r="2814">
          <cell r="A2814" t="str">
            <v>BIA-PM-JPA 5-61</v>
          </cell>
          <cell r="B2814" t="str">
            <v/>
          </cell>
          <cell r="C2814" t="str">
            <v>NHD</v>
          </cell>
        </row>
        <row r="2815">
          <cell r="A2815" t="str">
            <v>BIA-PM-JPA 8-62</v>
          </cell>
          <cell r="B2815" t="str">
            <v>POMPA GRUNDFOS JPA 8-62</v>
          </cell>
          <cell r="C2815" t="str">
            <v>NHD</v>
          </cell>
        </row>
        <row r="2816">
          <cell r="A2816" t="str">
            <v>BIA-PRC ACD 15</v>
          </cell>
          <cell r="B2816" t="str">
            <v>PARACETIC ACID 15% @25KG</v>
          </cell>
          <cell r="C2816" t="str">
            <v>NHD</v>
          </cell>
        </row>
        <row r="2817">
          <cell r="A2817" t="str">
            <v>BIA-PRC ACD 5</v>
          </cell>
          <cell r="B2817" t="str">
            <v>PARACETIC ACID 5% @25KG</v>
          </cell>
          <cell r="C2817" t="str">
            <v>NHD</v>
          </cell>
        </row>
        <row r="2818">
          <cell r="A2818" t="str">
            <v>BIA-PVC-0044</v>
          </cell>
          <cell r="B2818" t="str">
            <v>Ventury Assembly Mixer 1/4"</v>
          </cell>
          <cell r="C2818" t="str">
            <v>NHD</v>
          </cell>
        </row>
        <row r="2819">
          <cell r="A2819" t="str">
            <v>BIA-PVC-0045</v>
          </cell>
          <cell r="B2819" t="str">
            <v>Venturi Assembly Main 3/8"</v>
          </cell>
          <cell r="C2819" t="str">
            <v>NHD</v>
          </cell>
        </row>
        <row r="2820">
          <cell r="A2820" t="str">
            <v>BIA-PVC-0069</v>
          </cell>
          <cell r="B2820" t="str">
            <v>CALIBRATION CELL</v>
          </cell>
          <cell r="C2820" t="str">
            <v>NHD</v>
          </cell>
        </row>
        <row r="2821">
          <cell r="A2821" t="str">
            <v>BIA-SP-0000001</v>
          </cell>
          <cell r="B2821" t="str">
            <v>Plastic Tape</v>
          </cell>
          <cell r="C2821" t="str">
            <v>NHD</v>
          </cell>
        </row>
        <row r="2822">
          <cell r="A2822" t="str">
            <v>BIA-SP-0000002</v>
          </cell>
          <cell r="B2822" t="str">
            <v>Lem Kaleng</v>
          </cell>
          <cell r="C2822" t="str">
            <v>NHD</v>
          </cell>
        </row>
        <row r="2823">
          <cell r="A2823" t="str">
            <v>BIA-SP-0000003</v>
          </cell>
          <cell r="B2823" t="str">
            <v>Fitting Membrane T drat 1/2"</v>
          </cell>
          <cell r="C2823" t="str">
            <v>NHD</v>
          </cell>
        </row>
        <row r="2824">
          <cell r="A2824" t="str">
            <v>BIA-SP-0000004</v>
          </cell>
          <cell r="B2824" t="str">
            <v>Fitting Membrane T drat 1/4"</v>
          </cell>
          <cell r="C2824" t="str">
            <v>NHD</v>
          </cell>
        </row>
        <row r="2825">
          <cell r="A2825" t="str">
            <v>BIA-SP-0000005</v>
          </cell>
          <cell r="B2825" t="str">
            <v>Fitting Membrane L drat 1/2"</v>
          </cell>
          <cell r="C2825" t="str">
            <v>NHD</v>
          </cell>
        </row>
        <row r="2826">
          <cell r="A2826" t="str">
            <v>BIA-SP-0000006</v>
          </cell>
          <cell r="B2826" t="str">
            <v>Fitting Membrane L drat dalam 1/4"</v>
          </cell>
          <cell r="C2826" t="str">
            <v>NHD</v>
          </cell>
        </row>
        <row r="2827">
          <cell r="A2827" t="str">
            <v>BIA-SP-0000007</v>
          </cell>
          <cell r="B2827" t="str">
            <v>Relay Overload LRD16 9-13 Ampere</v>
          </cell>
          <cell r="C2827" t="str">
            <v>NHD</v>
          </cell>
        </row>
        <row r="2828">
          <cell r="A2828" t="str">
            <v>BIA-SP-0000008</v>
          </cell>
          <cell r="B2828" t="str">
            <v>Relay Overload LRD16 12-18 Ampere</v>
          </cell>
          <cell r="C2828" t="str">
            <v>NHD</v>
          </cell>
        </row>
        <row r="2829">
          <cell r="A2829" t="str">
            <v>BIA-SP-0000009</v>
          </cell>
          <cell r="B2829" t="str">
            <v>Selector Switch</v>
          </cell>
          <cell r="C2829" t="str">
            <v>NHD</v>
          </cell>
        </row>
        <row r="2830">
          <cell r="A2830" t="str">
            <v>BIA-SP-0000010</v>
          </cell>
          <cell r="B2830" t="str">
            <v>MCB 10 Ampere</v>
          </cell>
          <cell r="C2830" t="str">
            <v>NHD</v>
          </cell>
        </row>
        <row r="2831">
          <cell r="A2831" t="str">
            <v>BIA-SP-0000011</v>
          </cell>
          <cell r="B2831" t="str">
            <v>MCB 16 Ampere</v>
          </cell>
          <cell r="C2831" t="str">
            <v>NHD</v>
          </cell>
        </row>
        <row r="2832">
          <cell r="A2832" t="str">
            <v>BIA-SP-0000012</v>
          </cell>
          <cell r="B2832" t="str">
            <v>MCB 25 Ampere 3 Phase</v>
          </cell>
          <cell r="C2832" t="str">
            <v>NHD</v>
          </cell>
        </row>
        <row r="2833">
          <cell r="A2833" t="str">
            <v>BIA-SP-0000013</v>
          </cell>
          <cell r="B2833" t="str">
            <v>MCCB 25A</v>
          </cell>
          <cell r="C2833" t="str">
            <v>NHD</v>
          </cell>
        </row>
        <row r="2834">
          <cell r="A2834" t="str">
            <v>BIA-SP-0000014</v>
          </cell>
          <cell r="B2834" t="str">
            <v>V-Lock Ring 1 1/4 x 1</v>
          </cell>
          <cell r="C2834" t="str">
            <v>NHD</v>
          </cell>
        </row>
        <row r="2835">
          <cell r="A2835" t="str">
            <v>BIA-SP-0000015</v>
          </cell>
          <cell r="B2835" t="str">
            <v>T Kuningan</v>
          </cell>
          <cell r="C2835" t="str">
            <v>NHD</v>
          </cell>
        </row>
        <row r="2836">
          <cell r="A2836" t="str">
            <v>BIA-SP-0000016</v>
          </cell>
          <cell r="B2836" t="str">
            <v>CONTACTOR SN-11 220 VOLT</v>
          </cell>
          <cell r="C2836" t="str">
            <v>NHD</v>
          </cell>
        </row>
        <row r="2837">
          <cell r="A2837" t="str">
            <v>BIA-SP-0000017</v>
          </cell>
          <cell r="B2837" t="str">
            <v>LAMPU EMERGENCY</v>
          </cell>
          <cell r="C2837" t="str">
            <v>NHD</v>
          </cell>
        </row>
        <row r="2838">
          <cell r="A2838" t="str">
            <v>BIA-SP-0000018</v>
          </cell>
          <cell r="B2838" t="str">
            <v>Fitting Membrane T 1/4"</v>
          </cell>
          <cell r="C2838" t="str">
            <v>NHD</v>
          </cell>
        </row>
        <row r="2839">
          <cell r="A2839" t="str">
            <v>BIA-SP-0000019</v>
          </cell>
          <cell r="B2839" t="str">
            <v>Fitting Connector 1/4" x 3/8"</v>
          </cell>
          <cell r="C2839" t="str">
            <v>NHD</v>
          </cell>
        </row>
        <row r="2840">
          <cell r="A2840" t="str">
            <v>BIA-SP-0000020</v>
          </cell>
          <cell r="B2840" t="str">
            <v>Fitting Membrane Sambungan 1/4"</v>
          </cell>
          <cell r="C2840" t="str">
            <v>NHD</v>
          </cell>
        </row>
        <row r="2841">
          <cell r="A2841" t="str">
            <v>BIA-SP-0000021</v>
          </cell>
          <cell r="B2841" t="str">
            <v>L-Shaped Hose Port</v>
          </cell>
          <cell r="C2841" t="str">
            <v>NHD</v>
          </cell>
        </row>
        <row r="2842">
          <cell r="A2842" t="str">
            <v>BIA-SP-0000022</v>
          </cell>
          <cell r="B2842" t="str">
            <v>TERMINAL TB 2512</v>
          </cell>
          <cell r="C2842" t="str">
            <v>NHD</v>
          </cell>
        </row>
        <row r="2843">
          <cell r="A2843" t="str">
            <v>BIA-SP-0000023</v>
          </cell>
          <cell r="B2843" t="str">
            <v>MCB 4 AMPERE 1 PHASE</v>
          </cell>
          <cell r="C2843" t="str">
            <v>NHD</v>
          </cell>
        </row>
        <row r="2844">
          <cell r="A2844" t="str">
            <v>BIA-SP-0000024</v>
          </cell>
          <cell r="B2844" t="str">
            <v>Keran Gas Cabang</v>
          </cell>
          <cell r="C2844" t="str">
            <v>NHD</v>
          </cell>
        </row>
        <row r="2845">
          <cell r="A2845" t="str">
            <v>BIA-SP-0000025</v>
          </cell>
          <cell r="B2845" t="str">
            <v>LAMPU PILOT 22MM (MERAH/KUNING/HIJAU)</v>
          </cell>
          <cell r="C2845" t="str">
            <v>NHD</v>
          </cell>
        </row>
        <row r="2846">
          <cell r="A2846" t="str">
            <v>BIA-SP-0000026</v>
          </cell>
          <cell r="B2846" t="str">
            <v>TDS Meter</v>
          </cell>
          <cell r="C2846" t="str">
            <v>NHD</v>
          </cell>
        </row>
        <row r="2847">
          <cell r="A2847" t="str">
            <v>BIA-SP-0000027</v>
          </cell>
          <cell r="B2847" t="str">
            <v>Flow Meter 10 gpm</v>
          </cell>
          <cell r="C2847" t="str">
            <v>NHD</v>
          </cell>
        </row>
        <row r="2848">
          <cell r="A2848" t="str">
            <v>BIA-SP-0000028</v>
          </cell>
          <cell r="B2848" t="str">
            <v>CONTROLLER,COMPUTER,C22,120/220 V,1PH 12 X 10 BOX</v>
          </cell>
          <cell r="C2848" t="str">
            <v>NHD</v>
          </cell>
        </row>
        <row r="2849">
          <cell r="A2849" t="str">
            <v>BIA-SP-0000029</v>
          </cell>
          <cell r="B2849" t="str">
            <v>FAN BELT</v>
          </cell>
          <cell r="C2849" t="str">
            <v>NHD</v>
          </cell>
        </row>
        <row r="2850">
          <cell r="A2850" t="str">
            <v>BIA-SP-0000030</v>
          </cell>
          <cell r="B2850" t="str">
            <v>VLock Ring 1 x 1/2"</v>
          </cell>
          <cell r="C2850" t="str">
            <v>NHD</v>
          </cell>
        </row>
        <row r="2851">
          <cell r="A2851" t="str">
            <v>BIA-SP-0000031</v>
          </cell>
          <cell r="B2851" t="str">
            <v>V-Lock Ring 3/4"</v>
          </cell>
          <cell r="C2851" t="str">
            <v>NHD</v>
          </cell>
        </row>
        <row r="2852">
          <cell r="A2852" t="str">
            <v>BIA-SP-0000032</v>
          </cell>
          <cell r="B2852" t="str">
            <v>V-Lock Ring 3/4 x 1/2"</v>
          </cell>
          <cell r="C2852" t="str">
            <v>NHD</v>
          </cell>
        </row>
        <row r="2853">
          <cell r="A2853" t="str">
            <v>BIA-SP-0000033</v>
          </cell>
          <cell r="B2853" t="str">
            <v>Lem Odol</v>
          </cell>
          <cell r="C2853" t="str">
            <v>NHD</v>
          </cell>
        </row>
        <row r="2854">
          <cell r="A2854" t="str">
            <v>BIA-SP-0000034</v>
          </cell>
          <cell r="B2854" t="str">
            <v>Flow Meter 5 GPM</v>
          </cell>
          <cell r="C2854" t="str">
            <v>NHD</v>
          </cell>
        </row>
        <row r="2855">
          <cell r="A2855" t="str">
            <v>BIA-SP-0000035</v>
          </cell>
          <cell r="B2855" t="str">
            <v>TUSEN CLAP 1"</v>
          </cell>
          <cell r="C2855" t="str">
            <v>NHD</v>
          </cell>
        </row>
        <row r="2856">
          <cell r="A2856" t="str">
            <v>BIA-SP-0000036</v>
          </cell>
          <cell r="B2856" t="str">
            <v>STOP KONTAK 2 LUBANG</v>
          </cell>
          <cell r="C2856" t="str">
            <v>NHD</v>
          </cell>
        </row>
        <row r="2857">
          <cell r="A2857" t="str">
            <v>BIA-SP-0000037</v>
          </cell>
          <cell r="B2857" t="str">
            <v>STOP KONTAK 4 LUBANG</v>
          </cell>
          <cell r="C2857" t="str">
            <v>NHD</v>
          </cell>
        </row>
        <row r="2858">
          <cell r="A2858" t="str">
            <v>BIA-SP-0000038</v>
          </cell>
          <cell r="B2858" t="str">
            <v>KLEM SELANG 1/2"</v>
          </cell>
          <cell r="C2858" t="str">
            <v>NHD</v>
          </cell>
        </row>
        <row r="2859">
          <cell r="A2859" t="str">
            <v>BIA-SP-0000039</v>
          </cell>
          <cell r="B2859" t="str">
            <v>SEAL TAPE</v>
          </cell>
          <cell r="C2859" t="str">
            <v>NHD</v>
          </cell>
        </row>
        <row r="2860">
          <cell r="A2860" t="str">
            <v>BIA-SP-0000040</v>
          </cell>
          <cell r="B2860" t="str">
            <v>HOSE CONNECTOR 1/2"</v>
          </cell>
          <cell r="C2860" t="str">
            <v>NHD</v>
          </cell>
        </row>
        <row r="2861">
          <cell r="A2861" t="str">
            <v>BIA-SP-0000041</v>
          </cell>
          <cell r="B2861" t="str">
            <v>KAPASITOR</v>
          </cell>
          <cell r="C2861" t="str">
            <v>NHD</v>
          </cell>
        </row>
        <row r="2862">
          <cell r="A2862" t="str">
            <v>BIA-SP-0000042</v>
          </cell>
          <cell r="B2862" t="str">
            <v>Clamp Selang</v>
          </cell>
          <cell r="C2862" t="str">
            <v>NHD</v>
          </cell>
        </row>
        <row r="2863">
          <cell r="A2863" t="str">
            <v>BIA-SP-0000043</v>
          </cell>
          <cell r="B2863" t="str">
            <v>POWER BOX ON OFF</v>
          </cell>
          <cell r="C2863" t="str">
            <v>NHD</v>
          </cell>
        </row>
        <row r="2864">
          <cell r="A2864" t="str">
            <v>BIA-SP-0000044</v>
          </cell>
          <cell r="B2864" t="str">
            <v>Knee 1"</v>
          </cell>
          <cell r="C2864" t="str">
            <v>NHD</v>
          </cell>
        </row>
        <row r="2865">
          <cell r="A2865" t="str">
            <v>BIA-SP-0000045</v>
          </cell>
          <cell r="B2865" t="str">
            <v>Knee 3/4"</v>
          </cell>
          <cell r="C2865" t="str">
            <v>NHD</v>
          </cell>
        </row>
        <row r="2866">
          <cell r="A2866" t="str">
            <v>BIA-SP-0000046</v>
          </cell>
          <cell r="B2866" t="str">
            <v>Knee 1/2"</v>
          </cell>
          <cell r="C2866" t="str">
            <v>NHD</v>
          </cell>
        </row>
        <row r="2867">
          <cell r="A2867" t="str">
            <v>BIA-SP-0000047</v>
          </cell>
          <cell r="B2867" t="str">
            <v>Ball Valve 1"</v>
          </cell>
          <cell r="C2867" t="str">
            <v>NHD</v>
          </cell>
        </row>
        <row r="2868">
          <cell r="A2868" t="str">
            <v>BIA-SP-0000048</v>
          </cell>
          <cell r="B2868" t="str">
            <v>Ball Valve 3/4"</v>
          </cell>
          <cell r="C2868" t="str">
            <v>NHD</v>
          </cell>
        </row>
        <row r="2869">
          <cell r="A2869" t="str">
            <v>BIA-SP-0000049</v>
          </cell>
          <cell r="B2869" t="str">
            <v>Ball Valve 1/2"</v>
          </cell>
          <cell r="C2869" t="str">
            <v>NHD</v>
          </cell>
        </row>
        <row r="2870">
          <cell r="A2870" t="str">
            <v>BIA-SP-0000050</v>
          </cell>
          <cell r="B2870" t="str">
            <v>Water Moor 1"</v>
          </cell>
          <cell r="C2870" t="str">
            <v>NHD</v>
          </cell>
        </row>
        <row r="2871">
          <cell r="A2871" t="str">
            <v>BIA-SP-0000051</v>
          </cell>
          <cell r="B2871" t="str">
            <v>Water Moor 3/4"</v>
          </cell>
          <cell r="C2871" t="str">
            <v>NHD</v>
          </cell>
        </row>
        <row r="2872">
          <cell r="A2872" t="str">
            <v>BIA-SP-0000052</v>
          </cell>
          <cell r="B2872" t="str">
            <v>Water Moor 1/2"</v>
          </cell>
          <cell r="C2872" t="str">
            <v>NHD</v>
          </cell>
        </row>
        <row r="2873">
          <cell r="A2873" t="str">
            <v>BIA-SP-0000053</v>
          </cell>
          <cell r="B2873" t="str">
            <v>T 1"</v>
          </cell>
          <cell r="C2873" t="str">
            <v>NHD</v>
          </cell>
        </row>
        <row r="2874">
          <cell r="A2874" t="str">
            <v>BIA-SP-0000054</v>
          </cell>
          <cell r="B2874" t="str">
            <v>T 3/4"</v>
          </cell>
          <cell r="C2874" t="str">
            <v>NHD</v>
          </cell>
        </row>
        <row r="2875">
          <cell r="A2875" t="str">
            <v>BIA-SP-0000055</v>
          </cell>
          <cell r="B2875" t="str">
            <v>T 1/2"</v>
          </cell>
          <cell r="C2875" t="str">
            <v>NHD</v>
          </cell>
        </row>
        <row r="2876">
          <cell r="A2876" t="str">
            <v>BIA-SP-0000056</v>
          </cell>
          <cell r="B2876" t="str">
            <v>SDD 1"</v>
          </cell>
          <cell r="C2876" t="str">
            <v>NHD</v>
          </cell>
        </row>
        <row r="2877">
          <cell r="A2877" t="str">
            <v>BIA-SP-0000057</v>
          </cell>
          <cell r="B2877" t="str">
            <v>SDD 3/4"</v>
          </cell>
          <cell r="C2877" t="str">
            <v>NHD</v>
          </cell>
        </row>
        <row r="2878">
          <cell r="A2878" t="str">
            <v>BIA-SP-0000058</v>
          </cell>
          <cell r="B2878" t="str">
            <v>SDD 1/2"</v>
          </cell>
          <cell r="C2878" t="str">
            <v>NHD</v>
          </cell>
        </row>
        <row r="2879">
          <cell r="A2879" t="str">
            <v>BIA-SP-0000059</v>
          </cell>
          <cell r="B2879" t="str">
            <v>SDL 1"</v>
          </cell>
          <cell r="C2879" t="str">
            <v>NHD</v>
          </cell>
        </row>
        <row r="2880">
          <cell r="A2880" t="str">
            <v>BIA-SP-0000060</v>
          </cell>
          <cell r="B2880" t="str">
            <v>SDL 3/4"</v>
          </cell>
          <cell r="C2880" t="str">
            <v>NHD</v>
          </cell>
        </row>
        <row r="2881">
          <cell r="A2881" t="str">
            <v>BIA-SP-0000061</v>
          </cell>
          <cell r="B2881" t="str">
            <v>SDL 1/2"</v>
          </cell>
          <cell r="C2881" t="str">
            <v>NHD</v>
          </cell>
        </row>
        <row r="2882">
          <cell r="A2882" t="str">
            <v>BIA-SP-0000062</v>
          </cell>
          <cell r="B2882" t="str">
            <v>T 1 1/2 x 1"</v>
          </cell>
          <cell r="C2882" t="str">
            <v>NHD</v>
          </cell>
        </row>
        <row r="2883">
          <cell r="A2883" t="str">
            <v>BIA-SP-0000063</v>
          </cell>
          <cell r="B2883" t="str">
            <v>T 1 x 3/4"</v>
          </cell>
          <cell r="C2883" t="str">
            <v>NHD</v>
          </cell>
        </row>
        <row r="2884">
          <cell r="A2884" t="str">
            <v>BIA-SP-0000064</v>
          </cell>
          <cell r="B2884" t="str">
            <v>T 1 x 1/2"</v>
          </cell>
          <cell r="C2884" t="str">
            <v>NHD</v>
          </cell>
        </row>
        <row r="2885">
          <cell r="A2885" t="str">
            <v>BIA-SP-0000065</v>
          </cell>
          <cell r="B2885" t="str">
            <v>T 3/4 x 1/2"</v>
          </cell>
          <cell r="C2885" t="str">
            <v>NHD</v>
          </cell>
        </row>
        <row r="2886">
          <cell r="A2886" t="str">
            <v>BIA-SP-0000066</v>
          </cell>
          <cell r="B2886" t="str">
            <v>Shock 1"</v>
          </cell>
          <cell r="C2886" t="str">
            <v>NHD</v>
          </cell>
        </row>
        <row r="2887">
          <cell r="A2887" t="str">
            <v>BIA-SP-0000067</v>
          </cell>
          <cell r="B2887" t="str">
            <v>Shock 3/4"</v>
          </cell>
          <cell r="C2887" t="str">
            <v>NHD</v>
          </cell>
        </row>
        <row r="2888">
          <cell r="A2888" t="str">
            <v>BIA-SP-0000068</v>
          </cell>
          <cell r="B2888" t="str">
            <v>Shock 1/2"</v>
          </cell>
          <cell r="C2888" t="str">
            <v>NHD</v>
          </cell>
        </row>
        <row r="2889">
          <cell r="A2889" t="str">
            <v>BIA-SP-0000069</v>
          </cell>
          <cell r="B2889" t="str">
            <v>DOP 3/4"</v>
          </cell>
          <cell r="C2889" t="str">
            <v>NHD</v>
          </cell>
        </row>
        <row r="2890">
          <cell r="A2890" t="str">
            <v>BIA-SP-0000070</v>
          </cell>
          <cell r="B2890" t="str">
            <v>DOP 1/2"</v>
          </cell>
          <cell r="C2890" t="str">
            <v>NHD</v>
          </cell>
        </row>
        <row r="2891">
          <cell r="A2891" t="str">
            <v>BIA-SP-0000071</v>
          </cell>
          <cell r="B2891" t="str">
            <v>Vlock Shock 1 1/4 x 1"</v>
          </cell>
          <cell r="C2891" t="str">
            <v>NHD</v>
          </cell>
        </row>
        <row r="2892">
          <cell r="A2892" t="str">
            <v>BIA-SP-0000072</v>
          </cell>
          <cell r="B2892" t="str">
            <v>Vlock Shock 1 x 3/4"</v>
          </cell>
          <cell r="C2892" t="str">
            <v>NHD</v>
          </cell>
        </row>
        <row r="2893">
          <cell r="A2893" t="str">
            <v>BIA-SP-0000073</v>
          </cell>
          <cell r="B2893" t="str">
            <v>Vlock Shock 1 x 1/3"</v>
          </cell>
          <cell r="C2893" t="str">
            <v>NHD</v>
          </cell>
        </row>
        <row r="2894">
          <cell r="A2894" t="str">
            <v>BIA-SP-0000074</v>
          </cell>
          <cell r="B2894" t="str">
            <v>Vlock Shock 3/4 x 1/2"</v>
          </cell>
          <cell r="C2894" t="str">
            <v>NHD</v>
          </cell>
        </row>
        <row r="2895">
          <cell r="A2895" t="str">
            <v>BIA-SP-0000075</v>
          </cell>
          <cell r="B2895" t="str">
            <v>Knee Drat 1"</v>
          </cell>
          <cell r="C2895" t="str">
            <v>NHD</v>
          </cell>
        </row>
        <row r="2896">
          <cell r="A2896" t="str">
            <v>BIA-SP-0000076</v>
          </cell>
          <cell r="B2896" t="str">
            <v>Knee Drat 3/4"</v>
          </cell>
          <cell r="C2896" t="str">
            <v>NHD</v>
          </cell>
        </row>
        <row r="2897">
          <cell r="A2897" t="str">
            <v>BIA-SP-0000077</v>
          </cell>
          <cell r="B2897" t="str">
            <v>Knee Drat 1/2"</v>
          </cell>
          <cell r="C2897" t="str">
            <v>NHD</v>
          </cell>
        </row>
        <row r="2898">
          <cell r="A2898" t="str">
            <v>BIA-SP-0000078</v>
          </cell>
          <cell r="B2898" t="str">
            <v>T Drat 3/4"</v>
          </cell>
          <cell r="C2898" t="str">
            <v>NHD</v>
          </cell>
        </row>
        <row r="2899">
          <cell r="A2899" t="str">
            <v>BIA-SP-0000079</v>
          </cell>
          <cell r="B2899" t="str">
            <v>T Drat 1/2"</v>
          </cell>
          <cell r="C2899" t="str">
            <v>NHD</v>
          </cell>
        </row>
        <row r="2900">
          <cell r="A2900" t="str">
            <v>BIA-SP-0000080</v>
          </cell>
          <cell r="B2900" t="str">
            <v>T Drat 1/2 x 3/4"</v>
          </cell>
          <cell r="C2900" t="str">
            <v>NHD</v>
          </cell>
        </row>
        <row r="2901">
          <cell r="A2901" t="str">
            <v>BIA-SP-0000081</v>
          </cell>
          <cell r="B2901" t="str">
            <v>Plug 1/2" SS</v>
          </cell>
          <cell r="C2901" t="str">
            <v>NHD</v>
          </cell>
        </row>
        <row r="2902">
          <cell r="A2902" t="str">
            <v>BIA-SP-0000082</v>
          </cell>
          <cell r="B2902" t="str">
            <v>Head Resin Manual</v>
          </cell>
          <cell r="C2902" t="str">
            <v>NHD</v>
          </cell>
        </row>
        <row r="2903">
          <cell r="A2903" t="str">
            <v>BIA-SP-0000083</v>
          </cell>
          <cell r="B2903" t="str">
            <v>Head Carbon Manual</v>
          </cell>
          <cell r="C2903" t="str">
            <v>NHD</v>
          </cell>
        </row>
        <row r="2904">
          <cell r="A2904" t="str">
            <v>BIA-SP-0000084</v>
          </cell>
          <cell r="B2904" t="str">
            <v>Kabel NYM 2 x 1 1/2</v>
          </cell>
          <cell r="C2904" t="str">
            <v>NHD</v>
          </cell>
        </row>
        <row r="2905">
          <cell r="A2905" t="str">
            <v>BIA-SP-0000085</v>
          </cell>
          <cell r="B2905" t="str">
            <v>Kabel NYM 3 x 2 1/2</v>
          </cell>
          <cell r="C2905" t="str">
            <v>NHD</v>
          </cell>
        </row>
        <row r="2906">
          <cell r="A2906" t="str">
            <v>BIA-SP-0000086</v>
          </cell>
          <cell r="B2906" t="str">
            <v>Pressure Gauge 6 BAR</v>
          </cell>
          <cell r="C2906" t="str">
            <v>NHD</v>
          </cell>
        </row>
        <row r="2907">
          <cell r="A2907" t="str">
            <v>BIA-SP-0000087</v>
          </cell>
          <cell r="B2907" t="str">
            <v>Pressure Gauge 7 BAR</v>
          </cell>
          <cell r="C2907" t="str">
            <v>NHD</v>
          </cell>
        </row>
        <row r="2908">
          <cell r="A2908" t="str">
            <v>BIA-SP-0000088</v>
          </cell>
          <cell r="B2908" t="str">
            <v>Pressure Gauge 8 BAR</v>
          </cell>
          <cell r="C2908" t="str">
            <v>NHD</v>
          </cell>
        </row>
        <row r="2909">
          <cell r="A2909" t="str">
            <v>BIA-SP-0000089</v>
          </cell>
          <cell r="B2909" t="str">
            <v>Garam</v>
          </cell>
          <cell r="C2909" t="str">
            <v>NHD</v>
          </cell>
        </row>
        <row r="2910">
          <cell r="A2910" t="str">
            <v>BIA-SP-0000090</v>
          </cell>
          <cell r="B2910" t="str">
            <v>Kepala Head Procon Pump</v>
          </cell>
          <cell r="C2910" t="str">
            <v>NHD</v>
          </cell>
        </row>
        <row r="2911">
          <cell r="A2911" t="str">
            <v>BIA-SP-0000091</v>
          </cell>
          <cell r="B2911" t="str">
            <v>PANEL BOX CONDUCTIVITY</v>
          </cell>
          <cell r="C2911" t="str">
            <v>NHD</v>
          </cell>
        </row>
        <row r="2912">
          <cell r="A2912" t="str">
            <v>BIA-SP-0000092</v>
          </cell>
          <cell r="B2912" t="str">
            <v>Filter Carbon</v>
          </cell>
          <cell r="C2912" t="str">
            <v>NHD</v>
          </cell>
        </row>
        <row r="2913">
          <cell r="A2913" t="str">
            <v>BIA-SP-0000093</v>
          </cell>
          <cell r="B2913" t="str">
            <v>Selenoid Valve 1"</v>
          </cell>
          <cell r="C2913" t="str">
            <v>NHD</v>
          </cell>
        </row>
        <row r="2914">
          <cell r="A2914" t="str">
            <v>BIA-SP-0000094</v>
          </cell>
          <cell r="B2914" t="str">
            <v>Selenoid Valve 3/4"</v>
          </cell>
          <cell r="C2914" t="str">
            <v>NHD</v>
          </cell>
        </row>
        <row r="2915">
          <cell r="A2915" t="str">
            <v>BIA-SP-0000095</v>
          </cell>
          <cell r="B2915" t="str">
            <v>Selenoid Valve 1/2"</v>
          </cell>
          <cell r="C2915" t="str">
            <v>NHD</v>
          </cell>
        </row>
        <row r="2916">
          <cell r="A2916" t="str">
            <v>BIA-SP-0000096</v>
          </cell>
          <cell r="B2916" t="str">
            <v>Pressure Switch</v>
          </cell>
          <cell r="C2916" t="str">
            <v>NHD</v>
          </cell>
        </row>
        <row r="2917">
          <cell r="A2917" t="str">
            <v>BIA-SP-0000097</v>
          </cell>
          <cell r="B2917" t="str">
            <v>Globe Valve 1" SS</v>
          </cell>
          <cell r="C2917" t="str">
            <v>NHD</v>
          </cell>
        </row>
        <row r="2918">
          <cell r="A2918" t="str">
            <v>BIA-SP-0000098</v>
          </cell>
          <cell r="B2918" t="str">
            <v>BALLAST UV 45 LPM</v>
          </cell>
          <cell r="C2918" t="str">
            <v>NHD</v>
          </cell>
        </row>
        <row r="2919">
          <cell r="A2919" t="str">
            <v>BIA-SP-0000099</v>
          </cell>
          <cell r="B2919" t="str">
            <v>Selang Membrane 12 x 8</v>
          </cell>
          <cell r="C2919" t="str">
            <v>NHD</v>
          </cell>
        </row>
        <row r="2920">
          <cell r="A2920" t="str">
            <v>BIA-SP-0000100</v>
          </cell>
          <cell r="B2920" t="str">
            <v>Motor + Procon Pump 330 GPH</v>
          </cell>
          <cell r="C2920" t="str">
            <v>NHD</v>
          </cell>
        </row>
        <row r="2921">
          <cell r="A2921" t="str">
            <v>BIA-SP-0000101</v>
          </cell>
          <cell r="B2921" t="str">
            <v>Hosing Filter 10"</v>
          </cell>
          <cell r="C2921" t="str">
            <v>NHD</v>
          </cell>
        </row>
        <row r="2922">
          <cell r="A2922" t="str">
            <v>BIA-SP-0000102</v>
          </cell>
          <cell r="B2922" t="str">
            <v>Pelampung Bola 1"</v>
          </cell>
          <cell r="C2922" t="str">
            <v>NHD</v>
          </cell>
        </row>
        <row r="2923">
          <cell r="A2923" t="str">
            <v>BIA-SP-0000103</v>
          </cell>
          <cell r="B2923" t="str">
            <v>Membrane HF4 4021</v>
          </cell>
          <cell r="C2923" t="str">
            <v>NHD</v>
          </cell>
        </row>
        <row r="2924">
          <cell r="A2924" t="str">
            <v>BIA-SP-0000104</v>
          </cell>
          <cell r="B2924" t="str">
            <v>Plug 1/4" SS</v>
          </cell>
          <cell r="C2924" t="str">
            <v>NHD</v>
          </cell>
        </row>
        <row r="2925">
          <cell r="A2925" t="str">
            <v>BIA-SP-0000105</v>
          </cell>
          <cell r="B2925" t="str">
            <v>BRINE TANK</v>
          </cell>
          <cell r="C2925" t="str">
            <v>NHD</v>
          </cell>
        </row>
        <row r="2926">
          <cell r="A2926" t="str">
            <v>BIA-SP-0000106</v>
          </cell>
          <cell r="B2926" t="str">
            <v>Hosing Filter 5BB Jumbo</v>
          </cell>
          <cell r="C2926" t="str">
            <v>NHD</v>
          </cell>
        </row>
        <row r="2927">
          <cell r="A2927" t="str">
            <v>BIA-SP-0000107</v>
          </cell>
          <cell r="B2927" t="str">
            <v>Lampu UV 45 LPM Viqua</v>
          </cell>
          <cell r="C2927" t="str">
            <v>NHD</v>
          </cell>
        </row>
        <row r="2928">
          <cell r="A2928" t="str">
            <v>BIA-SP-0000108</v>
          </cell>
          <cell r="B2928" t="str">
            <v>Membrane 2521</v>
          </cell>
          <cell r="C2928" t="str">
            <v>NHD</v>
          </cell>
        </row>
        <row r="2929">
          <cell r="A2929" t="str">
            <v>BIA-SP-0000109</v>
          </cell>
          <cell r="B2929" t="str">
            <v>DOUBLE NEPLE 1/2" X 1/4"</v>
          </cell>
          <cell r="C2929" t="str">
            <v>NHD</v>
          </cell>
        </row>
        <row r="2930">
          <cell r="A2930" t="str">
            <v>BIA-SP-0000110</v>
          </cell>
          <cell r="B2930" t="str">
            <v>Membrane HF1 2540</v>
          </cell>
          <cell r="C2930" t="str">
            <v>NHD</v>
          </cell>
        </row>
        <row r="2931">
          <cell r="A2931" t="str">
            <v>BIA-SP-0000111</v>
          </cell>
          <cell r="B2931" t="str">
            <v>MC 3 (CITRIC CLEAN)</v>
          </cell>
          <cell r="C2931" t="str">
            <v>NHD</v>
          </cell>
        </row>
        <row r="2932">
          <cell r="A2932" t="str">
            <v>BIA-SP-0000112</v>
          </cell>
          <cell r="B2932" t="str">
            <v>DOUBLE NEPLE PLASTIK 1/2"</v>
          </cell>
          <cell r="C2932" t="str">
            <v>NHD</v>
          </cell>
        </row>
        <row r="2933">
          <cell r="A2933" t="str">
            <v>BIA-SP-0000113</v>
          </cell>
          <cell r="B2933" t="str">
            <v>Selang Benang 3/8"</v>
          </cell>
          <cell r="C2933" t="str">
            <v>NHD</v>
          </cell>
        </row>
        <row r="2934">
          <cell r="A2934" t="str">
            <v>BIA-SP-0000114</v>
          </cell>
          <cell r="B2934" t="str">
            <v>Sand Filter</v>
          </cell>
          <cell r="C2934" t="str">
            <v>NHD</v>
          </cell>
        </row>
        <row r="2935">
          <cell r="A2935" t="str">
            <v>BIA-SP-0000114-SF</v>
          </cell>
          <cell r="B2935" t="str">
            <v>Sand Filter</v>
          </cell>
          <cell r="C2935" t="str">
            <v>NHD</v>
          </cell>
        </row>
        <row r="2936">
          <cell r="A2936" t="str">
            <v>BIA-SP-0000115</v>
          </cell>
          <cell r="B2936" t="str">
            <v>DOUBLE NEPLE PLASTIK 1/2"</v>
          </cell>
          <cell r="C2936" t="str">
            <v>NHD</v>
          </cell>
        </row>
        <row r="2937">
          <cell r="A2937" t="str">
            <v>BIA-SP-0000116</v>
          </cell>
          <cell r="B2937" t="str">
            <v>Pyrolox</v>
          </cell>
          <cell r="C2937" t="str">
            <v>NHD</v>
          </cell>
        </row>
        <row r="2938">
          <cell r="A2938" t="str">
            <v>BIA-SP-0000116-P</v>
          </cell>
          <cell r="B2938" t="str">
            <v>Pyrolox</v>
          </cell>
          <cell r="C2938" t="str">
            <v>NHD</v>
          </cell>
        </row>
        <row r="2939">
          <cell r="A2939" t="str">
            <v>BIA-SP-0000117</v>
          </cell>
          <cell r="B2939" t="str">
            <v>Citric Acid</v>
          </cell>
          <cell r="C2939" t="str">
            <v>NHD</v>
          </cell>
        </row>
        <row r="2940">
          <cell r="A2940" t="str">
            <v>BIA-SP-0000118</v>
          </cell>
          <cell r="B2940" t="str">
            <v>Carbon Active</v>
          </cell>
          <cell r="C2940" t="str">
            <v>NHD</v>
          </cell>
        </row>
        <row r="2941">
          <cell r="A2941" t="str">
            <v>BIA-SP-0000119</v>
          </cell>
          <cell r="B2941" t="str">
            <v>Pompa GPA4</v>
          </cell>
          <cell r="C2941" t="str">
            <v>NHD</v>
          </cell>
        </row>
        <row r="2942">
          <cell r="A2942" t="str">
            <v>BIA-SP-0000120</v>
          </cell>
          <cell r="B2942" t="str">
            <v>Pompa CNP CHLF 8-50</v>
          </cell>
          <cell r="C2942" t="str">
            <v>NHD</v>
          </cell>
        </row>
        <row r="2943">
          <cell r="A2943" t="str">
            <v>BIA-SP-0000121</v>
          </cell>
          <cell r="B2943" t="str">
            <v>Pompa CDLF 3-15 1 Phase</v>
          </cell>
          <cell r="C2943" t="str">
            <v>NHD</v>
          </cell>
        </row>
        <row r="2944">
          <cell r="A2944" t="str">
            <v>BIA-SP-0000122</v>
          </cell>
          <cell r="B2944" t="str">
            <v>POMPA GOULDS 10GBS</v>
          </cell>
          <cell r="C2944" t="str">
            <v>NHD</v>
          </cell>
        </row>
        <row r="2945">
          <cell r="A2945" t="str">
            <v>BIA-SP-0000123</v>
          </cell>
          <cell r="B2945" t="str">
            <v>Pompa CNP CHLF 4-30</v>
          </cell>
          <cell r="C2945" t="str">
            <v>NHD</v>
          </cell>
        </row>
        <row r="2946">
          <cell r="A2946" t="str">
            <v>BIA-SP-0000124</v>
          </cell>
          <cell r="B2946" t="str">
            <v>Pompa Evak AHI 4-60</v>
          </cell>
          <cell r="C2946" t="str">
            <v>NHD</v>
          </cell>
        </row>
        <row r="2947">
          <cell r="A2947" t="str">
            <v>BIA-SP-0000125</v>
          </cell>
          <cell r="B2947" t="str">
            <v>POMPA GRUNDFOS JPA 8-62</v>
          </cell>
          <cell r="C2947" t="str">
            <v>NHD</v>
          </cell>
        </row>
        <row r="2948">
          <cell r="A2948" t="str">
            <v>BIA-SP-0000126</v>
          </cell>
          <cell r="B2948" t="str">
            <v>Pompa CM5-5</v>
          </cell>
          <cell r="C2948" t="str">
            <v>NHD</v>
          </cell>
        </row>
        <row r="2949">
          <cell r="A2949" t="str">
            <v>BIA-SP-0000127</v>
          </cell>
          <cell r="B2949" t="str">
            <v>Pompa CM5-3</v>
          </cell>
          <cell r="C2949" t="str">
            <v>NHD</v>
          </cell>
        </row>
        <row r="2950">
          <cell r="A2950" t="str">
            <v>BIA-SP-0000128</v>
          </cell>
          <cell r="B2950" t="str">
            <v>Pompa CNP 4-50</v>
          </cell>
          <cell r="C2950" t="str">
            <v>NHD</v>
          </cell>
        </row>
        <row r="2951">
          <cell r="A2951" t="str">
            <v>BIA-SP-0000129</v>
          </cell>
          <cell r="B2951" t="str">
            <v>Pompa CNP CHLF 4-60</v>
          </cell>
          <cell r="C2951" t="str">
            <v>NHD</v>
          </cell>
        </row>
        <row r="2952">
          <cell r="A2952" t="str">
            <v>BIA-SP-0000130</v>
          </cell>
          <cell r="B2952" t="str">
            <v>POMPA NOCCHI NCX 375</v>
          </cell>
          <cell r="C2952" t="str">
            <v>NHD</v>
          </cell>
        </row>
        <row r="2953">
          <cell r="A2953" t="str">
            <v>BIA-SP-0000131</v>
          </cell>
          <cell r="B2953" t="str">
            <v>MEMBRANE TORAY TM 710</v>
          </cell>
          <cell r="C2953" t="str">
            <v>NHD</v>
          </cell>
        </row>
        <row r="2954">
          <cell r="A2954" t="str">
            <v>BIA-SP-0000132</v>
          </cell>
          <cell r="B2954" t="str">
            <v>Filter GCTB 5A-20</v>
          </cell>
          <cell r="C2954" t="str">
            <v>NHD</v>
          </cell>
        </row>
        <row r="2955">
          <cell r="A2955" t="str">
            <v>BIA-SP-0000133</v>
          </cell>
          <cell r="B2955" t="str">
            <v>Filter GCTB 5A-10</v>
          </cell>
          <cell r="C2955" t="str">
            <v>NHD</v>
          </cell>
        </row>
        <row r="2956">
          <cell r="A2956" t="str">
            <v>BIA-SP-0000134</v>
          </cell>
          <cell r="B2956" t="str">
            <v>Filter GCTB 10A-20</v>
          </cell>
          <cell r="C2956" t="str">
            <v>NHD</v>
          </cell>
        </row>
        <row r="2957">
          <cell r="A2957" t="str">
            <v>BIA-SP-0000135</v>
          </cell>
          <cell r="B2957" t="str">
            <v>Filter GCTB 10A-10</v>
          </cell>
          <cell r="C2957" t="str">
            <v>NHD</v>
          </cell>
        </row>
        <row r="2958">
          <cell r="A2958" t="str">
            <v>BIA-SP-0000136</v>
          </cell>
          <cell r="B2958" t="str">
            <v>Filter GWTB 5BB-20</v>
          </cell>
          <cell r="C2958" t="str">
            <v>NHD</v>
          </cell>
        </row>
        <row r="2959">
          <cell r="A2959" t="str">
            <v>BIA-SP-0000137</v>
          </cell>
          <cell r="B2959" t="str">
            <v>TABUNG 13 x 54</v>
          </cell>
          <cell r="C2959" t="str">
            <v>NHD</v>
          </cell>
        </row>
        <row r="2960">
          <cell r="A2960" t="str">
            <v>BIA-SP-0000138</v>
          </cell>
          <cell r="B2960" t="str">
            <v>Strainer Atas</v>
          </cell>
          <cell r="C2960" t="str">
            <v>NHD</v>
          </cell>
        </row>
        <row r="2961">
          <cell r="A2961" t="str">
            <v>BIA-SP-0000139</v>
          </cell>
          <cell r="B2961" t="str">
            <v>Strainer Bawah</v>
          </cell>
          <cell r="C2961" t="str">
            <v>NHD</v>
          </cell>
        </row>
        <row r="2962">
          <cell r="A2962" t="str">
            <v>BIA-SP-0000140</v>
          </cell>
          <cell r="B2962" t="str">
            <v>SELANG RESIN</v>
          </cell>
          <cell r="C2962" t="str">
            <v>NHD</v>
          </cell>
        </row>
        <row r="2963">
          <cell r="A2963" t="str">
            <v>BIA-SP-0000141</v>
          </cell>
          <cell r="B2963" t="str">
            <v>SELANG GARAM</v>
          </cell>
          <cell r="C2963" t="str">
            <v>NHD</v>
          </cell>
        </row>
        <row r="2964">
          <cell r="A2964" t="str">
            <v>BIA-SP-0000142</v>
          </cell>
          <cell r="B2964" t="str">
            <v>Filter GCTB 1A-20</v>
          </cell>
          <cell r="C2964" t="str">
            <v>NHD</v>
          </cell>
        </row>
        <row r="2965">
          <cell r="A2965" t="str">
            <v>BIA-SP-0000143</v>
          </cell>
          <cell r="B2965" t="str">
            <v>Filter GCTB 1A-10</v>
          </cell>
          <cell r="C2965" t="str">
            <v>NHD</v>
          </cell>
        </row>
        <row r="2966">
          <cell r="A2966" t="str">
            <v>BIA-SP-0000144</v>
          </cell>
          <cell r="B2966" t="str">
            <v>Safety Valve 1/2</v>
          </cell>
          <cell r="C2966" t="str">
            <v>NHD</v>
          </cell>
        </row>
        <row r="2967">
          <cell r="A2967" t="str">
            <v>BIA-SP-0000145</v>
          </cell>
          <cell r="B2967" t="str">
            <v>Otomatis Pompa Stainless</v>
          </cell>
          <cell r="C2967" t="str">
            <v>NHD</v>
          </cell>
        </row>
        <row r="2968">
          <cell r="A2968" t="str">
            <v>BIA-SP-0000146</v>
          </cell>
          <cell r="B2968" t="str">
            <v>Ducting Flexible 15mm</v>
          </cell>
          <cell r="C2968" t="str">
            <v>NHD</v>
          </cell>
        </row>
        <row r="2969">
          <cell r="A2969" t="str">
            <v>BIA-SP-0000147</v>
          </cell>
          <cell r="B2969" t="str">
            <v>Vlock Ring Kuningan 1 x 1 1/4</v>
          </cell>
          <cell r="C2969" t="str">
            <v>NHD</v>
          </cell>
        </row>
        <row r="2970">
          <cell r="A2970" t="str">
            <v>BIA-SP-0000148</v>
          </cell>
          <cell r="B2970" t="str">
            <v>Double Nepel 1 x 1</v>
          </cell>
          <cell r="C2970" t="str">
            <v>NHD</v>
          </cell>
        </row>
        <row r="2971">
          <cell r="A2971" t="str">
            <v>BIA-SP-0000149</v>
          </cell>
          <cell r="B2971" t="str">
            <v>Double Nepel 3/4 x 3/4</v>
          </cell>
          <cell r="C2971" t="str">
            <v>NHD</v>
          </cell>
        </row>
        <row r="2972">
          <cell r="A2972" t="str">
            <v>BIA-SP-0000150</v>
          </cell>
          <cell r="B2972" t="str">
            <v>Vlock Ring Kuningan 1/2 x 1/2</v>
          </cell>
          <cell r="C2972" t="str">
            <v>NHD</v>
          </cell>
        </row>
        <row r="2973">
          <cell r="A2973" t="str">
            <v>BIA-SP-0000151</v>
          </cell>
          <cell r="B2973" t="str">
            <v>Vlock Ring Kuningan 1/2 x 1/4</v>
          </cell>
          <cell r="C2973" t="str">
            <v>NHD</v>
          </cell>
        </row>
        <row r="2974">
          <cell r="A2974" t="str">
            <v>BIA-SP-0000152</v>
          </cell>
          <cell r="B2974" t="str">
            <v>Vlock Ring 1/2 x 3/8</v>
          </cell>
          <cell r="C2974" t="str">
            <v>NHD</v>
          </cell>
        </row>
        <row r="2975">
          <cell r="A2975" t="str">
            <v>BIA-SP-0000153</v>
          </cell>
          <cell r="B2975" t="str">
            <v>Double Nepel Dalam 3/4 x 3/4</v>
          </cell>
          <cell r="C2975" t="str">
            <v>NHD</v>
          </cell>
        </row>
        <row r="2976">
          <cell r="A2976" t="str">
            <v>BIA-SP-0000154</v>
          </cell>
          <cell r="B2976" t="str">
            <v>Double Nepel Dalam 1 x 1</v>
          </cell>
          <cell r="C2976" t="str">
            <v>NHD</v>
          </cell>
        </row>
        <row r="2977">
          <cell r="A2977" t="str">
            <v>BIA-SP-0000155</v>
          </cell>
          <cell r="B2977" t="str">
            <v>Nepel Selang Kuningan 1/2</v>
          </cell>
          <cell r="C2977" t="str">
            <v>NHD</v>
          </cell>
        </row>
        <row r="2978">
          <cell r="A2978" t="str">
            <v>BIA-SP-0000156</v>
          </cell>
          <cell r="B2978" t="str">
            <v>Nepel Selang Kuningan 3/4</v>
          </cell>
          <cell r="C2978" t="str">
            <v>NHD</v>
          </cell>
        </row>
        <row r="2979">
          <cell r="A2979" t="str">
            <v>BIA-SP-0000157</v>
          </cell>
          <cell r="B2979" t="str">
            <v>Nepel Selang Kuningan 1/2 x 3/4</v>
          </cell>
          <cell r="C2979" t="str">
            <v>NHD</v>
          </cell>
        </row>
        <row r="2980">
          <cell r="A2980" t="str">
            <v>BIA-SP-0000158</v>
          </cell>
          <cell r="B2980" t="str">
            <v>Nepel Selang 1/2 X 3/8</v>
          </cell>
          <cell r="C2980" t="str">
            <v>NHD</v>
          </cell>
        </row>
        <row r="2981">
          <cell r="A2981" t="str">
            <v>BIA-SP-0000159</v>
          </cell>
          <cell r="B2981" t="str">
            <v>Double Nepel 1 x 1/2</v>
          </cell>
          <cell r="C2981" t="str">
            <v>NHD</v>
          </cell>
        </row>
        <row r="2982">
          <cell r="A2982" t="str">
            <v>BIA-SP-0000160</v>
          </cell>
          <cell r="B2982" t="str">
            <v>Nepel Selang Kuningan Drat Dalam 3/4</v>
          </cell>
          <cell r="C2982" t="str">
            <v>NHD</v>
          </cell>
        </row>
        <row r="2983">
          <cell r="A2983" t="str">
            <v>BIA-SP-0000161</v>
          </cell>
          <cell r="B2983" t="str">
            <v>Needle Valve 1/2</v>
          </cell>
          <cell r="C2983" t="str">
            <v>NHD</v>
          </cell>
        </row>
        <row r="2984">
          <cell r="A2984" t="str">
            <v>BIA-SP-0000162</v>
          </cell>
          <cell r="B2984" t="str">
            <v>E-MOTOR1.5</v>
          </cell>
          <cell r="C2984" t="str">
            <v>NHD</v>
          </cell>
        </row>
        <row r="2985">
          <cell r="A2985" t="str">
            <v>BIA-SP-0000163</v>
          </cell>
          <cell r="B2985" t="str">
            <v>FFM0,20</v>
          </cell>
          <cell r="C2985" t="str">
            <v>NHD</v>
          </cell>
        </row>
        <row r="2986">
          <cell r="A2986" t="str">
            <v>BIA-SP-0000164</v>
          </cell>
          <cell r="B2986" t="str">
            <v>MEMBRANE AXEON NF5-4040</v>
          </cell>
          <cell r="C2986" t="str">
            <v>NHD</v>
          </cell>
        </row>
        <row r="2987">
          <cell r="A2987" t="str">
            <v>BIA-SP-0000165</v>
          </cell>
          <cell r="B2987" t="str">
            <v>GLOBE VALVE SS 3/4 INCH</v>
          </cell>
          <cell r="C2987" t="str">
            <v>NHD</v>
          </cell>
        </row>
        <row r="2988">
          <cell r="A2988" t="str">
            <v>BIA-SP-0000166</v>
          </cell>
          <cell r="B2988" t="str">
            <v>GRAVEL</v>
          </cell>
          <cell r="C2988" t="str">
            <v>NHD</v>
          </cell>
        </row>
        <row r="2989">
          <cell r="A2989" t="str">
            <v>BIA-SP-0000167</v>
          </cell>
          <cell r="B2989" t="str">
            <v>HEAD 263</v>
          </cell>
          <cell r="C2989" t="str">
            <v>NHD</v>
          </cell>
        </row>
        <row r="2990">
          <cell r="A2990" t="str">
            <v>BIA-SP-0000168</v>
          </cell>
          <cell r="B2990" t="str">
            <v>HOLDER</v>
          </cell>
          <cell r="C2990" t="str">
            <v>NHD</v>
          </cell>
        </row>
        <row r="2991">
          <cell r="A2991" t="str">
            <v>BIA-SP-0000169</v>
          </cell>
          <cell r="B2991" t="str">
            <v>HYPERFLOW E IV</v>
          </cell>
          <cell r="C2991" t="str">
            <v>NHD</v>
          </cell>
        </row>
        <row r="2992">
          <cell r="A2992" t="str">
            <v>BIA-SP-0000170</v>
          </cell>
          <cell r="B2992" t="str">
            <v>P-RK13.17</v>
          </cell>
          <cell r="C2992" t="str">
            <v>NHD</v>
          </cell>
        </row>
        <row r="2993">
          <cell r="A2993" t="str">
            <v>BIA-SP-0000171</v>
          </cell>
          <cell r="B2993" t="str">
            <v>P-RK21.10</v>
          </cell>
          <cell r="C2993" t="str">
            <v>NHD</v>
          </cell>
        </row>
        <row r="2994">
          <cell r="A2994" t="str">
            <v>BIA-SP-0000172</v>
          </cell>
          <cell r="B2994" t="str">
            <v>O-RING 2521</v>
          </cell>
          <cell r="C2994" t="str">
            <v>NHD</v>
          </cell>
        </row>
        <row r="2995">
          <cell r="A2995" t="str">
            <v>BIA-SP-0000173</v>
          </cell>
          <cell r="B2995" t="str">
            <v>RING 19-234</v>
          </cell>
          <cell r="C2995" t="str">
            <v>NHD</v>
          </cell>
        </row>
        <row r="2996">
          <cell r="A2996" t="str">
            <v>BIA-SP-0000174</v>
          </cell>
          <cell r="B2996" t="str">
            <v>S-9218KB</v>
          </cell>
          <cell r="C2996" t="str">
            <v>NHD</v>
          </cell>
        </row>
        <row r="2997">
          <cell r="A2997" t="str">
            <v>BIA-SP-0000175</v>
          </cell>
          <cell r="B2997" t="str">
            <v>Sen Harmess</v>
          </cell>
          <cell r="C2997" t="str">
            <v>NHD</v>
          </cell>
        </row>
        <row r="2998">
          <cell r="A2998" t="str">
            <v>BIA-SP-0000176</v>
          </cell>
          <cell r="B2998" t="str">
            <v>SP-000202</v>
          </cell>
          <cell r="C2998" t="str">
            <v>NHD</v>
          </cell>
        </row>
        <row r="2999">
          <cell r="A2999" t="str">
            <v>BIA-SP-0000177</v>
          </cell>
          <cell r="B2999" t="str">
            <v>SP-025163</v>
          </cell>
          <cell r="C2999" t="str">
            <v>NHD</v>
          </cell>
        </row>
        <row r="3000">
          <cell r="A3000" t="str">
            <v>BIA-SP-0000178</v>
          </cell>
          <cell r="B3000" t="str">
            <v>CRO-2600</v>
          </cell>
          <cell r="C3000" t="str">
            <v>NHD</v>
          </cell>
        </row>
        <row r="3001">
          <cell r="A3001" t="str">
            <v>BIA-SP-0000179</v>
          </cell>
          <cell r="B3001" t="str">
            <v>Filter Stratum C 10-10 NN</v>
          </cell>
          <cell r="C3001" t="str">
            <v>NHD</v>
          </cell>
        </row>
        <row r="3002">
          <cell r="A3002" t="str">
            <v>BIA-SP-0000180</v>
          </cell>
          <cell r="B3002" t="str">
            <v>Filter Stratum C 10-20 NN</v>
          </cell>
          <cell r="C3002" t="str">
            <v>NHD</v>
          </cell>
        </row>
        <row r="3003">
          <cell r="A3003" t="str">
            <v>BIA-SP-0000181</v>
          </cell>
          <cell r="B3003" t="str">
            <v>Filter Stratum C 5-10 NN</v>
          </cell>
          <cell r="C3003" t="str">
            <v>NHD</v>
          </cell>
        </row>
        <row r="3004">
          <cell r="A3004" t="str">
            <v>BIA-SP-0000182</v>
          </cell>
          <cell r="B3004" t="str">
            <v>SISTEM OTOMATIS</v>
          </cell>
          <cell r="C3004" t="str">
            <v>NHD</v>
          </cell>
        </row>
        <row r="3005">
          <cell r="A3005" t="str">
            <v>BIA-SP-0000183</v>
          </cell>
          <cell r="B3005" t="str">
            <v>SISTEM TIMER</v>
          </cell>
          <cell r="C3005" t="str">
            <v>NHD</v>
          </cell>
        </row>
        <row r="3006">
          <cell r="A3006" t="str">
            <v>BIA-SP-0000184</v>
          </cell>
          <cell r="B3006" t="str">
            <v>FILTER CFT0.2-20US</v>
          </cell>
          <cell r="C3006" t="str">
            <v>NHD</v>
          </cell>
        </row>
        <row r="3007">
          <cell r="A3007" t="str">
            <v>BIA-SP-0000185</v>
          </cell>
          <cell r="B3007" t="str">
            <v>FILTER GFPES 0.2A30C7S</v>
          </cell>
          <cell r="C3007" t="str">
            <v>NHD</v>
          </cell>
        </row>
        <row r="3008">
          <cell r="A3008" t="str">
            <v>BIA-SP-0000186</v>
          </cell>
          <cell r="B3008" t="str">
            <v>FILTER FG0.2A30C2S</v>
          </cell>
          <cell r="C3008" t="str">
            <v>NHD</v>
          </cell>
        </row>
        <row r="3009">
          <cell r="A3009" t="str">
            <v>BIA-SP-0000187</v>
          </cell>
          <cell r="B3009" t="str">
            <v>FILTER PP1.0A30C2S</v>
          </cell>
          <cell r="C3009" t="str">
            <v>NHD</v>
          </cell>
        </row>
        <row r="3010">
          <cell r="A3010" t="str">
            <v>BIA-SP-0000188</v>
          </cell>
          <cell r="B3010" t="str">
            <v>Pressure Gauge 10 BAR</v>
          </cell>
          <cell r="C3010" t="str">
            <v>NHD</v>
          </cell>
        </row>
        <row r="3011">
          <cell r="A3011" t="str">
            <v>BIA-SP-0000189</v>
          </cell>
          <cell r="B3011" t="str">
            <v>O-Ring for Dialyzer Coupling (Re-use)</v>
          </cell>
          <cell r="C3011" t="str">
            <v>NHD</v>
          </cell>
        </row>
        <row r="3012">
          <cell r="A3012" t="str">
            <v>BIA-SP-0000190</v>
          </cell>
          <cell r="B3012" t="str">
            <v>SILICONE O RING FLOW CONTROL (Re-use)</v>
          </cell>
          <cell r="C3012" t="str">
            <v>NHD</v>
          </cell>
        </row>
        <row r="3013">
          <cell r="A3013" t="str">
            <v>BIA-SP-0000191</v>
          </cell>
          <cell r="B3013" t="str">
            <v>PVC0035</v>
          </cell>
          <cell r="C3013" t="str">
            <v>NHD</v>
          </cell>
        </row>
        <row r="3014">
          <cell r="A3014" t="str">
            <v>BIA-SP-0000192</v>
          </cell>
          <cell r="B3014" t="str">
            <v>VENTURY 3/6</v>
          </cell>
          <cell r="C3014" t="str">
            <v>NHD</v>
          </cell>
        </row>
        <row r="3015">
          <cell r="A3015" t="str">
            <v>BIA-SP-0000193</v>
          </cell>
          <cell r="B3015" t="str">
            <v>PVC0058</v>
          </cell>
          <cell r="C3015" t="str">
            <v>NHD</v>
          </cell>
        </row>
        <row r="3016">
          <cell r="A3016" t="str">
            <v>BIA-SP-0000194</v>
          </cell>
          <cell r="B3016" t="str">
            <v>TABUNG CARBON 10 X 54 LOGIX</v>
          </cell>
          <cell r="C3016" t="str">
            <v>NHD</v>
          </cell>
        </row>
        <row r="3017">
          <cell r="A3017" t="str">
            <v>BIA-SP-0000195</v>
          </cell>
          <cell r="B3017" t="str">
            <v>PANEL BOX LISTRIK 1 SET</v>
          </cell>
          <cell r="C3017" t="str">
            <v>NHD</v>
          </cell>
        </row>
        <row r="3018">
          <cell r="A3018" t="str">
            <v>BIA-SP-0000196</v>
          </cell>
          <cell r="B3018" t="str">
            <v>LAMPU UV 30 LPM VIQUA</v>
          </cell>
          <cell r="C3018" t="str">
            <v>NHD</v>
          </cell>
        </row>
        <row r="3019">
          <cell r="A3019" t="str">
            <v>BIA-SP-0000197</v>
          </cell>
          <cell r="B3019" t="str">
            <v>TABUNG RESIN 10 X 54 LOGIX + BRINE TANK</v>
          </cell>
          <cell r="C3019" t="str">
            <v>NHD</v>
          </cell>
        </row>
        <row r="3020">
          <cell r="A3020" t="str">
            <v>BIA-SP-0000198</v>
          </cell>
          <cell r="B3020" t="str">
            <v>½ HOSE REPAIR CONNECTOR AUTO MALE</v>
          </cell>
          <cell r="C3020" t="str">
            <v>NHD</v>
          </cell>
        </row>
        <row r="3021">
          <cell r="A3021" t="str">
            <v>BIA-SP-0000199</v>
          </cell>
          <cell r="B3021" t="str">
            <v>AIR SEPARATOR / FSW – NDX1</v>
          </cell>
          <cell r="C3021" t="str">
            <v>NHD</v>
          </cell>
        </row>
        <row r="3022">
          <cell r="A3022" t="str">
            <v>BIA-SP-0000200</v>
          </cell>
          <cell r="B3022" t="str">
            <v>Bicarbonate Pump / B (P4)</v>
          </cell>
          <cell r="C3022" t="str">
            <v>NHD</v>
          </cell>
        </row>
        <row r="3023">
          <cell r="A3023" t="str">
            <v>BIA-SP-0000201</v>
          </cell>
          <cell r="B3023" t="str">
            <v>BUZZER</v>
          </cell>
          <cell r="C3023" t="str">
            <v>NHD</v>
          </cell>
        </row>
        <row r="3024">
          <cell r="A3024" t="str">
            <v>BIA-SP-0000202</v>
          </cell>
          <cell r="B3024" t="str">
            <v>CD BOARD 1,2,3</v>
          </cell>
          <cell r="C3024" t="str">
            <v>NHD</v>
          </cell>
        </row>
        <row r="3025">
          <cell r="A3025" t="str">
            <v>BIA-SP-0000203</v>
          </cell>
          <cell r="B3025" t="str">
            <v>CPU BOARD TYPE 2</v>
          </cell>
          <cell r="C3025" t="str">
            <v>NHD</v>
          </cell>
        </row>
        <row r="3026">
          <cell r="A3026" t="str">
            <v>BIA-SP-0000204</v>
          </cell>
          <cell r="B3026" t="str">
            <v>DIGITAL MANOMETER COPAL ELECTRONICS PG-100 102GH</v>
          </cell>
          <cell r="C3026" t="str">
            <v>NHD</v>
          </cell>
        </row>
        <row r="3027">
          <cell r="A3027" t="str">
            <v>BIA-SP-0000205</v>
          </cell>
          <cell r="B3027" t="str">
            <v>DRIP PROOF COVER FS1</v>
          </cell>
          <cell r="C3027" t="str">
            <v>NHD</v>
          </cell>
        </row>
        <row r="3028">
          <cell r="A3028" t="str">
            <v>BIA-SP-0000206</v>
          </cell>
          <cell r="B3028" t="str">
            <v>DRIP PROOF COVER FS2/FS4</v>
          </cell>
          <cell r="C3028" t="str">
            <v>NHD</v>
          </cell>
        </row>
        <row r="3029">
          <cell r="A3029" t="str">
            <v>BIA-SP-0000207</v>
          </cell>
          <cell r="B3029" t="str">
            <v>MAGNET GEAR PUMP FOR 230V MDG-R2RA230-33A</v>
          </cell>
          <cell r="C3029" t="str">
            <v>NHD</v>
          </cell>
        </row>
        <row r="3030">
          <cell r="A3030" t="str">
            <v>BIA-SP-0000208</v>
          </cell>
          <cell r="B3030" t="str">
            <v>MAIN BOARD TYPE I</v>
          </cell>
          <cell r="C3030" t="str">
            <v>NHD</v>
          </cell>
        </row>
        <row r="3031">
          <cell r="A3031" t="str">
            <v>BIA-SP-0000209</v>
          </cell>
          <cell r="B3031" t="str">
            <v>REDUCING VALVE ASSY (PR)</v>
          </cell>
          <cell r="C3031" t="str">
            <v>NHD</v>
          </cell>
        </row>
        <row r="3032">
          <cell r="A3032" t="str">
            <v>BIA-SP-0000210</v>
          </cell>
          <cell r="B3032" t="str">
            <v>ROLLER BLOOD PUMP SURDIAL MATERIAL SUS 304</v>
          </cell>
          <cell r="C3032" t="str">
            <v>NHD</v>
          </cell>
        </row>
        <row r="3033">
          <cell r="A3033" t="str">
            <v>BIA-SP-0000211</v>
          </cell>
          <cell r="B3033" t="str">
            <v>1/2 HOSE REPAIR CONN AUTO MALE</v>
          </cell>
          <cell r="C3033" t="str">
            <v>NHD</v>
          </cell>
        </row>
        <row r="3034">
          <cell r="A3034" t="str">
            <v>BIA-SP-0000212</v>
          </cell>
          <cell r="B3034" t="str">
            <v>BALLAST UV 30 LPM</v>
          </cell>
          <cell r="C3034" t="str">
            <v>NHD</v>
          </cell>
        </row>
        <row r="3035">
          <cell r="A3035" t="str">
            <v>BIA-SP-0000213</v>
          </cell>
          <cell r="B3035" t="str">
            <v>Digital Clamp Metter SANRIX BM518</v>
          </cell>
          <cell r="C3035" t="str">
            <v>NHD</v>
          </cell>
        </row>
        <row r="3036">
          <cell r="A3036" t="str">
            <v>BIA-SP-0000214</v>
          </cell>
          <cell r="B3036" t="str">
            <v>Digital Multitaster CD 800A SANWA</v>
          </cell>
          <cell r="C3036" t="str">
            <v>NHD</v>
          </cell>
        </row>
        <row r="3037">
          <cell r="A3037" t="str">
            <v>BIA-SP-0000215</v>
          </cell>
          <cell r="B3037" t="str">
            <v>KLEM SELANG 3/4"</v>
          </cell>
          <cell r="C3037" t="str">
            <v>NHD</v>
          </cell>
        </row>
        <row r="3038">
          <cell r="A3038" t="str">
            <v>BIA-SP-0000216</v>
          </cell>
          <cell r="B3038" t="str">
            <v>PD ASSY PD-02</v>
          </cell>
          <cell r="C3038" t="str">
            <v>NHD</v>
          </cell>
        </row>
        <row r="3039">
          <cell r="A3039" t="str">
            <v>BIA-SP-0000217</v>
          </cell>
          <cell r="B3039" t="str">
            <v>SELANG HYPREX 1/2</v>
          </cell>
          <cell r="C3039" t="str">
            <v>NHD</v>
          </cell>
        </row>
        <row r="3040">
          <cell r="A3040" t="str">
            <v>BIA-SP-0000218</v>
          </cell>
          <cell r="B3040" t="str">
            <v>SUB-BOARD SBY0270</v>
          </cell>
          <cell r="C3040" t="str">
            <v>NHD</v>
          </cell>
        </row>
        <row r="3041">
          <cell r="A3041" t="str">
            <v>BIA-SP-0000219</v>
          </cell>
          <cell r="B3041" t="str">
            <v>HEAD CARBON TYPE S</v>
          </cell>
          <cell r="C3041" t="str">
            <v>NHD</v>
          </cell>
        </row>
        <row r="3042">
          <cell r="A3042" t="str">
            <v>BIA-SP-0000220</v>
          </cell>
          <cell r="B3042" t="str">
            <v>ACCESSORIES SOFTENER</v>
          </cell>
          <cell r="C3042" t="str">
            <v>NHD</v>
          </cell>
        </row>
        <row r="3043">
          <cell r="A3043" t="str">
            <v>BIA-SP-0000221</v>
          </cell>
          <cell r="B3043" t="str">
            <v>BALLAST UV 19 LPM</v>
          </cell>
          <cell r="C3043" t="str">
            <v>NHD</v>
          </cell>
        </row>
        <row r="3044">
          <cell r="A3044" t="str">
            <v>BIA-SP-0000222</v>
          </cell>
          <cell r="B3044" t="str">
            <v>CARBON ACTIVE 1 ZAK</v>
          </cell>
          <cell r="C3044" t="str">
            <v>NHD</v>
          </cell>
        </row>
        <row r="3045">
          <cell r="A3045" t="str">
            <v>BIA-SP-0000222-CA</v>
          </cell>
          <cell r="B3045" t="str">
            <v>CARBON ACTIVE 1 ZAK</v>
          </cell>
          <cell r="C3045" t="str">
            <v>NHD</v>
          </cell>
        </row>
        <row r="3046">
          <cell r="A3046" t="str">
            <v>BIA-SP-0000223</v>
          </cell>
          <cell r="B3046" t="str">
            <v>DUDUKAN POMPA 2U</v>
          </cell>
          <cell r="C3046" t="str">
            <v>NHD</v>
          </cell>
        </row>
        <row r="3047">
          <cell r="A3047" t="str">
            <v>BIA-SP-0000224</v>
          </cell>
          <cell r="B3047" t="str">
            <v>DUDUKAN TANGKI PLASTIK 500 LTR</v>
          </cell>
          <cell r="C3047" t="str">
            <v>NHD</v>
          </cell>
        </row>
        <row r="3048">
          <cell r="A3048" t="str">
            <v>BIA-SP-0000225</v>
          </cell>
          <cell r="B3048" t="str">
            <v>Filter FG0.2A30C7S</v>
          </cell>
          <cell r="C3048" t="str">
            <v>NHD</v>
          </cell>
        </row>
        <row r="3049">
          <cell r="A3049" t="str">
            <v>BIA-SP-0000226</v>
          </cell>
          <cell r="B3049" t="str">
            <v>HD00-SP00-00002 (RADAR)</v>
          </cell>
          <cell r="C3049" t="str">
            <v>NHD</v>
          </cell>
        </row>
        <row r="3050">
          <cell r="A3050" t="str">
            <v>BIA-SP-0000227</v>
          </cell>
          <cell r="B3050" t="str">
            <v>HEAD RESIN LOGIC</v>
          </cell>
          <cell r="C3050" t="str">
            <v>NHD</v>
          </cell>
        </row>
        <row r="3051">
          <cell r="A3051" t="str">
            <v>BIA-SP-0000228</v>
          </cell>
          <cell r="B3051" t="str">
            <v>HEAD TABUNG CARBON AUTOTROL 13x54</v>
          </cell>
          <cell r="C3051" t="str">
            <v>NHD</v>
          </cell>
        </row>
        <row r="3052">
          <cell r="A3052" t="str">
            <v>BIA-SP-0000229</v>
          </cell>
          <cell r="B3052" t="str">
            <v>HEAD TABUNG CARBON MANUAL 13x54</v>
          </cell>
          <cell r="C3052" t="str">
            <v>NHD</v>
          </cell>
        </row>
        <row r="3053">
          <cell r="A3053" t="str">
            <v>BIA-SP-0000230</v>
          </cell>
          <cell r="B3053" t="str">
            <v>MC 11 (Mem Clean)</v>
          </cell>
          <cell r="C3053" t="str">
            <v>NHD</v>
          </cell>
        </row>
        <row r="3054">
          <cell r="A3054" t="str">
            <v>BIA-SP-0000231</v>
          </cell>
          <cell r="B3054" t="str">
            <v>MEMBRANE AXEON HF4 2540</v>
          </cell>
          <cell r="C3054" t="str">
            <v>NHD</v>
          </cell>
        </row>
        <row r="3055">
          <cell r="A3055" t="str">
            <v>BIA-SP-0000232</v>
          </cell>
          <cell r="B3055" t="str">
            <v>MEMBRANE AXEON HF4 4040</v>
          </cell>
          <cell r="C3055" t="str">
            <v>NHD</v>
          </cell>
        </row>
        <row r="3056">
          <cell r="A3056" t="str">
            <v>BIA-SP-0000233</v>
          </cell>
          <cell r="B3056" t="str">
            <v>PIPA, FITTING, VALVE 1 LOT</v>
          </cell>
          <cell r="C3056" t="str">
            <v>NHD</v>
          </cell>
        </row>
        <row r="3057">
          <cell r="A3057" t="str">
            <v>BIA-SP-0000234</v>
          </cell>
          <cell r="B3057" t="str">
            <v>POMPA GRUNDFOS JPA 5-61</v>
          </cell>
          <cell r="C3057" t="str">
            <v>NHD</v>
          </cell>
        </row>
        <row r="3058">
          <cell r="A3058" t="str">
            <v>BIA-SP-0000235</v>
          </cell>
          <cell r="B3058" t="str">
            <v>POMPA GRUNDFOS JP BASIC 5</v>
          </cell>
          <cell r="C3058" t="str">
            <v>NHD</v>
          </cell>
        </row>
        <row r="3059">
          <cell r="A3059" t="str">
            <v>BIA-SP-0000236</v>
          </cell>
          <cell r="B3059" t="str">
            <v>POMPA GRUNDFOS JP BASIC 7</v>
          </cell>
          <cell r="C3059" t="str">
            <v>NHD</v>
          </cell>
        </row>
        <row r="3060">
          <cell r="A3060" t="str">
            <v>BIA-SP-0000237</v>
          </cell>
          <cell r="B3060" t="str">
            <v>RESIN CATION 1ZAK</v>
          </cell>
          <cell r="C3060" t="str">
            <v>NHD</v>
          </cell>
        </row>
        <row r="3061">
          <cell r="A3061" t="str">
            <v>BIA-SP-0000237-RC</v>
          </cell>
          <cell r="B3061" t="str">
            <v>RESIN CATION 1ZAK</v>
          </cell>
          <cell r="C3061" t="str">
            <v>NHD</v>
          </cell>
        </row>
        <row r="3062">
          <cell r="A3062" t="str">
            <v>BIA-SP-0000238</v>
          </cell>
          <cell r="B3062" t="str">
            <v>Filter FG0.2A20C2S</v>
          </cell>
          <cell r="C3062" t="str">
            <v>NHD</v>
          </cell>
        </row>
        <row r="3063">
          <cell r="A3063" t="str">
            <v>BIA-SP-0000239</v>
          </cell>
          <cell r="B3063" t="str">
            <v>Filter FG0.2A30C7S</v>
          </cell>
          <cell r="C3063" t="str">
            <v>NHD</v>
          </cell>
        </row>
        <row r="3064">
          <cell r="A3064" t="str">
            <v>BIA-SP-0000240</v>
          </cell>
          <cell r="B3064" t="str">
            <v>MC 11 (Mem Clean)</v>
          </cell>
          <cell r="C3064" t="str">
            <v>NHD</v>
          </cell>
        </row>
        <row r="3065">
          <cell r="A3065" t="str">
            <v>BIA-SP-0000241</v>
          </cell>
          <cell r="B3065" t="str">
            <v>POMPA GRUNDFOS JPA 4-54</v>
          </cell>
          <cell r="C3065" t="str">
            <v>NHD</v>
          </cell>
        </row>
        <row r="3066">
          <cell r="A3066" t="str">
            <v>BIA-SP-0000242</v>
          </cell>
          <cell r="B3066" t="str">
            <v>POMPA GRUNDFOS JP BASIC 5</v>
          </cell>
          <cell r="C3066" t="str">
            <v>NHD</v>
          </cell>
        </row>
        <row r="3067">
          <cell r="A3067" t="str">
            <v>BIA-SP-0000243</v>
          </cell>
          <cell r="B3067" t="str">
            <v>DEAERATION BATH ASSY (AS2)</v>
          </cell>
          <cell r="C3067" t="str">
            <v>NHD</v>
          </cell>
        </row>
        <row r="3068">
          <cell r="A3068" t="str">
            <v>BIA-SP-0000244</v>
          </cell>
          <cell r="B3068" t="str">
            <v>PRESSURE SW (PS) ASSY</v>
          </cell>
          <cell r="C3068" t="str">
            <v>NHD</v>
          </cell>
        </row>
        <row r="3069">
          <cell r="A3069" t="str">
            <v>BIA-SP-0000245</v>
          </cell>
          <cell r="B3069" t="str">
            <v>SILICONE TUBE 3X5</v>
          </cell>
          <cell r="C3069" t="str">
            <v>NHD</v>
          </cell>
        </row>
        <row r="3070">
          <cell r="A3070" t="str">
            <v>BIA-SP-0000246</v>
          </cell>
          <cell r="B3070" t="str">
            <v>SILICONE TUBE 6 X 12</v>
          </cell>
          <cell r="C3070" t="str">
            <v>NHD</v>
          </cell>
        </row>
        <row r="3071">
          <cell r="A3071" t="str">
            <v>BIA-SP-0000247</v>
          </cell>
          <cell r="B3071" t="str">
            <v>FG02A</v>
          </cell>
          <cell r="C3071" t="str">
            <v>NHD</v>
          </cell>
        </row>
        <row r="3072">
          <cell r="A3072" t="str">
            <v>BIA-SP-0000248</v>
          </cell>
          <cell r="B3072" t="str">
            <v>PP10A</v>
          </cell>
          <cell r="C3072" t="str">
            <v>NHD</v>
          </cell>
        </row>
        <row r="3073">
          <cell r="A3073" t="str">
            <v>BIA-SP-0000249</v>
          </cell>
          <cell r="B3073" t="str">
            <v>HRESINA</v>
          </cell>
          <cell r="C3073" t="str">
            <v>NHD</v>
          </cell>
        </row>
        <row r="3074">
          <cell r="A3074" t="str">
            <v>BIA-SP-0000250</v>
          </cell>
          <cell r="B3074" t="str">
            <v>HRESINM</v>
          </cell>
          <cell r="C3074" t="str">
            <v>NHD</v>
          </cell>
        </row>
        <row r="3075">
          <cell r="A3075" t="str">
            <v>BIA-SP-0000251</v>
          </cell>
          <cell r="B3075" t="str">
            <v>HCARBONM</v>
          </cell>
          <cell r="C3075" t="str">
            <v>NHD</v>
          </cell>
        </row>
        <row r="3076">
          <cell r="A3076" t="str">
            <v>BIA-SP-0000252</v>
          </cell>
          <cell r="B3076" t="str">
            <v>NYM2112</v>
          </cell>
          <cell r="C3076" t="str">
            <v>NHD</v>
          </cell>
        </row>
        <row r="3077">
          <cell r="A3077" t="str">
            <v>BIA-SP-0000253</v>
          </cell>
          <cell r="B3077" t="str">
            <v>NYM3212</v>
          </cell>
          <cell r="C3077" t="str">
            <v>NHD</v>
          </cell>
        </row>
        <row r="3078">
          <cell r="A3078" t="str">
            <v>BIA-SP-0000254</v>
          </cell>
          <cell r="B3078" t="str">
            <v>PGAUGE6</v>
          </cell>
          <cell r="C3078" t="str">
            <v>NHD</v>
          </cell>
        </row>
        <row r="3079">
          <cell r="A3079" t="str">
            <v>BIA-SP-0000255</v>
          </cell>
          <cell r="B3079" t="str">
            <v>PGAUGE7</v>
          </cell>
          <cell r="C3079" t="str">
            <v>NHD</v>
          </cell>
        </row>
        <row r="3080">
          <cell r="A3080" t="str">
            <v>BIA-SP-0000256</v>
          </cell>
          <cell r="B3080" t="str">
            <v>PGAUGE10</v>
          </cell>
          <cell r="C3080" t="str">
            <v>NHD</v>
          </cell>
        </row>
        <row r="3081">
          <cell r="A3081" t="str">
            <v>BIA-SP-0000257</v>
          </cell>
          <cell r="B3081" t="str">
            <v>PANCOND</v>
          </cell>
          <cell r="C3081" t="str">
            <v>NHD</v>
          </cell>
        </row>
        <row r="3082">
          <cell r="A3082" t="str">
            <v>BIA-SP-0000258</v>
          </cell>
          <cell r="B3082" t="str">
            <v>SALT</v>
          </cell>
          <cell r="C3082" t="str">
            <v>NHD</v>
          </cell>
        </row>
        <row r="3083">
          <cell r="A3083" t="str">
            <v>BIA-SP-0000259</v>
          </cell>
          <cell r="B3083" t="str">
            <v>SLNDV1</v>
          </cell>
          <cell r="C3083" t="str">
            <v>NHD</v>
          </cell>
        </row>
        <row r="3084">
          <cell r="A3084" t="str">
            <v>BIA-SP-0000260</v>
          </cell>
          <cell r="B3084" t="str">
            <v>SLNDV34</v>
          </cell>
          <cell r="C3084" t="str">
            <v>NHD</v>
          </cell>
        </row>
        <row r="3085">
          <cell r="A3085" t="str">
            <v>BIA-SP-0000261</v>
          </cell>
          <cell r="B3085" t="str">
            <v>SLNDV12</v>
          </cell>
          <cell r="C3085" t="str">
            <v>NHD</v>
          </cell>
        </row>
        <row r="3086">
          <cell r="A3086" t="str">
            <v>BIA-SP-0000262</v>
          </cell>
          <cell r="B3086" t="str">
            <v>PRESSURE SWITCH SAGINOMIYA</v>
          </cell>
          <cell r="C3086" t="str">
            <v>NHD</v>
          </cell>
        </row>
        <row r="3087">
          <cell r="A3087" t="str">
            <v>BIA-SP-0000263</v>
          </cell>
          <cell r="B3087" t="str">
            <v>BALLAS</v>
          </cell>
          <cell r="C3087" t="str">
            <v>NHD</v>
          </cell>
        </row>
        <row r="3088">
          <cell r="A3088" t="str">
            <v>BIA-SP-0000264</v>
          </cell>
          <cell r="B3088" t="str">
            <v>MOTOR PROCON</v>
          </cell>
          <cell r="C3088" t="str">
            <v>NHD</v>
          </cell>
        </row>
        <row r="3089">
          <cell r="A3089" t="str">
            <v>BIA-SP-0000265</v>
          </cell>
          <cell r="B3089" t="str">
            <v>HOUSEF10</v>
          </cell>
          <cell r="C3089" t="str">
            <v>NHD</v>
          </cell>
        </row>
        <row r="3090">
          <cell r="A3090" t="str">
            <v>BIA-SP-0000266</v>
          </cell>
          <cell r="B3090" t="str">
            <v>FLOAT1</v>
          </cell>
          <cell r="C3090" t="str">
            <v>NHD</v>
          </cell>
        </row>
        <row r="3091">
          <cell r="A3091" t="str">
            <v>BIA-SP-0000267</v>
          </cell>
          <cell r="B3091" t="str">
            <v>HF4</v>
          </cell>
          <cell r="C3091" t="str">
            <v>NHD</v>
          </cell>
        </row>
        <row r="3092">
          <cell r="A3092" t="str">
            <v>BIA-SP-0000268</v>
          </cell>
          <cell r="B3092" t="str">
            <v>HCARBONA</v>
          </cell>
          <cell r="C3092" t="str">
            <v>NHD</v>
          </cell>
        </row>
        <row r="3093">
          <cell r="A3093" t="str">
            <v>BIA-SP-0000269</v>
          </cell>
          <cell r="B3093" t="str">
            <v>HOUSEF20</v>
          </cell>
          <cell r="C3093" t="str">
            <v>NHD</v>
          </cell>
        </row>
        <row r="3094">
          <cell r="A3094" t="str">
            <v>BIA-SP-0000270</v>
          </cell>
          <cell r="B3094" t="str">
            <v>HOUSEF5BB</v>
          </cell>
          <cell r="C3094" t="str">
            <v>NHD</v>
          </cell>
        </row>
        <row r="3095">
          <cell r="A3095" t="str">
            <v>BIA-SP-0000271</v>
          </cell>
          <cell r="B3095" t="str">
            <v>LAMPUV45</v>
          </cell>
          <cell r="C3095" t="str">
            <v>NHD</v>
          </cell>
        </row>
        <row r="3096">
          <cell r="A3096" t="str">
            <v>BIA-SP-0000272</v>
          </cell>
          <cell r="B3096" t="str">
            <v>M4040</v>
          </cell>
          <cell r="C3096" t="str">
            <v>NHD</v>
          </cell>
        </row>
        <row r="3097">
          <cell r="A3097" t="str">
            <v>BIA-SP-0000273</v>
          </cell>
          <cell r="B3097" t="str">
            <v>PRESSV</v>
          </cell>
          <cell r="C3097" t="str">
            <v>NHD</v>
          </cell>
        </row>
        <row r="3098">
          <cell r="A3098" t="str">
            <v>BIA-SP-0000274</v>
          </cell>
          <cell r="B3098" t="str">
            <v>HF12540</v>
          </cell>
          <cell r="C3098" t="str">
            <v>NHD</v>
          </cell>
        </row>
        <row r="3099">
          <cell r="A3099" t="str">
            <v>BIA-SP-0000275</v>
          </cell>
          <cell r="B3099" t="str">
            <v>MC 3 (CITRIC CLEAN)</v>
          </cell>
          <cell r="C3099" t="str">
            <v>NHD</v>
          </cell>
        </row>
        <row r="3100">
          <cell r="A3100" t="str">
            <v>BIA-SP-0000276</v>
          </cell>
          <cell r="B3100" t="str">
            <v>MC 11 (MEM CLEAN)</v>
          </cell>
          <cell r="C3100" t="str">
            <v>NHD</v>
          </cell>
        </row>
        <row r="3101">
          <cell r="A3101" t="str">
            <v>BIA-SP-0000277</v>
          </cell>
          <cell r="B3101" t="str">
            <v>SAND</v>
          </cell>
          <cell r="C3101" t="str">
            <v>NHD</v>
          </cell>
        </row>
        <row r="3102">
          <cell r="A3102" t="str">
            <v>BIA-SP-0000278</v>
          </cell>
          <cell r="B3102" t="str">
            <v>AMBERLITE IRC 120 Na</v>
          </cell>
          <cell r="C3102" t="str">
            <v>NHD</v>
          </cell>
        </row>
        <row r="3103">
          <cell r="A3103" t="str">
            <v>BIA-SP-0000279</v>
          </cell>
          <cell r="B3103" t="str">
            <v>PYROLOX</v>
          </cell>
          <cell r="C3103" t="str">
            <v>NHD</v>
          </cell>
        </row>
        <row r="3104">
          <cell r="A3104" t="str">
            <v>BIA-SP-0000280</v>
          </cell>
          <cell r="B3104" t="str">
            <v>CARBON</v>
          </cell>
          <cell r="C3104" t="str">
            <v>NHD</v>
          </cell>
        </row>
        <row r="3105">
          <cell r="A3105" t="str">
            <v>BIA-SP-0000281</v>
          </cell>
          <cell r="B3105" t="str">
            <v>GPA4</v>
          </cell>
          <cell r="C3105" t="str">
            <v>NHD</v>
          </cell>
        </row>
        <row r="3106">
          <cell r="A3106" t="str">
            <v>BIA-SP-0000282</v>
          </cell>
          <cell r="B3106" t="str">
            <v>CHLF850</v>
          </cell>
          <cell r="C3106" t="str">
            <v>NHD</v>
          </cell>
        </row>
        <row r="3107">
          <cell r="A3107" t="str">
            <v>BIA-SP-0000283</v>
          </cell>
          <cell r="B3107" t="str">
            <v>Pompa CDLF 1-21 1 Phase</v>
          </cell>
          <cell r="C3107" t="str">
            <v>NHD</v>
          </cell>
        </row>
        <row r="3108">
          <cell r="A3108" t="str">
            <v>BIA-SP-0000284</v>
          </cell>
          <cell r="B3108" t="str">
            <v>GOULD</v>
          </cell>
          <cell r="C3108" t="str">
            <v>NHD</v>
          </cell>
        </row>
        <row r="3109">
          <cell r="A3109" t="str">
            <v>BIA-SP-0000285</v>
          </cell>
          <cell r="B3109" t="str">
            <v>CHLF430</v>
          </cell>
          <cell r="C3109" t="str">
            <v>NHD</v>
          </cell>
        </row>
        <row r="3110">
          <cell r="A3110" t="str">
            <v>BIA-SP-0000286</v>
          </cell>
          <cell r="B3110" t="str">
            <v>AHI460</v>
          </cell>
          <cell r="C3110" t="str">
            <v>NHD</v>
          </cell>
        </row>
        <row r="3111">
          <cell r="A3111" t="str">
            <v>BIA-SP-0000287</v>
          </cell>
          <cell r="B3111" t="str">
            <v>JPA862</v>
          </cell>
          <cell r="C3111" t="str">
            <v>NHD</v>
          </cell>
        </row>
        <row r="3112">
          <cell r="A3112" t="str">
            <v>BIA-SP-0000288</v>
          </cell>
          <cell r="B3112" t="str">
            <v>CM55</v>
          </cell>
          <cell r="C3112" t="str">
            <v>NHD</v>
          </cell>
        </row>
        <row r="3113">
          <cell r="A3113" t="str">
            <v>BIA-SP-0000289</v>
          </cell>
          <cell r="B3113" t="str">
            <v>CM53</v>
          </cell>
          <cell r="C3113" t="str">
            <v>NHD</v>
          </cell>
        </row>
        <row r="3114">
          <cell r="A3114" t="str">
            <v>BIA-SP-0000290</v>
          </cell>
          <cell r="B3114" t="str">
            <v>CNP450</v>
          </cell>
          <cell r="C3114" t="str">
            <v>NHD</v>
          </cell>
        </row>
        <row r="3115">
          <cell r="A3115" t="str">
            <v>BIA-SP-0000291</v>
          </cell>
          <cell r="B3115" t="str">
            <v>CNP460</v>
          </cell>
          <cell r="C3115" t="str">
            <v>NHD</v>
          </cell>
        </row>
        <row r="3116">
          <cell r="A3116" t="str">
            <v>BIA-SP-0000292</v>
          </cell>
          <cell r="B3116" t="str">
            <v>NCX375</v>
          </cell>
          <cell r="C3116" t="str">
            <v>NHD</v>
          </cell>
        </row>
        <row r="3117">
          <cell r="A3117" t="str">
            <v>BIA-SP-0000293</v>
          </cell>
          <cell r="B3117" t="str">
            <v>JPA561</v>
          </cell>
          <cell r="C3117" t="str">
            <v>NHD</v>
          </cell>
        </row>
        <row r="3118">
          <cell r="A3118" t="str">
            <v>BIA-SP-0000294</v>
          </cell>
          <cell r="B3118" t="str">
            <v>Filter GCTB 5A30</v>
          </cell>
          <cell r="C3118" t="str">
            <v>NHD</v>
          </cell>
        </row>
        <row r="3119">
          <cell r="A3119" t="str">
            <v>BIA-SP-0000295</v>
          </cell>
          <cell r="B3119" t="str">
            <v>GCTB5A10</v>
          </cell>
          <cell r="C3119" t="str">
            <v>NHD</v>
          </cell>
        </row>
        <row r="3120">
          <cell r="A3120" t="str">
            <v>BIA-SP-0000296</v>
          </cell>
          <cell r="B3120" t="str">
            <v>Filter GCTB 10A30</v>
          </cell>
          <cell r="C3120" t="str">
            <v>NHD</v>
          </cell>
        </row>
        <row r="3121">
          <cell r="A3121" t="str">
            <v>BIA-SP-0000297</v>
          </cell>
          <cell r="B3121" t="str">
            <v>GCTB10A10</v>
          </cell>
          <cell r="C3121" t="str">
            <v>NHD</v>
          </cell>
        </row>
        <row r="3122">
          <cell r="A3122" t="str">
            <v>BIA-SP-0000298</v>
          </cell>
          <cell r="B3122" t="str">
            <v>GWTB520</v>
          </cell>
          <cell r="C3122" t="str">
            <v>NHD</v>
          </cell>
        </row>
        <row r="3123">
          <cell r="A3123" t="str">
            <v>BIA-SP-0000299</v>
          </cell>
          <cell r="B3123" t="str">
            <v>TUBE1354</v>
          </cell>
          <cell r="C3123" t="str">
            <v>NHD</v>
          </cell>
        </row>
        <row r="3124">
          <cell r="A3124" t="str">
            <v>BIA-SP-0000300</v>
          </cell>
          <cell r="B3124" t="str">
            <v>STRAUP</v>
          </cell>
          <cell r="C3124" t="str">
            <v>NHD</v>
          </cell>
        </row>
        <row r="3125">
          <cell r="A3125" t="str">
            <v>BIA-SP-0000301</v>
          </cell>
          <cell r="B3125" t="str">
            <v>STRADOWN</v>
          </cell>
          <cell r="C3125" t="str">
            <v>NHD</v>
          </cell>
        </row>
        <row r="3126">
          <cell r="A3126" t="str">
            <v>BIA-SP-0000302</v>
          </cell>
          <cell r="B3126" t="str">
            <v>GCTB1A20</v>
          </cell>
          <cell r="C3126" t="str">
            <v>NHD</v>
          </cell>
        </row>
        <row r="3127">
          <cell r="A3127" t="str">
            <v>BIA-SP-0000303</v>
          </cell>
          <cell r="B3127" t="str">
            <v>GCTB1A10</v>
          </cell>
          <cell r="C3127" t="str">
            <v>NHD</v>
          </cell>
        </row>
        <row r="3128">
          <cell r="A3128" t="str">
            <v>BIA-SP-0000304</v>
          </cell>
          <cell r="B3128" t="str">
            <v>SAFEVALVE</v>
          </cell>
          <cell r="C3128" t="str">
            <v>NHD</v>
          </cell>
        </row>
        <row r="3129">
          <cell r="A3129" t="str">
            <v>BIA-SP-0000305</v>
          </cell>
          <cell r="B3129" t="str">
            <v>OTOMAT</v>
          </cell>
          <cell r="C3129" t="str">
            <v>NHD</v>
          </cell>
        </row>
        <row r="3130">
          <cell r="A3130" t="str">
            <v>BIA-SP-0000306</v>
          </cell>
          <cell r="B3130" t="str">
            <v>MIS0022</v>
          </cell>
          <cell r="C3130" t="str">
            <v>NHD</v>
          </cell>
        </row>
        <row r="3131">
          <cell r="A3131" t="str">
            <v>BIA-SP-0000307</v>
          </cell>
          <cell r="B3131" t="str">
            <v>MIS0032</v>
          </cell>
          <cell r="C3131" t="str">
            <v>NHD</v>
          </cell>
        </row>
        <row r="3132">
          <cell r="A3132" t="str">
            <v>BIA-SP-0000308</v>
          </cell>
          <cell r="B3132" t="str">
            <v>PVC0035</v>
          </cell>
          <cell r="C3132" t="str">
            <v>NHD</v>
          </cell>
        </row>
        <row r="3133">
          <cell r="A3133" t="str">
            <v>BIA-SP-0000309</v>
          </cell>
          <cell r="B3133" t="str">
            <v>VFC0045</v>
          </cell>
          <cell r="C3133" t="str">
            <v>NHD</v>
          </cell>
        </row>
        <row r="3134">
          <cell r="A3134" t="str">
            <v>BIA-SP-0000310</v>
          </cell>
          <cell r="B3134" t="str">
            <v>PVC0058</v>
          </cell>
          <cell r="C3134" t="str">
            <v>NHD</v>
          </cell>
        </row>
        <row r="3135">
          <cell r="A3135" t="str">
            <v>BIA-SP-0000311</v>
          </cell>
          <cell r="B3135" t="str">
            <v>LAMPUV30</v>
          </cell>
          <cell r="C3135" t="str">
            <v>NHD</v>
          </cell>
        </row>
        <row r="3136">
          <cell r="A3136" t="str">
            <v>BIA-SP-0000312</v>
          </cell>
          <cell r="B3136" t="str">
            <v>TABUNG CARBON 13 X 54 LOGIX</v>
          </cell>
          <cell r="C3136" t="str">
            <v>NHD</v>
          </cell>
        </row>
        <row r="3137">
          <cell r="A3137" t="str">
            <v>BIA-SP-0000313</v>
          </cell>
          <cell r="B3137" t="str">
            <v>PANEL BOX LISTRIK 1 SET</v>
          </cell>
          <cell r="C3137" t="str">
            <v>NHD</v>
          </cell>
        </row>
        <row r="3138">
          <cell r="A3138" t="str">
            <v>BIA-SP-0000314</v>
          </cell>
          <cell r="B3138" t="str">
            <v>TABUNG RESIN 13 X 54 LOGIX + BRINE TANK</v>
          </cell>
          <cell r="C3138" t="str">
            <v>NHD</v>
          </cell>
        </row>
        <row r="3139">
          <cell r="A3139" t="str">
            <v>BIA-SP-0000315</v>
          </cell>
          <cell r="B3139" t="str">
            <v>BEARING ROLLER</v>
          </cell>
          <cell r="C3139" t="str">
            <v>NHD</v>
          </cell>
        </row>
        <row r="3140">
          <cell r="A3140" t="str">
            <v>BIA-SP-0000316</v>
          </cell>
          <cell r="B3140" t="str">
            <v>REDUCTION VALVE CHROME PLATED</v>
          </cell>
          <cell r="C3140" t="str">
            <v>NHD</v>
          </cell>
        </row>
        <row r="3141">
          <cell r="A3141" t="str">
            <v>BIA-SP-0000317</v>
          </cell>
          <cell r="B3141" t="str">
            <v>Endotoxin Filter</v>
          </cell>
          <cell r="C3141" t="str">
            <v>NHD</v>
          </cell>
        </row>
        <row r="3142">
          <cell r="A3142" t="str">
            <v>BIA-SP-0000318</v>
          </cell>
          <cell r="B3142" t="str">
            <v>Kabel Ties</v>
          </cell>
          <cell r="C3142" t="str">
            <v>NHD</v>
          </cell>
        </row>
        <row r="3143">
          <cell r="A3143" t="str">
            <v>BIA-SP-0000319</v>
          </cell>
          <cell r="B3143" t="str">
            <v>Jg Screw-In Connector 15-1/2</v>
          </cell>
          <cell r="C3143" t="str">
            <v>NHD</v>
          </cell>
        </row>
        <row r="3144">
          <cell r="A3144" t="str">
            <v>BIA-SP-0000320</v>
          </cell>
          <cell r="B3144" t="str">
            <v>John Guest Insert Angle</v>
          </cell>
          <cell r="C3144" t="str">
            <v>NHD</v>
          </cell>
        </row>
        <row r="3145">
          <cell r="A3145" t="str">
            <v>BIA-SP-0000321</v>
          </cell>
          <cell r="B3145" t="str">
            <v>T-Connector John Guest 15 mm</v>
          </cell>
          <cell r="C3145" t="str">
            <v>NHD</v>
          </cell>
        </row>
        <row r="3146">
          <cell r="A3146" t="str">
            <v>BIA-SP-0000322</v>
          </cell>
          <cell r="B3146" t="str">
            <v>Pipe Clamp 100-105 mm</v>
          </cell>
          <cell r="C3146" t="str">
            <v>NHD</v>
          </cell>
        </row>
        <row r="3147">
          <cell r="A3147" t="str">
            <v>BIA-SP-0000323</v>
          </cell>
          <cell r="B3147" t="str">
            <v>Pa Pipe 15 x 1,5 Black</v>
          </cell>
          <cell r="C3147" t="str">
            <v>NHD</v>
          </cell>
        </row>
        <row r="3148">
          <cell r="A3148" t="str">
            <v>BIA-SP-0000324</v>
          </cell>
          <cell r="B3148" t="str">
            <v>Concentrate Pres Keeping 2 Rom W. Bundle</v>
          </cell>
          <cell r="C3148" t="str">
            <v>NHD</v>
          </cell>
        </row>
        <row r="3149">
          <cell r="A3149" t="str">
            <v>BIA-SP-0000325</v>
          </cell>
          <cell r="B3149" t="str">
            <v>Pressure Pipe W 300 E-4-1</v>
          </cell>
          <cell r="C3149" t="str">
            <v>NHD</v>
          </cell>
        </row>
        <row r="3150">
          <cell r="A3150" t="str">
            <v>BIA-SP-0000326</v>
          </cell>
          <cell r="B3150" t="str">
            <v>Plug PVC-U 1/2</v>
          </cell>
          <cell r="C3150" t="str">
            <v>NHD</v>
          </cell>
        </row>
        <row r="3151">
          <cell r="A3151" t="str">
            <v>BIA-SP-0000327</v>
          </cell>
          <cell r="B3151" t="str">
            <v>Pp Pipe Clamp Type 061 H Da 25</v>
          </cell>
          <cell r="C3151" t="str">
            <v>NHD</v>
          </cell>
        </row>
        <row r="3152">
          <cell r="A3152" t="str">
            <v>BIA-SP-0000328</v>
          </cell>
          <cell r="B3152" t="str">
            <v>Membrane Low1 4040 XI</v>
          </cell>
          <cell r="C3152" t="str">
            <v>NHD</v>
          </cell>
        </row>
        <row r="3153">
          <cell r="A3153" t="str">
            <v>BIA-SP-0000329</v>
          </cell>
          <cell r="B3153" t="str">
            <v>Membrane Low1 4040 X</v>
          </cell>
          <cell r="C3153" t="str">
            <v>NHD</v>
          </cell>
        </row>
        <row r="3154">
          <cell r="A3154" t="str">
            <v>BIA-SP-0000330</v>
          </cell>
          <cell r="B3154" t="str">
            <v>Pump Booster, Mvi1 14-1/25/E/1-230-50-2</v>
          </cell>
          <cell r="C3154" t="str">
            <v>NHD</v>
          </cell>
        </row>
        <row r="3155">
          <cell r="A3155" t="str">
            <v>BIA-SP-0000331</v>
          </cell>
          <cell r="B3155" t="str">
            <v>Filter PP 0,2A30C2S</v>
          </cell>
          <cell r="C3155" t="str">
            <v>NHD</v>
          </cell>
        </row>
        <row r="3156">
          <cell r="A3156" t="str">
            <v>BIA-SP-0000332</v>
          </cell>
          <cell r="B3156" t="str">
            <v>1 SET OF UPGRADE KIT RO BASIS 700 L/H</v>
          </cell>
          <cell r="C3156" t="str">
            <v>NHD</v>
          </cell>
        </row>
        <row r="3157">
          <cell r="A3157" t="str">
            <v>BIA-SP-0000333</v>
          </cell>
          <cell r="B3157" t="str">
            <v>RADAR</v>
          </cell>
          <cell r="C3157" t="str">
            <v>NHD</v>
          </cell>
        </row>
        <row r="3158">
          <cell r="A3158" t="str">
            <v>BIA-SP-0000334</v>
          </cell>
          <cell r="B3158" t="str">
            <v>Dudukan Pompa</v>
          </cell>
          <cell r="C3158" t="str">
            <v>NHD</v>
          </cell>
        </row>
        <row r="3159">
          <cell r="A3159" t="str">
            <v>BIA-SP-0000335</v>
          </cell>
          <cell r="B3159" t="str">
            <v>Garam Regenerasi</v>
          </cell>
          <cell r="C3159" t="str">
            <v>NHD</v>
          </cell>
        </row>
        <row r="3160">
          <cell r="A3160" t="str">
            <v>BIA-SP-0000336</v>
          </cell>
          <cell r="B3160" t="str">
            <v>LAMPU UV 19 LPM VIQUA</v>
          </cell>
          <cell r="C3160" t="str">
            <v>NHD</v>
          </cell>
        </row>
        <row r="3161">
          <cell r="A3161" t="str">
            <v>BIA-SP-0000337</v>
          </cell>
          <cell r="B3161" t="str">
            <v>HOUSING FILTER 20"</v>
          </cell>
          <cell r="C3161" t="str">
            <v>NHD</v>
          </cell>
        </row>
        <row r="3162">
          <cell r="A3162" t="str">
            <v>BIA-SP-0000338</v>
          </cell>
          <cell r="B3162" t="str">
            <v>HOUSING FILTER 20" NON TRANSPARANT</v>
          </cell>
          <cell r="C3162" t="str">
            <v>NHD</v>
          </cell>
        </row>
        <row r="3163">
          <cell r="A3163" t="str">
            <v>BIA-SP-0000339</v>
          </cell>
          <cell r="B3163" t="str">
            <v>PRESSURE VESSEL 4040 SS 304</v>
          </cell>
          <cell r="C3163" t="str">
            <v>NHD</v>
          </cell>
        </row>
        <row r="3164">
          <cell r="A3164" t="str">
            <v>BIA-SP-0000340</v>
          </cell>
          <cell r="B3164" t="str">
            <v>TABUNG RESIN 13 x 54 AUTOTROL</v>
          </cell>
          <cell r="C3164" t="str">
            <v>NHD</v>
          </cell>
        </row>
        <row r="3165">
          <cell r="A3165" t="str">
            <v>BIA-SP-0000341</v>
          </cell>
          <cell r="B3165" t="str">
            <v>RELAY 2 Y 8 KCK (OMRON) SOCKET 1 + SOCKET</v>
          </cell>
          <cell r="C3165" t="str">
            <v>NHD</v>
          </cell>
        </row>
        <row r="3166">
          <cell r="A3166" t="str">
            <v>BIA-SP-0000342</v>
          </cell>
          <cell r="B3166" t="str">
            <v>RELAY</v>
          </cell>
          <cell r="C3166" t="str">
            <v>NHD</v>
          </cell>
        </row>
        <row r="3167">
          <cell r="A3167" t="str">
            <v>BIA-SP-0000343</v>
          </cell>
          <cell r="B3167" t="str">
            <v>KARET DUDUKAN (KABIN MOUNTING)</v>
          </cell>
          <cell r="C3167" t="str">
            <v>NHD</v>
          </cell>
        </row>
        <row r="3168">
          <cell r="A3168" t="str">
            <v>BIA-SP-0000344</v>
          </cell>
          <cell r="B3168" t="str">
            <v>KRAN 1/2" KUNINGAN GAS</v>
          </cell>
          <cell r="C3168" t="str">
            <v>NHD</v>
          </cell>
        </row>
        <row r="3169">
          <cell r="A3169" t="str">
            <v>BIA-SP-0000345</v>
          </cell>
          <cell r="B3169" t="str">
            <v>KRAN SAMPLE MAGO D311</v>
          </cell>
          <cell r="C3169" t="str">
            <v>NHD</v>
          </cell>
        </row>
        <row r="3170">
          <cell r="A3170" t="str">
            <v>BIA-SP-0000346</v>
          </cell>
          <cell r="B3170" t="str">
            <v>SELENOID 1"</v>
          </cell>
          <cell r="C3170" t="str">
            <v>NHD</v>
          </cell>
        </row>
        <row r="3171">
          <cell r="A3171" t="str">
            <v>BIA-SP-0000347</v>
          </cell>
          <cell r="B3171" t="str">
            <v>SELANG BENANG 1/2''</v>
          </cell>
          <cell r="C3171" t="str">
            <v>NHD</v>
          </cell>
        </row>
        <row r="3172">
          <cell r="A3172" t="str">
            <v>BIA-SP-0000347-SB</v>
          </cell>
          <cell r="B3172" t="str">
            <v>SELANG BENANG 1/2''</v>
          </cell>
          <cell r="C3172" t="str">
            <v>NHD</v>
          </cell>
        </row>
        <row r="3173">
          <cell r="A3173" t="str">
            <v>BIA-SP-0000348</v>
          </cell>
          <cell r="B3173" t="str">
            <v>SELANG BENANG 3/4''</v>
          </cell>
          <cell r="C3173" t="str">
            <v>NHD</v>
          </cell>
        </row>
        <row r="3174">
          <cell r="A3174" t="str">
            <v>BIA-SP-0000348-SB</v>
          </cell>
          <cell r="B3174" t="str">
            <v>SELANG BENANG 3/4''</v>
          </cell>
          <cell r="C3174" t="str">
            <v>NHD</v>
          </cell>
        </row>
        <row r="3175">
          <cell r="A3175" t="str">
            <v>BIA-SP-0000349</v>
          </cell>
          <cell r="B3175" t="str">
            <v>KLEM SELANG 1''</v>
          </cell>
          <cell r="C3175" t="str">
            <v>NHD</v>
          </cell>
        </row>
        <row r="3176">
          <cell r="A3176" t="str">
            <v>BIA-SP-0000350</v>
          </cell>
          <cell r="B3176" t="str">
            <v>KLEM SELANG 3/4 INCHI</v>
          </cell>
          <cell r="C3176" t="str">
            <v>NHD</v>
          </cell>
        </row>
        <row r="3177">
          <cell r="A3177" t="str">
            <v>BIA-SP-0000351</v>
          </cell>
          <cell r="B3177" t="str">
            <v>VLOCK RING 1 X 1 1/4''</v>
          </cell>
          <cell r="C3177" t="str">
            <v>NHD</v>
          </cell>
        </row>
        <row r="3178">
          <cell r="A3178" t="str">
            <v>BIA-SP-0000352</v>
          </cell>
          <cell r="B3178" t="str">
            <v>VLOCK RING 1/2" X 1/4''</v>
          </cell>
          <cell r="C3178" t="str">
            <v>NHD</v>
          </cell>
        </row>
        <row r="3179">
          <cell r="A3179" t="str">
            <v>BIA-SP-0000353</v>
          </cell>
          <cell r="B3179" t="str">
            <v>DOUBLE NEPLE 1/4''</v>
          </cell>
          <cell r="C3179" t="str">
            <v>NHD</v>
          </cell>
        </row>
        <row r="3180">
          <cell r="A3180" t="str">
            <v>BIA-SP-0000354</v>
          </cell>
          <cell r="B3180" t="str">
            <v>NEPLE SELANG 3/4'' X 3/4'' SS</v>
          </cell>
          <cell r="C3180" t="str">
            <v>NHD</v>
          </cell>
        </row>
        <row r="3181">
          <cell r="A3181" t="str">
            <v>BIA-SP-0000355</v>
          </cell>
          <cell r="B3181" t="str">
            <v>NEPLE SELANG 1/2'' X 1/2'' SS</v>
          </cell>
          <cell r="C3181" t="str">
            <v>NHD</v>
          </cell>
        </row>
        <row r="3182">
          <cell r="A3182" t="str">
            <v>BIA-SP-0000356</v>
          </cell>
          <cell r="B3182" t="str">
            <v>DUDUKAN TANGKI PLASTIK 1000 LTR</v>
          </cell>
          <cell r="C3182" t="str">
            <v>NHD</v>
          </cell>
        </row>
        <row r="3183">
          <cell r="A3183" t="str">
            <v>BIA-SP-0000357</v>
          </cell>
          <cell r="B3183" t="str">
            <v>CONDUCTIVITY</v>
          </cell>
          <cell r="C3183" t="str">
            <v>NHD</v>
          </cell>
        </row>
        <row r="3184">
          <cell r="A3184" t="str">
            <v>BIA-SP-0000358</v>
          </cell>
          <cell r="B3184" t="str">
            <v>HEAD TABUNG RESIN  13 x 54 (AUTOTROL)</v>
          </cell>
          <cell r="C3184" t="str">
            <v>NHD</v>
          </cell>
        </row>
        <row r="3185">
          <cell r="A3185" t="str">
            <v>BIA-SP-0000359</v>
          </cell>
          <cell r="B3185" t="str">
            <v>BALL VALVE SS + HOSE NIPPLE SS 304 SIZE 1/2 INCH</v>
          </cell>
          <cell r="C3185" t="str">
            <v>NHD</v>
          </cell>
        </row>
        <row r="3186">
          <cell r="A3186" t="str">
            <v>BIA-SP-0000360</v>
          </cell>
          <cell r="B3186" t="str">
            <v>TANGKI SS 1000 LITER+DUDUKAN</v>
          </cell>
          <cell r="C3186" t="str">
            <v>NHD</v>
          </cell>
        </row>
        <row r="3187">
          <cell r="A3187" t="str">
            <v>BIA-SP-0000361</v>
          </cell>
          <cell r="B3187" t="str">
            <v>TANGKI SS 2000 LITER+DUDUKAN</v>
          </cell>
          <cell r="C3187" t="str">
            <v>NHD</v>
          </cell>
        </row>
        <row r="3188">
          <cell r="A3188" t="str">
            <v>BIA-SP-0000362</v>
          </cell>
          <cell r="B3188" t="str">
            <v>TANGKI SS 500 LITER+DUDUKAN</v>
          </cell>
          <cell r="C3188" t="str">
            <v>NHD</v>
          </cell>
        </row>
        <row r="3189">
          <cell r="A3189" t="str">
            <v>BIA-SP-0000363</v>
          </cell>
          <cell r="B3189" t="str">
            <v>TANGKI PLASTIK 1000 LITER</v>
          </cell>
          <cell r="C3189" t="str">
            <v>NHD</v>
          </cell>
        </row>
        <row r="3190">
          <cell r="A3190" t="str">
            <v>BIA-SP-0000364</v>
          </cell>
          <cell r="B3190" t="str">
            <v>TANGKI PLASTIK 500 LITER</v>
          </cell>
          <cell r="C3190" t="str">
            <v>NHD</v>
          </cell>
        </row>
        <row r="3191">
          <cell r="A3191" t="str">
            <v>BIA-SP-0000365</v>
          </cell>
          <cell r="B3191" t="str">
            <v>TANGKI PLASTIK 2000 LITER</v>
          </cell>
          <cell r="C3191" t="str">
            <v>NHD</v>
          </cell>
        </row>
        <row r="3192">
          <cell r="A3192" t="str">
            <v>BIA-SP-0000366</v>
          </cell>
          <cell r="B3192" t="str">
            <v>Kabel Fleksible</v>
          </cell>
          <cell r="C3192" t="str">
            <v>NHD</v>
          </cell>
        </row>
        <row r="3193">
          <cell r="A3193" t="str">
            <v>BIA-SP-0000367</v>
          </cell>
          <cell r="B3193" t="str">
            <v>Kabel Duct 50 X 50mm</v>
          </cell>
          <cell r="C3193" t="str">
            <v>NHD</v>
          </cell>
        </row>
        <row r="3194">
          <cell r="A3194" t="str">
            <v>BIA-SP-0000368</v>
          </cell>
          <cell r="B3194" t="str">
            <v>Stop Kontak 6 Lubang</v>
          </cell>
          <cell r="C3194" t="str">
            <v>NHD</v>
          </cell>
        </row>
        <row r="3195">
          <cell r="A3195" t="str">
            <v>BIA-SP-0000369</v>
          </cell>
          <cell r="B3195" t="str">
            <v>Stekker</v>
          </cell>
          <cell r="C3195" t="str">
            <v>NHD</v>
          </cell>
        </row>
        <row r="3196">
          <cell r="A3196" t="str">
            <v>BIA-SP-0000370</v>
          </cell>
          <cell r="B3196" t="str">
            <v>Shock 1" x 3/4"</v>
          </cell>
          <cell r="C3196" t="str">
            <v>NHD</v>
          </cell>
        </row>
        <row r="3197">
          <cell r="A3197" t="str">
            <v>BIA-SP-0000371</v>
          </cell>
          <cell r="B3197" t="str">
            <v>Kabel Externa</v>
          </cell>
          <cell r="C3197" t="str">
            <v>NHD</v>
          </cell>
        </row>
        <row r="3198">
          <cell r="A3198" t="str">
            <v>BIA-SP-0000372</v>
          </cell>
          <cell r="B3198" t="str">
            <v>Kabel Nym 4 X 0.75</v>
          </cell>
          <cell r="C3198" t="str">
            <v>NHD</v>
          </cell>
        </row>
        <row r="3199">
          <cell r="A3199" t="str">
            <v>BIA-SP-0000373</v>
          </cell>
          <cell r="B3199" t="str">
            <v>Fisher</v>
          </cell>
          <cell r="C3199" t="str">
            <v>NHD</v>
          </cell>
        </row>
        <row r="3200">
          <cell r="A3200" t="str">
            <v>BIA-SP-0000374</v>
          </cell>
          <cell r="B3200" t="str">
            <v>Pipe 1"</v>
          </cell>
          <cell r="C3200" t="str">
            <v>NHD</v>
          </cell>
        </row>
        <row r="3201">
          <cell r="A3201" t="str">
            <v>BIA-SP-0000375</v>
          </cell>
          <cell r="B3201" t="str">
            <v>Pipa 3/4"</v>
          </cell>
          <cell r="C3201" t="str">
            <v>NHD</v>
          </cell>
        </row>
        <row r="3202">
          <cell r="A3202" t="str">
            <v>BIA-SP-0000376</v>
          </cell>
          <cell r="B3202" t="str">
            <v>Screw S6</v>
          </cell>
          <cell r="C3202" t="str">
            <v>NHD</v>
          </cell>
        </row>
        <row r="3203">
          <cell r="A3203" t="str">
            <v>BIA-SP-0000377</v>
          </cell>
          <cell r="B3203" t="str">
            <v>Ceramic Seal pump JP Basic 5</v>
          </cell>
          <cell r="C3203" t="str">
            <v>NHD</v>
          </cell>
        </row>
        <row r="3204">
          <cell r="A3204" t="str">
            <v>BIA-SP-0000378</v>
          </cell>
          <cell r="B3204" t="str">
            <v>Bearing Pump 6204</v>
          </cell>
          <cell r="C3204" t="str">
            <v>NHD</v>
          </cell>
        </row>
        <row r="3205">
          <cell r="A3205" t="str">
            <v>BIA-SP-0000379</v>
          </cell>
          <cell r="B3205" t="str">
            <v>Impeler Grundfos JP Basic 5</v>
          </cell>
          <cell r="C3205" t="str">
            <v>NHD</v>
          </cell>
        </row>
        <row r="3206">
          <cell r="A3206" t="str">
            <v>BIA-SP-0000380</v>
          </cell>
          <cell r="B3206" t="str">
            <v>Difuser Grundfos JP Basic 5</v>
          </cell>
          <cell r="C3206" t="str">
            <v>NHD</v>
          </cell>
        </row>
        <row r="3207">
          <cell r="A3207" t="str">
            <v>BIA-SP-0000381</v>
          </cell>
          <cell r="B3207" t="str">
            <v>OTOMATIS POMPA JP 5</v>
          </cell>
          <cell r="C3207" t="str">
            <v>NHD</v>
          </cell>
        </row>
        <row r="3208">
          <cell r="A3208" t="str">
            <v>BIA-SP-0000382</v>
          </cell>
          <cell r="B3208" t="str">
            <v>HOUSING JUMBO GWTB 5BB20</v>
          </cell>
          <cell r="C3208" t="str">
            <v>NHD</v>
          </cell>
        </row>
        <row r="3209">
          <cell r="A3209" t="str">
            <v>BIA-SP-0000383</v>
          </cell>
          <cell r="B3209" t="str">
            <v>HOUSING FILTER 10" NON TRANSPARANT</v>
          </cell>
          <cell r="C3209" t="str">
            <v>NHD</v>
          </cell>
        </row>
        <row r="3210">
          <cell r="A3210" t="str">
            <v>BIA-SP-0000384</v>
          </cell>
          <cell r="B3210" t="str">
            <v>MECHANICAL SEAL JPB 5</v>
          </cell>
          <cell r="C3210" t="str">
            <v>NHD</v>
          </cell>
        </row>
        <row r="3211">
          <cell r="A3211" t="str">
            <v>BIA-SP-0000385</v>
          </cell>
          <cell r="B3211" t="str">
            <v>BEARING PUMP 6203</v>
          </cell>
          <cell r="C3211" t="str">
            <v>NHD</v>
          </cell>
        </row>
        <row r="3212">
          <cell r="A3212" t="str">
            <v>BIA-SP-0000386</v>
          </cell>
          <cell r="B3212" t="str">
            <v>BEARING PUMP 6205</v>
          </cell>
          <cell r="C3212" t="str">
            <v>NHD</v>
          </cell>
        </row>
        <row r="3213">
          <cell r="A3213" t="str">
            <v>BIA-SP-0000387</v>
          </cell>
          <cell r="B3213" t="str">
            <v>Globe Valve 1/2"</v>
          </cell>
          <cell r="C3213" t="str">
            <v>NHD</v>
          </cell>
        </row>
        <row r="3214">
          <cell r="A3214" t="str">
            <v>BIA-SP-0000388</v>
          </cell>
          <cell r="B3214" t="str">
            <v>Pressure Gauge 20 BAR</v>
          </cell>
          <cell r="C3214" t="str">
            <v>NHD</v>
          </cell>
        </row>
        <row r="3215">
          <cell r="A3215" t="str">
            <v>BIA-SP-0000389</v>
          </cell>
          <cell r="B3215" t="str">
            <v>TANGKI SS 350 LITER + DUDUKAN</v>
          </cell>
          <cell r="C3215" t="str">
            <v>NHD</v>
          </cell>
        </row>
        <row r="3216">
          <cell r="A3216" t="str">
            <v>BIA-SP-0000390</v>
          </cell>
          <cell r="B3216" t="str">
            <v>Klem Pipa 1"</v>
          </cell>
          <cell r="C3216" t="str">
            <v>NHD</v>
          </cell>
        </row>
        <row r="3217">
          <cell r="A3217" t="str">
            <v>BIA-SP-0000391</v>
          </cell>
          <cell r="B3217" t="str">
            <v>Klem Pipa 3/4"</v>
          </cell>
          <cell r="C3217" t="str">
            <v>NHD</v>
          </cell>
        </row>
        <row r="3218">
          <cell r="A3218" t="str">
            <v>BIA-SP-0000392</v>
          </cell>
          <cell r="B3218" t="str">
            <v>FILTER UDARA</v>
          </cell>
          <cell r="C3218" t="str">
            <v>NHD</v>
          </cell>
        </row>
        <row r="3219">
          <cell r="A3219" t="str">
            <v>BIA-SP-0000393</v>
          </cell>
          <cell r="B3219" t="str">
            <v>SILICON GREASE</v>
          </cell>
          <cell r="C3219" t="str">
            <v>NHD</v>
          </cell>
        </row>
        <row r="3220">
          <cell r="A3220" t="str">
            <v>BIA-SP-0000394</v>
          </cell>
          <cell r="B3220" t="str">
            <v>GOOT CD-10 OBENG TRIM</v>
          </cell>
          <cell r="C3220" t="str">
            <v>NHD</v>
          </cell>
        </row>
        <row r="3221">
          <cell r="A3221" t="str">
            <v>BIA-SP-0000395</v>
          </cell>
          <cell r="B3221" t="str">
            <v>KUNCI L 1.5 MM</v>
          </cell>
          <cell r="C3221" t="str">
            <v>NHD</v>
          </cell>
        </row>
        <row r="3222">
          <cell r="A3222" t="str">
            <v>BIA-SP-0000396</v>
          </cell>
          <cell r="B3222" t="str">
            <v>GUNTING JEPIT</v>
          </cell>
          <cell r="C3222" t="str">
            <v>NHD</v>
          </cell>
        </row>
        <row r="3223">
          <cell r="A3223" t="str">
            <v>BIA-SP-0000397</v>
          </cell>
          <cell r="B3223" t="str">
            <v>TREKER 6</v>
          </cell>
          <cell r="C3223" t="str">
            <v>NHD</v>
          </cell>
        </row>
        <row r="3224">
          <cell r="A3224" t="str">
            <v>BIA-SP-0000398</v>
          </cell>
          <cell r="B3224" t="str">
            <v>OBENG PHILIPS (+)</v>
          </cell>
          <cell r="C3224" t="str">
            <v>NHD</v>
          </cell>
        </row>
        <row r="3225">
          <cell r="A3225" t="str">
            <v>BIA-SP-0000399</v>
          </cell>
          <cell r="B3225" t="str">
            <v>KUNCI SHOCK</v>
          </cell>
          <cell r="C3225" t="str">
            <v>NHD</v>
          </cell>
        </row>
        <row r="3226">
          <cell r="A3226" t="str">
            <v>BIA-SP-0000400</v>
          </cell>
          <cell r="B3226" t="str">
            <v>MATA SHOCK 17 MM</v>
          </cell>
          <cell r="C3226" t="str">
            <v>NHD</v>
          </cell>
        </row>
        <row r="3227">
          <cell r="A3227" t="str">
            <v>BIA-SP-0000401</v>
          </cell>
          <cell r="B3227" t="str">
            <v>MATA SHOCK 12 MM</v>
          </cell>
          <cell r="C3227" t="str">
            <v>NHD</v>
          </cell>
        </row>
        <row r="3228">
          <cell r="A3228" t="str">
            <v>BIA-SP-0000402</v>
          </cell>
          <cell r="B3228" t="str">
            <v>HARDNESS METER / STRIP</v>
          </cell>
          <cell r="C3228" t="str">
            <v>NHD</v>
          </cell>
        </row>
        <row r="3229">
          <cell r="A3229" t="str">
            <v>BIA-SP-0000403</v>
          </cell>
          <cell r="B3229" t="str">
            <v>PH METER</v>
          </cell>
          <cell r="C3229" t="str">
            <v>NHD</v>
          </cell>
        </row>
        <row r="3230">
          <cell r="A3230" t="str">
            <v>BIA-SP-0000404</v>
          </cell>
          <cell r="B3230" t="str">
            <v>SALINITY METER</v>
          </cell>
          <cell r="C3230" t="str">
            <v>NHD</v>
          </cell>
        </row>
        <row r="3231">
          <cell r="A3231" t="str">
            <v>BIA-SP-0000405</v>
          </cell>
          <cell r="B3231" t="str">
            <v>GUNTING PIPA</v>
          </cell>
          <cell r="C3231" t="str">
            <v>NHD</v>
          </cell>
        </row>
        <row r="3232">
          <cell r="A3232" t="str">
            <v>BIA-SP-0000406</v>
          </cell>
          <cell r="B3232" t="str">
            <v>Pressure Gauge 60 BAR</v>
          </cell>
          <cell r="C3232" t="str">
            <v>NHD</v>
          </cell>
        </row>
        <row r="3233">
          <cell r="A3233" t="str">
            <v>BIA-SP-0000407</v>
          </cell>
          <cell r="B3233" t="str">
            <v>Double Nepel 1/2"</v>
          </cell>
          <cell r="C3233" t="str">
            <v>NHD</v>
          </cell>
        </row>
        <row r="3234">
          <cell r="A3234" t="str">
            <v>BIA-SP-0000408</v>
          </cell>
          <cell r="B3234" t="str">
            <v>Tabung Resin 16 x 65 Logix + Brine Tank</v>
          </cell>
          <cell r="C3234" t="str">
            <v>NHD</v>
          </cell>
        </row>
        <row r="3235">
          <cell r="A3235" t="str">
            <v>BIA-SP-0000409</v>
          </cell>
          <cell r="B3235" t="str">
            <v>Seal Kit</v>
          </cell>
          <cell r="C3235" t="str">
            <v>NHD</v>
          </cell>
        </row>
        <row r="3236">
          <cell r="A3236" t="str">
            <v>BIA-SP-0000410</v>
          </cell>
          <cell r="B3236" t="str">
            <v>Shock 1" x 1/2"</v>
          </cell>
          <cell r="C3236" t="str">
            <v>NHD</v>
          </cell>
        </row>
        <row r="3237">
          <cell r="A3237" t="str">
            <v>BIA-SP-0000411</v>
          </cell>
          <cell r="B3237" t="str">
            <v>Lem Silikon</v>
          </cell>
          <cell r="C3237" t="str">
            <v>NHD</v>
          </cell>
        </row>
        <row r="3238">
          <cell r="A3238" t="str">
            <v>BIA-SP-0000412</v>
          </cell>
          <cell r="B3238" t="str">
            <v>Isolasi</v>
          </cell>
          <cell r="C3238" t="str">
            <v>NHD</v>
          </cell>
        </row>
        <row r="3239">
          <cell r="A3239" t="str">
            <v>BIA-SP-0000413</v>
          </cell>
          <cell r="B3239" t="str">
            <v>Klem Kabel UTP</v>
          </cell>
          <cell r="C3239" t="str">
            <v>NHD</v>
          </cell>
        </row>
        <row r="3240">
          <cell r="A3240" t="str">
            <v>BIA-SP-0000414</v>
          </cell>
          <cell r="B3240" t="str">
            <v>Dudukan Pompa Ganda</v>
          </cell>
          <cell r="C3240" t="str">
            <v>NHD</v>
          </cell>
        </row>
        <row r="3241">
          <cell r="A3241" t="str">
            <v>BIA-SP-0000415</v>
          </cell>
          <cell r="B3241" t="str">
            <v>Dudukan Pompa Tunggal</v>
          </cell>
          <cell r="C3241" t="str">
            <v>NHD</v>
          </cell>
        </row>
        <row r="3242">
          <cell r="A3242" t="str">
            <v>BIA-SP-0000416</v>
          </cell>
          <cell r="B3242" t="str">
            <v>KLEM SELANG 1''</v>
          </cell>
          <cell r="C3242" t="str">
            <v>NHD</v>
          </cell>
        </row>
        <row r="3243">
          <cell r="A3243" t="str">
            <v>BIA-SP-0000417</v>
          </cell>
          <cell r="B3243" t="str">
            <v>Tabung Carbon 16 x 65 Logix</v>
          </cell>
          <cell r="C3243" t="str">
            <v>NHD</v>
          </cell>
        </row>
        <row r="3244">
          <cell r="A3244" t="str">
            <v>BIA-SP-0000418</v>
          </cell>
          <cell r="B3244" t="str">
            <v>Pipa 1/2"</v>
          </cell>
          <cell r="C3244" t="str">
            <v>NHD</v>
          </cell>
        </row>
        <row r="3245">
          <cell r="A3245" t="str">
            <v>BIA-SP-0000419</v>
          </cell>
          <cell r="B3245" t="str">
            <v>Klem Pipa 1/2"</v>
          </cell>
          <cell r="C3245" t="str">
            <v>NHD</v>
          </cell>
        </row>
        <row r="3246">
          <cell r="A3246" t="str">
            <v>BIA-SP-0000420</v>
          </cell>
          <cell r="B3246" t="str">
            <v>VLOCK T-Drat Dalam 1"x 3/4</v>
          </cell>
          <cell r="C3246" t="str">
            <v>NHD</v>
          </cell>
        </row>
        <row r="3247">
          <cell r="A3247" t="str">
            <v>BIA-SP-0000421</v>
          </cell>
          <cell r="B3247" t="str">
            <v>Kabel UTP</v>
          </cell>
          <cell r="C3247" t="str">
            <v>NHD</v>
          </cell>
        </row>
        <row r="3248">
          <cell r="A3248" t="str">
            <v>BIA-SP-0000422</v>
          </cell>
          <cell r="B3248" t="str">
            <v>Double Tape 3M</v>
          </cell>
          <cell r="C3248" t="str">
            <v>NHD</v>
          </cell>
        </row>
        <row r="3249">
          <cell r="A3249" t="str">
            <v>BIA-SP-0000423</v>
          </cell>
          <cell r="B3249" t="str">
            <v>Nepel Selang Nylon 10mm</v>
          </cell>
          <cell r="C3249" t="str">
            <v>NHD</v>
          </cell>
        </row>
        <row r="3250">
          <cell r="A3250" t="str">
            <v>BIA-SP-0000424</v>
          </cell>
          <cell r="B3250" t="str">
            <v>Selang Nylon 8mm</v>
          </cell>
          <cell r="C3250" t="str">
            <v>NHD</v>
          </cell>
        </row>
        <row r="3251">
          <cell r="A3251" t="str">
            <v>BIA-SP-0000425</v>
          </cell>
          <cell r="B3251" t="str">
            <v>Selang Nylon 10mm</v>
          </cell>
          <cell r="C3251" t="str">
            <v>NHD</v>
          </cell>
        </row>
        <row r="3252">
          <cell r="A3252" t="str">
            <v>BIA-SP-0000426</v>
          </cell>
          <cell r="B3252" t="str">
            <v>VLOCK T 1" x 3/4"</v>
          </cell>
          <cell r="C3252" t="str">
            <v>NHD</v>
          </cell>
        </row>
        <row r="3253">
          <cell r="A3253" t="str">
            <v>BIA-SP-0000427</v>
          </cell>
          <cell r="B3253" t="str">
            <v>VLOCK T 1" x 1/2"</v>
          </cell>
          <cell r="C3253" t="str">
            <v>NHD</v>
          </cell>
        </row>
        <row r="3254">
          <cell r="A3254" t="str">
            <v>BIA-SP-0000428</v>
          </cell>
          <cell r="B3254" t="str">
            <v>VLOCK RING 3/4" x 1/2"</v>
          </cell>
          <cell r="C3254" t="str">
            <v>NHD</v>
          </cell>
        </row>
        <row r="3255">
          <cell r="A3255" t="str">
            <v>BIA-SP-0000429</v>
          </cell>
          <cell r="B3255" t="str">
            <v>VLOCK T DRAT DALAM 3/4" x 1/2"</v>
          </cell>
          <cell r="C3255" t="str">
            <v>NHD</v>
          </cell>
        </row>
        <row r="3256">
          <cell r="A3256" t="str">
            <v>BIA-SP-0000430</v>
          </cell>
          <cell r="B3256" t="str">
            <v>Sekrup</v>
          </cell>
          <cell r="C3256" t="str">
            <v>NHD</v>
          </cell>
        </row>
        <row r="3257">
          <cell r="A3257" t="str">
            <v>BIA-SP-0000431</v>
          </cell>
          <cell r="B3257" t="str">
            <v>STOP KONTAK 1 LUBANG</v>
          </cell>
          <cell r="C3257" t="str">
            <v>NHD</v>
          </cell>
        </row>
        <row r="3258">
          <cell r="A3258" t="str">
            <v>BIA-SP-0000432</v>
          </cell>
          <cell r="B3258" t="str">
            <v>GOULDS IMPELLER SHIM-BOX OF 12-7K155</v>
          </cell>
          <cell r="C3258" t="str">
            <v>NHD</v>
          </cell>
        </row>
        <row r="3259">
          <cell r="A3259" t="str">
            <v>BIA-SP-0000433</v>
          </cell>
          <cell r="B3259" t="str">
            <v>GOULDS IMPELLER-7K35</v>
          </cell>
          <cell r="C3259" t="str">
            <v>NHD</v>
          </cell>
        </row>
        <row r="3260">
          <cell r="A3260" t="str">
            <v>BIA-SP-0000434</v>
          </cell>
          <cell r="B3260" t="str">
            <v>BOWL-7K478</v>
          </cell>
          <cell r="C3260" t="str">
            <v>NHD</v>
          </cell>
        </row>
        <row r="3261">
          <cell r="A3261" t="str">
            <v>BIA-SP-0000435</v>
          </cell>
          <cell r="B3261" t="str">
            <v>GOULDS IMPELLER-7K35</v>
          </cell>
          <cell r="C3261" t="str">
            <v>NHD</v>
          </cell>
        </row>
        <row r="3262">
          <cell r="A3262" t="str">
            <v>BIA-SP-0000436</v>
          </cell>
          <cell r="B3262" t="str">
            <v>MECHANICAL SEAL, C/SC/VITION-10K55</v>
          </cell>
          <cell r="C3262" t="str">
            <v>NHD</v>
          </cell>
        </row>
        <row r="3263">
          <cell r="A3263" t="str">
            <v>BIA-SP-0000437</v>
          </cell>
          <cell r="B3263" t="str">
            <v>KLIP RING-7K817</v>
          </cell>
          <cell r="C3263" t="str">
            <v>NHD</v>
          </cell>
        </row>
        <row r="3264">
          <cell r="A3264" t="str">
            <v>BIA-SP-0000438</v>
          </cell>
          <cell r="B3264" t="str">
            <v>GOULDS IMPELLER SHIM-BOX OF 12-7K155</v>
          </cell>
          <cell r="C3264" t="str">
            <v>NHD</v>
          </cell>
        </row>
        <row r="3265">
          <cell r="A3265" t="str">
            <v>BIA-SP-0000439</v>
          </cell>
          <cell r="B3265" t="str">
            <v>DIFFUSER-7K17</v>
          </cell>
          <cell r="C3265" t="str">
            <v>NHD</v>
          </cell>
        </row>
        <row r="3266">
          <cell r="A3266" t="str">
            <v>BIA-SP-0000440</v>
          </cell>
          <cell r="B3266" t="str">
            <v>Nozzle Packing Lokal</v>
          </cell>
          <cell r="C3266" t="str">
            <v>NHD</v>
          </cell>
        </row>
        <row r="3267">
          <cell r="A3267" t="str">
            <v>BIA-SP-0000441</v>
          </cell>
          <cell r="B3267" t="str">
            <v>Tandon Air Plastik uk. 650 L</v>
          </cell>
          <cell r="C3267" t="str">
            <v>NHD</v>
          </cell>
        </row>
        <row r="3268">
          <cell r="A3268" t="str">
            <v>BIA-SP-0000442</v>
          </cell>
          <cell r="B3268" t="str">
            <v>Tandon Air Plastik uk. 5300 L</v>
          </cell>
          <cell r="C3268" t="str">
            <v>NHD</v>
          </cell>
        </row>
        <row r="3269">
          <cell r="A3269" t="str">
            <v>BIA-SP-0000443</v>
          </cell>
          <cell r="B3269" t="str">
            <v>KAPASITOR 16 MIKRO</v>
          </cell>
          <cell r="C3269" t="str">
            <v>NHD</v>
          </cell>
        </row>
        <row r="3270">
          <cell r="A3270" t="str">
            <v>BIA-SP-0000444</v>
          </cell>
          <cell r="B3270" t="str">
            <v>LEM JEPANG</v>
          </cell>
          <cell r="C3270" t="str">
            <v>NHD</v>
          </cell>
        </row>
        <row r="3271">
          <cell r="A3271" t="str">
            <v>BIA-SP-0000445</v>
          </cell>
          <cell r="B3271" t="str">
            <v>CONNECTOR FS</v>
          </cell>
          <cell r="C3271" t="str">
            <v>NHD</v>
          </cell>
        </row>
        <row r="3272">
          <cell r="A3272" t="str">
            <v>BIA-SP-0000446</v>
          </cell>
          <cell r="B3272" t="str">
            <v>Kontaktor + Overload</v>
          </cell>
          <cell r="C3272" t="str">
            <v>NHD</v>
          </cell>
        </row>
        <row r="3273">
          <cell r="A3273" t="str">
            <v>BIA-SP-0000447</v>
          </cell>
          <cell r="B3273" t="str">
            <v>TOTAL HARDNESS TEST</v>
          </cell>
          <cell r="C3273" t="str">
            <v>NHD</v>
          </cell>
        </row>
        <row r="3274">
          <cell r="A3274" t="str">
            <v>BIA-SP-0000448</v>
          </cell>
          <cell r="B3274" t="str">
            <v>CHLORINE TEST</v>
          </cell>
          <cell r="C3274" t="str">
            <v>NHD</v>
          </cell>
        </row>
        <row r="3275">
          <cell r="A3275" t="str">
            <v>BIA-SP-0000449</v>
          </cell>
          <cell r="B3275" t="str">
            <v>POLYRETHANE TUBE 6,5x10mm</v>
          </cell>
          <cell r="C3275" t="str">
            <v>NHD</v>
          </cell>
        </row>
        <row r="3276">
          <cell r="A3276" t="str">
            <v>BIA-SP-0000450</v>
          </cell>
          <cell r="B3276" t="str">
            <v>NSF LLDPE TUBE 1/4</v>
          </cell>
          <cell r="C3276" t="str">
            <v>NHD</v>
          </cell>
        </row>
        <row r="3277">
          <cell r="A3277" t="str">
            <v>BIA-SP-0000451</v>
          </cell>
          <cell r="B3277" t="str">
            <v>PANEL BOX LISTRIK PLAT BESI 25 x 25</v>
          </cell>
          <cell r="C3277" t="str">
            <v>NHD</v>
          </cell>
        </row>
        <row r="3278">
          <cell r="A3278" t="str">
            <v>BIA-SP-0000452</v>
          </cell>
          <cell r="B3278" t="str">
            <v>KRAN STAINLESS 1/2"</v>
          </cell>
          <cell r="C3278" t="str">
            <v>NHD</v>
          </cell>
        </row>
        <row r="3279">
          <cell r="A3279" t="str">
            <v>BIA-SP-0000453</v>
          </cell>
          <cell r="B3279" t="str">
            <v>KABEL NYY 3x1,5</v>
          </cell>
          <cell r="C3279" t="str">
            <v>NHD</v>
          </cell>
        </row>
        <row r="3280">
          <cell r="A3280" t="str">
            <v>BIA-SP-0000454</v>
          </cell>
          <cell r="B3280" t="str">
            <v>CONNECTOR SELANG AIR Y (2 ARAH)</v>
          </cell>
          <cell r="C3280" t="str">
            <v>NHD</v>
          </cell>
        </row>
        <row r="3281">
          <cell r="A3281" t="str">
            <v>BIA-SP-0000455</v>
          </cell>
          <cell r="B3281" t="str">
            <v>DOUBLE NEPEL 3/4 x 1/2 SS</v>
          </cell>
          <cell r="C3281" t="str">
            <v>NHD</v>
          </cell>
        </row>
        <row r="3282">
          <cell r="A3282" t="str">
            <v>BIA-SP-0000456</v>
          </cell>
          <cell r="B3282" t="str">
            <v>TANGKI SS 1100 LITER+DUDUKAN</v>
          </cell>
          <cell r="C3282" t="str">
            <v>NHD</v>
          </cell>
        </row>
        <row r="3283">
          <cell r="A3283" t="str">
            <v>BIA-SP-0000457</v>
          </cell>
          <cell r="B3283" t="str">
            <v>KAPASITOR 50 Mikro</v>
          </cell>
          <cell r="C3283" t="str">
            <v>NHD</v>
          </cell>
        </row>
        <row r="3284">
          <cell r="A3284" t="str">
            <v>BIA-SP-0000458</v>
          </cell>
          <cell r="B3284" t="str">
            <v>KAPASITOR 750-800 Mikro</v>
          </cell>
          <cell r="C3284" t="str">
            <v>NHD</v>
          </cell>
        </row>
        <row r="3285">
          <cell r="A3285" t="str">
            <v>BIA-SP-0000459</v>
          </cell>
          <cell r="B3285" t="str">
            <v>VLOCK RING TORRENT 1 x 3/4</v>
          </cell>
          <cell r="C3285" t="str">
            <v>NHD</v>
          </cell>
        </row>
        <row r="3286">
          <cell r="A3286" t="str">
            <v>BIA-SP-0000460</v>
          </cell>
          <cell r="B3286" t="str">
            <v>CONTROLLER TDS PANEL MNT PS 100 HM DIGITAL</v>
          </cell>
          <cell r="C3286" t="str">
            <v>NHD</v>
          </cell>
        </row>
        <row r="3287">
          <cell r="A3287" t="str">
            <v>BIA-SP-0000461</v>
          </cell>
          <cell r="B3287" t="str">
            <v>BALL VALVE SS + HOSE NIPPLE SS 304 SIZE 3/8 INCH</v>
          </cell>
          <cell r="C3287" t="str">
            <v>NHD</v>
          </cell>
        </row>
        <row r="3288">
          <cell r="A3288" t="str">
            <v>BIA-SP-0000462</v>
          </cell>
          <cell r="B3288" t="str">
            <v>ADAPTOR 3/4" WITH REDUCER 1/2" GREEN</v>
          </cell>
          <cell r="C3288" t="str">
            <v>NHD</v>
          </cell>
        </row>
        <row r="3289">
          <cell r="A3289" t="str">
            <v>BIA-SP-0000500</v>
          </cell>
          <cell r="B3289" t="str">
            <v>VLOCK RING TORRENT 3/4 X 1/2</v>
          </cell>
          <cell r="C3289" t="str">
            <v>NHD</v>
          </cell>
        </row>
        <row r="3290">
          <cell r="A3290" t="str">
            <v>BIA-SP-0000501</v>
          </cell>
          <cell r="B3290" t="str">
            <v>Tandon 600 Liter</v>
          </cell>
          <cell r="C3290" t="str">
            <v>NHD</v>
          </cell>
        </row>
        <row r="3291">
          <cell r="A3291" t="str">
            <v>BIA-SP-0000502</v>
          </cell>
          <cell r="B3291" t="str">
            <v>TANDON STAINLESS 1.350 LITER + DUDUKAN</v>
          </cell>
          <cell r="C3291" t="str">
            <v>NHD</v>
          </cell>
        </row>
        <row r="3292">
          <cell r="A3292" t="str">
            <v>BIA-SP-0000503</v>
          </cell>
          <cell r="B3292" t="str">
            <v>CONTROLLER TDS PANEL MNT PS 100 HM DIGITAL</v>
          </cell>
          <cell r="C3292" t="str">
            <v>NHD</v>
          </cell>
        </row>
        <row r="3293">
          <cell r="A3293" t="str">
            <v>BIA-SP-0000504</v>
          </cell>
          <cell r="B3293" t="str">
            <v>TANGKI PLASTIK 550 LITER</v>
          </cell>
          <cell r="C3293" t="str">
            <v>NHD</v>
          </cell>
        </row>
        <row r="3294">
          <cell r="A3294" t="str">
            <v>BIA-SP-0000505</v>
          </cell>
          <cell r="B3294" t="str">
            <v>DURADUS 10 x 10 x 5 mm</v>
          </cell>
          <cell r="C3294" t="str">
            <v>NHD</v>
          </cell>
        </row>
        <row r="3295">
          <cell r="A3295" t="str">
            <v>BIA-SP-0000506</v>
          </cell>
          <cell r="B3295" t="str">
            <v>SAKLAR TUNGGAL TEMPEL BROKO</v>
          </cell>
          <cell r="C3295" t="str">
            <v>NHD</v>
          </cell>
        </row>
        <row r="3296">
          <cell r="A3296" t="str">
            <v>BIA-SP-0000507</v>
          </cell>
          <cell r="B3296" t="str">
            <v>BEARING 6202</v>
          </cell>
          <cell r="C3296" t="str">
            <v>NHD</v>
          </cell>
        </row>
        <row r="3297">
          <cell r="A3297" t="str">
            <v>BIA-SP-0000508</v>
          </cell>
          <cell r="B3297" t="str">
            <v>BEARING 6201</v>
          </cell>
          <cell r="C3297" t="str">
            <v>NHD</v>
          </cell>
        </row>
        <row r="3298">
          <cell r="A3298" t="str">
            <v>BIA-SP-0000509</v>
          </cell>
          <cell r="B3298" t="str">
            <v>KAPASITOR 30 MIKRO 450 V</v>
          </cell>
          <cell r="C3298" t="str">
            <v>NHD</v>
          </cell>
        </row>
        <row r="3299">
          <cell r="A3299" t="str">
            <v>BIA-SP-0000510</v>
          </cell>
          <cell r="B3299" t="str">
            <v>Pressure Gauge 25 Bar</v>
          </cell>
          <cell r="C3299" t="str">
            <v>NHD</v>
          </cell>
        </row>
        <row r="3300">
          <cell r="A3300" t="str">
            <v>BIA-SP-0000511</v>
          </cell>
          <cell r="B3300" t="str">
            <v>KABEL DAK 50 x 50</v>
          </cell>
          <cell r="C3300" t="str">
            <v>NHD</v>
          </cell>
        </row>
        <row r="3301">
          <cell r="A3301" t="str">
            <v>BIA-SP-0000512</v>
          </cell>
          <cell r="B3301" t="str">
            <v>KAPASITOR 80 MIKRO 250V</v>
          </cell>
          <cell r="C3301" t="str">
            <v>NHD</v>
          </cell>
        </row>
        <row r="3302">
          <cell r="A3302" t="str">
            <v>BIA-SP-0000513</v>
          </cell>
          <cell r="B3302" t="str">
            <v>KAPASITOR 40 MIKRO 250V</v>
          </cell>
          <cell r="C3302" t="str">
            <v>NHD</v>
          </cell>
        </row>
        <row r="3303">
          <cell r="A3303" t="str">
            <v>BIA-SP-0000514</v>
          </cell>
          <cell r="B3303" t="str">
            <v>TANDON PLASTIK 300 L</v>
          </cell>
          <cell r="C3303" t="str">
            <v>NHD</v>
          </cell>
        </row>
        <row r="3304">
          <cell r="A3304" t="str">
            <v>BIA-SP-0000515</v>
          </cell>
          <cell r="B3304" t="str">
            <v>TANDON STAINLESS 550 L</v>
          </cell>
          <cell r="C3304" t="str">
            <v>NHD</v>
          </cell>
        </row>
        <row r="3305">
          <cell r="A3305" t="str">
            <v>BIA-SP-0000516</v>
          </cell>
          <cell r="B3305" t="str">
            <v>PRESSURE GAUGE 10 BAR PAKAI OLI</v>
          </cell>
          <cell r="C3305" t="str">
            <v>NHD</v>
          </cell>
        </row>
        <row r="3306">
          <cell r="A3306" t="str">
            <v>BIA-SP-0000517</v>
          </cell>
          <cell r="B3306" t="str">
            <v>PRESSURE GAUGE 25 BAR PAKAI OLI</v>
          </cell>
          <cell r="C3306" t="str">
            <v>NHD</v>
          </cell>
        </row>
        <row r="3307">
          <cell r="A3307" t="str">
            <v>BIA-SP-0000518</v>
          </cell>
          <cell r="B3307" t="str">
            <v>FLANGE SUS 304 PN16 3/4”</v>
          </cell>
          <cell r="C3307" t="str">
            <v>NHD</v>
          </cell>
        </row>
        <row r="3308">
          <cell r="A3308" t="str">
            <v>BIA-SP-0000519</v>
          </cell>
          <cell r="B3308" t="str">
            <v>SDD 1 1/4"</v>
          </cell>
          <cell r="C3308" t="str">
            <v>NHD</v>
          </cell>
        </row>
        <row r="3309">
          <cell r="A3309" t="str">
            <v>BIA-SP-0000520</v>
          </cell>
          <cell r="B3309" t="str">
            <v>PIPA 1 1/4</v>
          </cell>
          <cell r="C3309" t="str">
            <v>NHD</v>
          </cell>
        </row>
        <row r="3310">
          <cell r="A3310" t="str">
            <v>BIA-SP-0000521</v>
          </cell>
          <cell r="B3310" t="str">
            <v>TANDON PLASTIK 1.100 L</v>
          </cell>
          <cell r="C3310" t="str">
            <v>NHD</v>
          </cell>
        </row>
        <row r="3311">
          <cell r="A3311" t="str">
            <v>BIA-SP-0000522</v>
          </cell>
          <cell r="B3311" t="str">
            <v>BEARING 695 ZZ</v>
          </cell>
          <cell r="C3311" t="str">
            <v>NHD</v>
          </cell>
        </row>
        <row r="3312">
          <cell r="A3312" t="str">
            <v>BIA-SP-0000523</v>
          </cell>
          <cell r="B3312" t="str">
            <v>SDL 1 1/4</v>
          </cell>
          <cell r="C3312" t="str">
            <v>NHD</v>
          </cell>
        </row>
        <row r="3313">
          <cell r="A3313" t="str">
            <v>BIA-SP-0000524</v>
          </cell>
          <cell r="B3313" t="str">
            <v>TABUNG ANGIN POMPA</v>
          </cell>
          <cell r="C3313" t="str">
            <v>NHD</v>
          </cell>
        </row>
        <row r="3314">
          <cell r="A3314" t="str">
            <v>BIA-SP-0000525</v>
          </cell>
          <cell r="B3314" t="str">
            <v>VLOCK SHOCK 1 x 1/2"</v>
          </cell>
          <cell r="C3314" t="str">
            <v>NHD</v>
          </cell>
        </row>
        <row r="3315">
          <cell r="A3315" t="str">
            <v>BIA-SP-0000526</v>
          </cell>
          <cell r="B3315" t="str">
            <v>TUSEN CLAP 1 1/4"</v>
          </cell>
          <cell r="C3315" t="str">
            <v>NHD</v>
          </cell>
        </row>
        <row r="3316">
          <cell r="A3316" t="str">
            <v>BIA-SP-0000527</v>
          </cell>
          <cell r="B3316" t="str">
            <v>VLOCK T DRAT DALAM 3/4"</v>
          </cell>
          <cell r="C3316" t="str">
            <v>NHD</v>
          </cell>
        </row>
        <row r="3317">
          <cell r="A3317" t="str">
            <v>BIA-SP-0000528</v>
          </cell>
          <cell r="B3317" t="str">
            <v>ACCU YUASA 12V 2.4AH</v>
          </cell>
          <cell r="C3317" t="str">
            <v>NHD</v>
          </cell>
        </row>
        <row r="3318">
          <cell r="A3318" t="str">
            <v>BIA-SP-0000529</v>
          </cell>
          <cell r="B3318" t="str">
            <v>KAPASITOR 324-389 MFD 125VAC, 50/60 HZ</v>
          </cell>
          <cell r="C3318" t="str">
            <v>NHD</v>
          </cell>
        </row>
        <row r="3319">
          <cell r="A3319" t="str">
            <v>BIA-SP-0000530</v>
          </cell>
          <cell r="B3319" t="str">
            <v>UJUNG SOLDER 60 WATT</v>
          </cell>
          <cell r="C3319" t="str">
            <v>NHD</v>
          </cell>
        </row>
        <row r="3320">
          <cell r="A3320" t="str">
            <v>BIA-SP-0000531</v>
          </cell>
          <cell r="B3320" t="str">
            <v>UJUNG SOLDER 40 WATT</v>
          </cell>
          <cell r="C3320" t="str">
            <v>NHD</v>
          </cell>
        </row>
        <row r="3321">
          <cell r="A3321" t="str">
            <v>BIA-SP-0000532</v>
          </cell>
          <cell r="B3321" t="str">
            <v>TIMAH SOLDER</v>
          </cell>
          <cell r="C3321" t="str">
            <v>NHD</v>
          </cell>
        </row>
        <row r="3322">
          <cell r="A3322" t="str">
            <v>BIA-SP-0000533</v>
          </cell>
          <cell r="B3322" t="str">
            <v>TIMAH</v>
          </cell>
          <cell r="C3322" t="str">
            <v>NHD</v>
          </cell>
        </row>
        <row r="3323">
          <cell r="A3323" t="str">
            <v>BIA-SP-0000534</v>
          </cell>
          <cell r="B3323" t="str">
            <v>PASTA</v>
          </cell>
          <cell r="C3323" t="str">
            <v>NHD</v>
          </cell>
        </row>
        <row r="3324">
          <cell r="A3324" t="str">
            <v>BIA-SP-0000535</v>
          </cell>
          <cell r="B3324" t="str">
            <v>LDD 1/2</v>
          </cell>
          <cell r="C3324" t="str">
            <v>NHD</v>
          </cell>
        </row>
        <row r="3325">
          <cell r="A3325" t="str">
            <v>BIA-SP-0000536</v>
          </cell>
          <cell r="B3325" t="str">
            <v>PAKU BETON 3"</v>
          </cell>
          <cell r="C3325" t="str">
            <v>NHD</v>
          </cell>
        </row>
        <row r="3326">
          <cell r="A3326" t="str">
            <v>BIA-SP-0000537</v>
          </cell>
          <cell r="B3326" t="str">
            <v>SELANG NYLON 4X6 MM</v>
          </cell>
          <cell r="C3326" t="str">
            <v>NHD</v>
          </cell>
        </row>
        <row r="3327">
          <cell r="A3327" t="str">
            <v>BIA-SP-0000538</v>
          </cell>
          <cell r="B3327" t="str">
            <v>NEPLE PRESSURE GAUGE 1/4"</v>
          </cell>
          <cell r="C3327" t="str">
            <v>NHD</v>
          </cell>
        </row>
        <row r="3328">
          <cell r="A3328" t="str">
            <v>BIA-SP-0000539</v>
          </cell>
          <cell r="B3328" t="str">
            <v>TANDON STAINLESS 380</v>
          </cell>
          <cell r="C3328" t="str">
            <v>NHD</v>
          </cell>
        </row>
        <row r="3329">
          <cell r="A3329" t="str">
            <v>BIA-SP-0000540</v>
          </cell>
          <cell r="B3329" t="str">
            <v>KONTAKTOR LC1D09M7</v>
          </cell>
          <cell r="C3329" t="str">
            <v>NHD</v>
          </cell>
        </row>
        <row r="3330">
          <cell r="A3330" t="str">
            <v>BIA-SP-0000541</v>
          </cell>
          <cell r="B3330" t="str">
            <v>OVERLOAD LR D16</v>
          </cell>
          <cell r="C3330" t="str">
            <v>NHD</v>
          </cell>
        </row>
        <row r="3331">
          <cell r="A3331" t="str">
            <v>BIA-SP-0000542</v>
          </cell>
          <cell r="B3331" t="str">
            <v>MCB 32 A 3 PASS</v>
          </cell>
          <cell r="C3331" t="str">
            <v>NHD</v>
          </cell>
        </row>
        <row r="3332">
          <cell r="A3332" t="str">
            <v>BIA-SP-0000543</v>
          </cell>
          <cell r="B3332" t="str">
            <v>FUSE FS-10</v>
          </cell>
          <cell r="C3332" t="str">
            <v>NHD</v>
          </cell>
        </row>
        <row r="3333">
          <cell r="A3333" t="str">
            <v>BIA-SP-0000544</v>
          </cell>
          <cell r="B3333" t="str">
            <v>ADAPTOR AC INPUT 230V-50HZ 150MA</v>
          </cell>
          <cell r="C3333" t="str">
            <v>NHD</v>
          </cell>
        </row>
        <row r="3334">
          <cell r="A3334" t="str">
            <v>BIA-SP-0000545</v>
          </cell>
          <cell r="B3334" t="str">
            <v>BOX MCB</v>
          </cell>
          <cell r="C3334" t="str">
            <v>NHD</v>
          </cell>
        </row>
        <row r="3335">
          <cell r="A3335" t="str">
            <v>BIA-SP-0000546</v>
          </cell>
          <cell r="B3335" t="str">
            <v>KONEKTOR LISTRIK 4 PIN</v>
          </cell>
          <cell r="C3335" t="str">
            <v>NHD</v>
          </cell>
        </row>
        <row r="3336">
          <cell r="A3336" t="str">
            <v>BIA-SP-0000547</v>
          </cell>
          <cell r="B3336" t="str">
            <v>SEAL CM1/3/5-AVEBE/V</v>
          </cell>
          <cell r="C3336" t="str">
            <v>NHD</v>
          </cell>
        </row>
        <row r="3337">
          <cell r="A3337" t="str">
            <v>BIA-SP-0000548</v>
          </cell>
          <cell r="B3337" t="str">
            <v>HOLE SAW HSS 32 M</v>
          </cell>
          <cell r="C3337" t="str">
            <v>NHD</v>
          </cell>
        </row>
        <row r="3338">
          <cell r="A3338" t="str">
            <v>BIA-SP-0000549</v>
          </cell>
          <cell r="B3338" t="str">
            <v>TANDON PLASTIK 1200L</v>
          </cell>
          <cell r="C3338" t="str">
            <v>NHD</v>
          </cell>
        </row>
        <row r="3339">
          <cell r="A3339" t="str">
            <v>BIA-SP-0000550</v>
          </cell>
          <cell r="B3339" t="str">
            <v>POWER SWITCHING CME 240P-24</v>
          </cell>
          <cell r="C3339" t="str">
            <v>NHD</v>
          </cell>
        </row>
        <row r="3340">
          <cell r="A3340" t="str">
            <v>BIA-SP-0000551</v>
          </cell>
          <cell r="B3340" t="str">
            <v>Control Board RO C22, 120/220V (P/N 204207)</v>
          </cell>
          <cell r="C3340" t="str">
            <v>NHD</v>
          </cell>
        </row>
        <row r="3341">
          <cell r="A3341" t="str">
            <v>BIA-SP-0000552</v>
          </cell>
          <cell r="B3341" t="str">
            <v>ADAPTER LISTRIK</v>
          </cell>
          <cell r="C3341" t="str">
            <v>NHD</v>
          </cell>
        </row>
        <row r="3342">
          <cell r="A3342" t="str">
            <v>BIA-SP-0000553</v>
          </cell>
          <cell r="B3342" t="str">
            <v>PYLOX HITAM</v>
          </cell>
          <cell r="C3342" t="str">
            <v>NHD</v>
          </cell>
        </row>
        <row r="3343">
          <cell r="A3343" t="str">
            <v>BIA-SP-0000554</v>
          </cell>
          <cell r="B3343" t="str">
            <v>PYLOX ABU-ABU</v>
          </cell>
          <cell r="C3343" t="str">
            <v>NHD</v>
          </cell>
        </row>
        <row r="3344">
          <cell r="A3344" t="str">
            <v>BIA-SP-0000555</v>
          </cell>
          <cell r="B3344" t="str">
            <v>KABEL SERABUT HITAM 1 X 14</v>
          </cell>
          <cell r="C3344" t="str">
            <v>NHD</v>
          </cell>
        </row>
        <row r="3345">
          <cell r="A3345" t="str">
            <v>BIA-SP-0000556</v>
          </cell>
          <cell r="B3345" t="str">
            <v>SELANG BAKAR</v>
          </cell>
          <cell r="C3345" t="str">
            <v>NHD</v>
          </cell>
        </row>
        <row r="3346">
          <cell r="A3346" t="str">
            <v>BIA-SP-0000557</v>
          </cell>
          <cell r="B3346" t="str">
            <v>SKUN 5MM</v>
          </cell>
          <cell r="C3346" t="str">
            <v>NHD</v>
          </cell>
        </row>
        <row r="3347">
          <cell r="A3347" t="str">
            <v>BIA-SP-0000558</v>
          </cell>
          <cell r="B3347" t="str">
            <v>KABEL SERABUT MERAH 1 X 14</v>
          </cell>
          <cell r="C3347" t="str">
            <v>NHD</v>
          </cell>
        </row>
        <row r="3348">
          <cell r="A3348" t="str">
            <v>BIA-SP-0000559</v>
          </cell>
          <cell r="B3348" t="str">
            <v>WD-40</v>
          </cell>
          <cell r="C3348" t="str">
            <v>NHD</v>
          </cell>
        </row>
        <row r="3349">
          <cell r="A3349" t="str">
            <v>BIA-SP-0000560</v>
          </cell>
          <cell r="B3349" t="str">
            <v>VLOCKSHOCK 1 1/2 X 1"</v>
          </cell>
          <cell r="C3349" t="str">
            <v>NHD</v>
          </cell>
        </row>
        <row r="3350">
          <cell r="A3350" t="str">
            <v>BIA-SP-0000561</v>
          </cell>
          <cell r="B3350" t="str">
            <v>KNEE 1 1/2"</v>
          </cell>
          <cell r="C3350" t="str">
            <v>NHD</v>
          </cell>
        </row>
        <row r="3351">
          <cell r="A3351" t="str">
            <v>BIA-SP-0000562</v>
          </cell>
          <cell r="B3351" t="str">
            <v>OHM SAKLAR 32A</v>
          </cell>
          <cell r="C3351" t="str">
            <v>NHD</v>
          </cell>
        </row>
        <row r="3352">
          <cell r="A3352" t="str">
            <v>BIA-SP-0000563</v>
          </cell>
          <cell r="B3352" t="str">
            <v>DOP 1"</v>
          </cell>
          <cell r="C3352" t="str">
            <v>NHD</v>
          </cell>
        </row>
        <row r="3353">
          <cell r="A3353" t="str">
            <v>BIA-SP-0000564</v>
          </cell>
          <cell r="B3353" t="str">
            <v>MATA BOR 6 MM</v>
          </cell>
          <cell r="C3353" t="str">
            <v>NHD</v>
          </cell>
        </row>
        <row r="3354">
          <cell r="A3354" t="str">
            <v>BIA-SP-0000565</v>
          </cell>
          <cell r="B3354" t="str">
            <v>FISER S6</v>
          </cell>
          <cell r="C3354" t="str">
            <v>NHD</v>
          </cell>
        </row>
        <row r="3355">
          <cell r="A3355" t="str">
            <v>BIA-SP-0000566</v>
          </cell>
          <cell r="B3355" t="str">
            <v>KNEE L 3/4"</v>
          </cell>
          <cell r="C3355" t="str">
            <v>NHD</v>
          </cell>
        </row>
        <row r="3356">
          <cell r="A3356" t="str">
            <v>BIA-SP-0000567</v>
          </cell>
          <cell r="B3356" t="str">
            <v>L DRAT 1/2 x 3/4"</v>
          </cell>
          <cell r="C3356" t="str">
            <v>NHD</v>
          </cell>
        </row>
        <row r="3357">
          <cell r="A3357" t="str">
            <v>BIA-SP-0000568</v>
          </cell>
          <cell r="B3357" t="str">
            <v>KNEE DRAT 1/2 x 3/4"</v>
          </cell>
          <cell r="C3357" t="str">
            <v>NHD</v>
          </cell>
        </row>
        <row r="3358">
          <cell r="A3358" t="str">
            <v>BIA-SP-0000569</v>
          </cell>
          <cell r="B3358" t="str">
            <v>VLOCK SHOCK 1/2 x 3/4"</v>
          </cell>
          <cell r="C3358" t="str">
            <v>NHD</v>
          </cell>
        </row>
        <row r="3359">
          <cell r="A3359" t="str">
            <v>BIA-SP-0000570</v>
          </cell>
          <cell r="B3359" t="str">
            <v>GERGAJI BESI</v>
          </cell>
          <cell r="C3359" t="str">
            <v>NHD</v>
          </cell>
        </row>
        <row r="3360">
          <cell r="A3360" t="str">
            <v>BIA-SP-0000571</v>
          </cell>
          <cell r="B3360" t="str">
            <v>COOLER BOX</v>
          </cell>
          <cell r="C3360" t="str">
            <v>NHD</v>
          </cell>
        </row>
        <row r="3361">
          <cell r="A3361" t="str">
            <v>BIA-SP-0000572</v>
          </cell>
          <cell r="B3361" t="str">
            <v>DOP DRAT LUAR 1"</v>
          </cell>
          <cell r="C3361" t="str">
            <v>NHD</v>
          </cell>
        </row>
        <row r="3362">
          <cell r="A3362" t="str">
            <v>BIA-SP-0000573</v>
          </cell>
          <cell r="B3362" t="str">
            <v>T DRAT 3/4 X 3/4</v>
          </cell>
          <cell r="C3362" t="str">
            <v>NHD</v>
          </cell>
        </row>
        <row r="3363">
          <cell r="A3363" t="str">
            <v>BIA-SP-0000574</v>
          </cell>
          <cell r="B3363" t="str">
            <v>SELANG FLEXIBLE</v>
          </cell>
          <cell r="C3363" t="str">
            <v>NHD</v>
          </cell>
        </row>
        <row r="3364">
          <cell r="A3364" t="str">
            <v>BIA-SP-0000575</v>
          </cell>
          <cell r="B3364" t="str">
            <v>TANDON 3300 L</v>
          </cell>
          <cell r="C3364" t="str">
            <v>NHD</v>
          </cell>
        </row>
        <row r="3365">
          <cell r="A3365" t="str">
            <v>BIA-SP-0000576</v>
          </cell>
          <cell r="B3365" t="str">
            <v>BOTOL</v>
          </cell>
          <cell r="C3365" t="str">
            <v>NHD</v>
          </cell>
        </row>
        <row r="3366">
          <cell r="A3366" t="str">
            <v>BIA-SP-0000577</v>
          </cell>
          <cell r="B3366" t="str">
            <v>NEPEL DRAT 3/4" - 1/2"</v>
          </cell>
          <cell r="C3366" t="str">
            <v>NHD</v>
          </cell>
        </row>
        <row r="3367">
          <cell r="A3367" t="str">
            <v>BIA-SP-0000578</v>
          </cell>
          <cell r="B3367" t="str">
            <v>AMPLAS</v>
          </cell>
          <cell r="C3367" t="str">
            <v>NHD</v>
          </cell>
        </row>
        <row r="3368">
          <cell r="A3368" t="str">
            <v>BIA-SP-0000579</v>
          </cell>
          <cell r="B3368" t="str">
            <v>MCB 3 PHASE 32 AMPER</v>
          </cell>
          <cell r="C3368" t="str">
            <v>NHD</v>
          </cell>
        </row>
        <row r="3369">
          <cell r="A3369" t="str">
            <v>BIA-SP-0000580</v>
          </cell>
          <cell r="B3369" t="str">
            <v>STOP KONTAK 5 LUBANG</v>
          </cell>
          <cell r="C3369" t="str">
            <v>NHD</v>
          </cell>
        </row>
        <row r="3370">
          <cell r="A3370" t="str">
            <v>BIA-SP-0000581</v>
          </cell>
          <cell r="B3370" t="str">
            <v>BAUT + RING</v>
          </cell>
          <cell r="C3370" t="str">
            <v>NHD</v>
          </cell>
        </row>
        <row r="3371">
          <cell r="A3371" t="str">
            <v>BIA-SP-0000582</v>
          </cell>
          <cell r="B3371" t="str">
            <v>PYLOX PUTIH</v>
          </cell>
          <cell r="C3371" t="str">
            <v>NHD</v>
          </cell>
        </row>
        <row r="3372">
          <cell r="A3372" t="str">
            <v>BIA-SP-0000583</v>
          </cell>
          <cell r="B3372" t="str">
            <v>DOP DRAT LUAR 1/2</v>
          </cell>
          <cell r="C3372" t="str">
            <v>NHD</v>
          </cell>
        </row>
        <row r="3373">
          <cell r="A3373" t="str">
            <v>BIA-SP-0000584</v>
          </cell>
          <cell r="B3373" t="str">
            <v>DOP DRAT LUAR 3/4</v>
          </cell>
          <cell r="C3373" t="str">
            <v>NHD</v>
          </cell>
        </row>
        <row r="3374">
          <cell r="A3374" t="str">
            <v>BIA-SP-0000585</v>
          </cell>
          <cell r="B3374" t="str">
            <v>PYLOX SILVER</v>
          </cell>
          <cell r="C3374" t="str">
            <v>NHD</v>
          </cell>
        </row>
        <row r="3375">
          <cell r="A3375" t="str">
            <v>BIA-SP-0000586</v>
          </cell>
          <cell r="B3375" t="str">
            <v>KABEL DAK 100 X 100</v>
          </cell>
          <cell r="C3375" t="str">
            <v>NHD</v>
          </cell>
        </row>
        <row r="3376">
          <cell r="A3376" t="str">
            <v>BIA-SP-0000587</v>
          </cell>
          <cell r="B3376" t="str">
            <v>KABEL DAK 100 X 50</v>
          </cell>
          <cell r="C3376" t="str">
            <v>NHD</v>
          </cell>
        </row>
        <row r="3377">
          <cell r="A3377" t="str">
            <v>BIA-SP-0000588</v>
          </cell>
          <cell r="B3377" t="str">
            <v>BIRM CLACK A8006</v>
          </cell>
          <cell r="C3377" t="str">
            <v>NHD</v>
          </cell>
        </row>
        <row r="3378">
          <cell r="A3378" t="str">
            <v>BIA-SP-0000589</v>
          </cell>
          <cell r="B3378" t="str">
            <v>BAYCLEAN</v>
          </cell>
          <cell r="C3378" t="str">
            <v>NHD</v>
          </cell>
        </row>
        <row r="3379">
          <cell r="A3379" t="str">
            <v>BIA-SP-0000590</v>
          </cell>
          <cell r="B3379" t="str">
            <v>TANG SNAP RING PLIER</v>
          </cell>
          <cell r="C3379" t="str">
            <v>NHD</v>
          </cell>
        </row>
        <row r="3380">
          <cell r="A3380" t="str">
            <v>BIA-SP-0000591</v>
          </cell>
          <cell r="B3380" t="str">
            <v>STOP KONTAK 3 LUBANG</v>
          </cell>
          <cell r="C3380" t="str">
            <v>NHD</v>
          </cell>
        </row>
        <row r="3381">
          <cell r="A3381" t="str">
            <v>BIA-SP-0000592</v>
          </cell>
          <cell r="B3381" t="str">
            <v>TANGKI EXCEL 600 LITER</v>
          </cell>
          <cell r="C3381" t="str">
            <v>NHD</v>
          </cell>
        </row>
        <row r="3382">
          <cell r="A3382" t="str">
            <v>BIA-SP-0000593</v>
          </cell>
          <cell r="B3382" t="str">
            <v>KNEE 2 1/2"</v>
          </cell>
          <cell r="C3382" t="str">
            <v>NHD</v>
          </cell>
        </row>
        <row r="3383">
          <cell r="A3383" t="str">
            <v>BIA-SP-0000594</v>
          </cell>
          <cell r="B3383" t="str">
            <v>TEE 2 1/2"</v>
          </cell>
          <cell r="C3383" t="str">
            <v>NHD</v>
          </cell>
        </row>
        <row r="3384">
          <cell r="A3384" t="str">
            <v>BIA-SP-0000595</v>
          </cell>
          <cell r="B3384" t="str">
            <v>SHOCK 2 1/2"</v>
          </cell>
          <cell r="C3384" t="str">
            <v>NHD</v>
          </cell>
        </row>
        <row r="3385">
          <cell r="A3385" t="str">
            <v>BIA-SP-0000596</v>
          </cell>
          <cell r="B3385" t="str">
            <v>PIPA 2 1/2"</v>
          </cell>
          <cell r="C3385" t="str">
            <v>NHD</v>
          </cell>
        </row>
        <row r="3386">
          <cell r="A3386" t="str">
            <v>BIA-SP-0000597</v>
          </cell>
          <cell r="B3386" t="str">
            <v>Fitting Membrane L drat luar 1/4"</v>
          </cell>
          <cell r="C3386" t="str">
            <v>NHD</v>
          </cell>
        </row>
        <row r="3387">
          <cell r="A3387" t="str">
            <v>BIA-SP-0000598</v>
          </cell>
          <cell r="B3387" t="str">
            <v>Kabel Duct 100 X 50mm</v>
          </cell>
          <cell r="C3387" t="str">
            <v>NHD</v>
          </cell>
        </row>
        <row r="3388">
          <cell r="A3388" t="str">
            <v>BIA-SP-0000599</v>
          </cell>
          <cell r="B3388" t="str">
            <v>LAMPU LED</v>
          </cell>
          <cell r="C3388" t="str">
            <v>NHD</v>
          </cell>
        </row>
        <row r="3389">
          <cell r="A3389" t="str">
            <v>BIA-SP-0000600</v>
          </cell>
          <cell r="B3389" t="str">
            <v>CONTACTOR ST 12</v>
          </cell>
          <cell r="C3389" t="str">
            <v>NHD</v>
          </cell>
        </row>
        <row r="3390">
          <cell r="A3390" t="str">
            <v>BIA-SP-0000601</v>
          </cell>
          <cell r="B3390" t="str">
            <v>CONTACTOR ST 10</v>
          </cell>
          <cell r="C3390" t="str">
            <v>NHD</v>
          </cell>
        </row>
        <row r="3391">
          <cell r="A3391" t="str">
            <v>BIA-SP-0000602</v>
          </cell>
          <cell r="B3391" t="str">
            <v>POMPA GRUNDFOS CRN 3-36</v>
          </cell>
          <cell r="C3391" t="str">
            <v>NHD</v>
          </cell>
        </row>
        <row r="3392">
          <cell r="A3392" t="str">
            <v>BIA-SP-0000603</v>
          </cell>
          <cell r="B3392" t="str">
            <v>PIPA PVC 2"</v>
          </cell>
          <cell r="C3392" t="str">
            <v>NHD</v>
          </cell>
        </row>
        <row r="3393">
          <cell r="A3393" t="str">
            <v>BIA-SP-0000604</v>
          </cell>
          <cell r="B3393" t="str">
            <v>SOCK PVC 2"</v>
          </cell>
          <cell r="C3393" t="str">
            <v>NHD</v>
          </cell>
        </row>
        <row r="3394">
          <cell r="A3394" t="str">
            <v>BIA-SP-0000605</v>
          </cell>
          <cell r="B3394" t="str">
            <v>WATER MOOR PVC 2"</v>
          </cell>
          <cell r="C3394" t="str">
            <v>NHD</v>
          </cell>
        </row>
        <row r="3395">
          <cell r="A3395" t="str">
            <v>BIA-SP-0000606</v>
          </cell>
          <cell r="B3395" t="str">
            <v>SODA API</v>
          </cell>
          <cell r="C3395" t="str">
            <v>NHD</v>
          </cell>
        </row>
        <row r="3396">
          <cell r="A3396" t="str">
            <v>BIA-SP-0000607</v>
          </cell>
          <cell r="B3396" t="str">
            <v>KRAN 3/4</v>
          </cell>
          <cell r="C3396" t="str">
            <v>NHD</v>
          </cell>
        </row>
        <row r="3397">
          <cell r="A3397" t="str">
            <v>BIA-SP-0000608</v>
          </cell>
          <cell r="B3397" t="str">
            <v>KABEL NYAF 0,5 mm</v>
          </cell>
          <cell r="C3397" t="str">
            <v>NHD</v>
          </cell>
        </row>
        <row r="3398">
          <cell r="A3398" t="str">
            <v>BIA-SP-0000609</v>
          </cell>
          <cell r="B3398" t="str">
            <v>PANEL SWITCH RO</v>
          </cell>
          <cell r="C3398" t="str">
            <v>NHD</v>
          </cell>
        </row>
        <row r="3399">
          <cell r="A3399" t="str">
            <v>BIA-SP-0000610</v>
          </cell>
          <cell r="B3399" t="str">
            <v>PRESSURE GAUGE 1.5 BAR</v>
          </cell>
          <cell r="C3399" t="str">
            <v>NHD</v>
          </cell>
        </row>
        <row r="3400">
          <cell r="A3400" t="str">
            <v>BIA-SP-0000611</v>
          </cell>
          <cell r="B3400" t="str">
            <v>PRESSURE REDUCING VALVE</v>
          </cell>
          <cell r="C3400" t="str">
            <v>NHD</v>
          </cell>
        </row>
        <row r="3401">
          <cell r="A3401" t="str">
            <v>BIA-SP-0000612</v>
          </cell>
          <cell r="B3401" t="str">
            <v>KABEL NYY 2 x 2,5</v>
          </cell>
          <cell r="C3401" t="str">
            <v>NHD</v>
          </cell>
        </row>
        <row r="3402">
          <cell r="A3402" t="str">
            <v>BIA-SP-0000613</v>
          </cell>
          <cell r="B3402" t="str">
            <v>VLOCK SHOCK 2 1/2" X 1/2"</v>
          </cell>
          <cell r="C3402" t="str">
            <v>NHD</v>
          </cell>
        </row>
        <row r="3403">
          <cell r="A3403" t="str">
            <v>BIA-SP-0000614</v>
          </cell>
          <cell r="B3403" t="str">
            <v>SOFT STATER ABB TYPE PSR16-600-70</v>
          </cell>
          <cell r="C3403" t="str">
            <v>NHD</v>
          </cell>
        </row>
        <row r="3404">
          <cell r="A3404" t="str">
            <v>BIA-SP-0000615</v>
          </cell>
          <cell r="B3404" t="str">
            <v>KABEL VGA</v>
          </cell>
          <cell r="C3404" t="str">
            <v>NHD</v>
          </cell>
        </row>
        <row r="3405">
          <cell r="A3405" t="str">
            <v>BIA-SP-0000616</v>
          </cell>
          <cell r="B3405" t="str">
            <v>KABEL AWG</v>
          </cell>
          <cell r="C3405" t="str">
            <v>NHD</v>
          </cell>
        </row>
        <row r="3406">
          <cell r="A3406" t="str">
            <v>BIA-SP-0000617</v>
          </cell>
          <cell r="B3406" t="str">
            <v>DB VGA FEMALE</v>
          </cell>
          <cell r="C3406" t="str">
            <v>NHD</v>
          </cell>
        </row>
        <row r="3407">
          <cell r="A3407" t="str">
            <v>BIA-SP-0000618</v>
          </cell>
          <cell r="B3407" t="str">
            <v>MEMBRANE FILMTEC TW30-1812-100 GPD</v>
          </cell>
          <cell r="C3407" t="str">
            <v>NHD</v>
          </cell>
        </row>
        <row r="3408">
          <cell r="A3408" t="str">
            <v>BIA-SP-0000619</v>
          </cell>
          <cell r="B3408" t="str">
            <v>TRILITE SM210</v>
          </cell>
          <cell r="C3408" t="str">
            <v>NHD</v>
          </cell>
        </row>
        <row r="3409">
          <cell r="A3409" t="str">
            <v>BIA-SP-0000620</v>
          </cell>
          <cell r="B3409" t="str">
            <v>DOUBLE NEPEL 1” X 3/4”</v>
          </cell>
          <cell r="C3409" t="str">
            <v>NHD</v>
          </cell>
        </row>
        <row r="3410">
          <cell r="A3410" t="str">
            <v>BIA-SP-0000621</v>
          </cell>
          <cell r="B3410" t="str">
            <v>T DRAT DALAM 1"</v>
          </cell>
          <cell r="C3410" t="str">
            <v>NHD</v>
          </cell>
        </row>
        <row r="3411">
          <cell r="A3411" t="str">
            <v>BIA-SP-0000622</v>
          </cell>
          <cell r="B3411" t="str">
            <v>POMPA CDLF 2-15 1 PHASE</v>
          </cell>
          <cell r="C3411" t="str">
            <v>NHD</v>
          </cell>
        </row>
        <row r="3412">
          <cell r="A3412" t="str">
            <v>BIA-SP-0000623</v>
          </cell>
          <cell r="B3412" t="str">
            <v>FLANGE DRAT DALAM 1 1/4" SS</v>
          </cell>
          <cell r="C3412" t="str">
            <v>NHD</v>
          </cell>
        </row>
        <row r="3413">
          <cell r="A3413" t="str">
            <v>BIA-SP-0000624</v>
          </cell>
          <cell r="B3413" t="str">
            <v>KABEL DUCT 65 x 65</v>
          </cell>
          <cell r="C3413" t="str">
            <v>NHD</v>
          </cell>
        </row>
        <row r="3414">
          <cell r="A3414" t="str">
            <v>BIA-SP-0000625</v>
          </cell>
          <cell r="B3414" t="str">
            <v>LEM DEXTONE / LEM BESI</v>
          </cell>
          <cell r="C3414" t="str">
            <v>NHD</v>
          </cell>
        </row>
        <row r="3415">
          <cell r="A3415" t="str">
            <v>BIA-SP-0000626</v>
          </cell>
          <cell r="B3415" t="str">
            <v>KABEL KLEM 10mm</v>
          </cell>
          <cell r="C3415" t="str">
            <v>NHD</v>
          </cell>
        </row>
        <row r="3416">
          <cell r="A3416" t="str">
            <v>BIA-SP-0000627</v>
          </cell>
          <cell r="B3416" t="str">
            <v>ULIR 1/4-7cm</v>
          </cell>
          <cell r="C3416" t="str">
            <v>NHD</v>
          </cell>
        </row>
        <row r="3417">
          <cell r="A3417" t="str">
            <v>BIA-SP-0000628</v>
          </cell>
          <cell r="B3417" t="str">
            <v>TANG POTONG PVC 42mm</v>
          </cell>
          <cell r="C3417" t="str">
            <v>NHD</v>
          </cell>
        </row>
        <row r="3418">
          <cell r="A3418" t="str">
            <v>BIA-SP-0000629</v>
          </cell>
          <cell r="B3418" t="str">
            <v>PIPA 1"</v>
          </cell>
          <cell r="C3418" t="str">
            <v>NHD</v>
          </cell>
        </row>
        <row r="3419">
          <cell r="A3419" t="str">
            <v>BIA-SP-0000630</v>
          </cell>
          <cell r="B3419" t="str">
            <v>KABEL NYM 2 x 4</v>
          </cell>
          <cell r="C3419" t="str">
            <v>NHD</v>
          </cell>
        </row>
        <row r="3420">
          <cell r="A3420" t="str">
            <v>BIA-SP-0000631</v>
          </cell>
          <cell r="B3420" t="str">
            <v>TABUNG 16 x 65</v>
          </cell>
          <cell r="C3420" t="str">
            <v>NHD</v>
          </cell>
        </row>
        <row r="3421">
          <cell r="A3421" t="str">
            <v>BIA-SP-0000632</v>
          </cell>
          <cell r="B3421" t="str">
            <v>BAUT+MUR+RING M10x6cm</v>
          </cell>
          <cell r="C3421" t="str">
            <v>NHD</v>
          </cell>
        </row>
        <row r="3422">
          <cell r="A3422" t="str">
            <v>BIA-SP-0000633</v>
          </cell>
          <cell r="B3422" t="str">
            <v>REDUCER DRAT DALAM 1” X 1 1/4” SS 304</v>
          </cell>
          <cell r="C3422" t="str">
            <v>NHD</v>
          </cell>
        </row>
        <row r="3423">
          <cell r="A3423" t="str">
            <v>BIA-SP-0000634</v>
          </cell>
          <cell r="B3423" t="str">
            <v>STEKER TIGA LUBANG</v>
          </cell>
          <cell r="C3423" t="str">
            <v>NHD</v>
          </cell>
        </row>
        <row r="3424">
          <cell r="A3424" t="str">
            <v>BIA-SP-0000635</v>
          </cell>
          <cell r="B3424" t="str">
            <v>KAPASITOR AC 60 U</v>
          </cell>
          <cell r="C3424" t="str">
            <v>NHD</v>
          </cell>
        </row>
        <row r="3425">
          <cell r="A3425" t="str">
            <v>BIA-SP-0000636</v>
          </cell>
          <cell r="B3425" t="str">
            <v>AUTOMATIC PRESSURE CONTROL</v>
          </cell>
          <cell r="C3425" t="str">
            <v>NHD</v>
          </cell>
        </row>
        <row r="3426">
          <cell r="A3426" t="str">
            <v>BIA-SP-0000637</v>
          </cell>
          <cell r="B3426" t="str">
            <v>WEBTROL PUMP AG10B15516,1 HP, 1 PHASE</v>
          </cell>
          <cell r="C3426" t="str">
            <v>NHD</v>
          </cell>
        </row>
        <row r="3427">
          <cell r="A3427" t="str">
            <v>BIA-SP-0000638</v>
          </cell>
          <cell r="B3427" t="str">
            <v>SEAL ENPLUG MEMBRANE</v>
          </cell>
          <cell r="C3427" t="str">
            <v>NHD</v>
          </cell>
        </row>
        <row r="3428">
          <cell r="A3428" t="str">
            <v>BIA-SP-0000639</v>
          </cell>
          <cell r="B3428" t="str">
            <v>1/4” JACO COM NUT</v>
          </cell>
          <cell r="C3428" t="str">
            <v>NHD</v>
          </cell>
        </row>
        <row r="3429">
          <cell r="A3429" t="str">
            <v>BIA-SP-0000640</v>
          </cell>
          <cell r="B3429" t="str">
            <v>JACO ELBOW 3/8” for V4</v>
          </cell>
          <cell r="C3429" t="str">
            <v>NHD</v>
          </cell>
        </row>
        <row r="3430">
          <cell r="A3430" t="str">
            <v>BIA-SP-0000641</v>
          </cell>
          <cell r="B3430" t="str">
            <v>TANDON PLASTIK 520 L</v>
          </cell>
          <cell r="C3430" t="str">
            <v>NHD</v>
          </cell>
        </row>
        <row r="3431">
          <cell r="A3431" t="str">
            <v>BIA-SP-0000642</v>
          </cell>
          <cell r="B3431" t="str">
            <v>KONEKTOR TIANG MESIN HD</v>
          </cell>
          <cell r="C3431" t="str">
            <v>NHD</v>
          </cell>
        </row>
        <row r="3432">
          <cell r="A3432" t="str">
            <v>BIA-SP-0000643</v>
          </cell>
          <cell r="B3432" t="str">
            <v>VALVE T 1/2"</v>
          </cell>
          <cell r="C3432" t="str">
            <v>NHD</v>
          </cell>
        </row>
        <row r="3433">
          <cell r="A3433" t="str">
            <v>BIA-SP-0000644</v>
          </cell>
          <cell r="B3433" t="str">
            <v>VLOCK RING 1/2”</v>
          </cell>
          <cell r="C3433" t="str">
            <v>NHD</v>
          </cell>
        </row>
        <row r="3434">
          <cell r="A3434" t="str">
            <v>BIA-SP-0000645</v>
          </cell>
          <cell r="B3434" t="str">
            <v>CARTRIDGE SPON-PP-PS 20</v>
          </cell>
          <cell r="C3434" t="str">
            <v>NHD</v>
          </cell>
        </row>
        <row r="3435">
          <cell r="A3435" t="str">
            <v>BIA-SP-0000646</v>
          </cell>
          <cell r="B3435" t="str">
            <v>KABEL DUCT 25 x 25</v>
          </cell>
          <cell r="C3435" t="str">
            <v>NHD</v>
          </cell>
        </row>
        <row r="3436">
          <cell r="A3436" t="str">
            <v>BIA-SP-0000647</v>
          </cell>
          <cell r="B3436" t="str">
            <v>CONDUCTIVITY CONTROLLER CCT-3320</v>
          </cell>
          <cell r="C3436" t="str">
            <v>NHD</v>
          </cell>
        </row>
        <row r="3437">
          <cell r="A3437" t="str">
            <v>BIA-SP-0000648</v>
          </cell>
          <cell r="B3437" t="str">
            <v>PRESSURE GAUGE 16 BAR</v>
          </cell>
          <cell r="C3437" t="str">
            <v>NHD</v>
          </cell>
        </row>
        <row r="3438">
          <cell r="A3438" t="str">
            <v>BIA-SP-0000649</v>
          </cell>
          <cell r="B3438" t="str">
            <v>KABEL SERABUT 3 x 2.5</v>
          </cell>
          <cell r="C3438" t="str">
            <v>NHD</v>
          </cell>
        </row>
        <row r="3439">
          <cell r="A3439" t="str">
            <v>BIA-SP-0000650</v>
          </cell>
          <cell r="B3439" t="str">
            <v>VLOCK RING 3/4" s 1/4"</v>
          </cell>
          <cell r="C3439" t="str">
            <v>NHD</v>
          </cell>
        </row>
        <row r="3440">
          <cell r="A3440" t="str">
            <v>BIA-SP-0000651</v>
          </cell>
          <cell r="B3440" t="str">
            <v>LEM BESI</v>
          </cell>
          <cell r="C3440" t="str">
            <v>NHD</v>
          </cell>
        </row>
        <row r="3441">
          <cell r="A3441" t="str">
            <v>BIA-SP-0000652</v>
          </cell>
          <cell r="B3441" t="str">
            <v>MCB 20 AMPER</v>
          </cell>
          <cell r="C3441" t="str">
            <v>NHD</v>
          </cell>
        </row>
        <row r="3442">
          <cell r="A3442" t="str">
            <v>BIA-SP-0000653</v>
          </cell>
          <cell r="B3442" t="str">
            <v>DOUBLE DRAT 3/4</v>
          </cell>
          <cell r="C3442" t="str">
            <v>NHD</v>
          </cell>
        </row>
        <row r="3443">
          <cell r="A3443" t="str">
            <v>BIA-SP-0000654</v>
          </cell>
          <cell r="B3443" t="str">
            <v>PYLOX BLUE</v>
          </cell>
          <cell r="C3443" t="str">
            <v>NHD</v>
          </cell>
        </row>
        <row r="3444">
          <cell r="A3444" t="str">
            <v>BIA-SP-0000655</v>
          </cell>
          <cell r="B3444" t="str">
            <v>PYLOX CREAM</v>
          </cell>
          <cell r="C3444" t="str">
            <v>NHD</v>
          </cell>
        </row>
        <row r="3445">
          <cell r="A3445" t="str">
            <v>BIA-SP-0000656</v>
          </cell>
          <cell r="B3445" t="str">
            <v>DEMPUL 1/4 KG</v>
          </cell>
          <cell r="C3445" t="str">
            <v>NHD</v>
          </cell>
        </row>
        <row r="3446">
          <cell r="A3446" t="str">
            <v>BIA-SP-0000657</v>
          </cell>
          <cell r="B3446" t="str">
            <v>MATA BOR BESI 12</v>
          </cell>
          <cell r="C3446" t="str">
            <v>NHD</v>
          </cell>
        </row>
        <row r="3447">
          <cell r="A3447" t="str">
            <v>BIA-SP-0000658</v>
          </cell>
          <cell r="B3447" t="str">
            <v>SELANG HYPREX 5/8"</v>
          </cell>
          <cell r="C3447" t="str">
            <v>NHD</v>
          </cell>
        </row>
        <row r="3448">
          <cell r="A3448" t="str">
            <v>BIA-SP-0000659</v>
          </cell>
          <cell r="B3448" t="str">
            <v>SHOCK 2"</v>
          </cell>
          <cell r="C3448" t="str">
            <v>NHD</v>
          </cell>
        </row>
        <row r="3449">
          <cell r="A3449" t="str">
            <v>BIA-SP-0000660</v>
          </cell>
          <cell r="B3449" t="str">
            <v>TEE 1 1/4 X 3/4</v>
          </cell>
          <cell r="C3449" t="str">
            <v>NHD</v>
          </cell>
        </row>
        <row r="3450">
          <cell r="A3450" t="str">
            <v>BIA-SP-0000661</v>
          </cell>
          <cell r="B3450" t="str">
            <v>PAKU BETON 1 1/2</v>
          </cell>
          <cell r="C3450" t="str">
            <v>NHD</v>
          </cell>
        </row>
        <row r="3451">
          <cell r="A3451" t="str">
            <v>BIA-SP-0000662</v>
          </cell>
          <cell r="B3451" t="str">
            <v>KUNCI PIPA 14</v>
          </cell>
          <cell r="C3451" t="str">
            <v>NHD</v>
          </cell>
        </row>
        <row r="3452">
          <cell r="A3452" t="str">
            <v>BIA-SP-0000664</v>
          </cell>
          <cell r="B3452" t="str">
            <v>O-RING 18,64x25,7x0x3,53x0 210</v>
          </cell>
          <cell r="C3452" t="str">
            <v>NHD</v>
          </cell>
        </row>
        <row r="3453">
          <cell r="A3453" t="str">
            <v>BIA-SP-0000665</v>
          </cell>
          <cell r="B3453" t="str">
            <v>RUBBER HOLLOW</v>
          </cell>
          <cell r="C3453" t="str">
            <v>NHD</v>
          </cell>
        </row>
        <row r="3454">
          <cell r="A3454" t="str">
            <v>BIA-SP-0000666</v>
          </cell>
          <cell r="B3454" t="str">
            <v>O-RING 7x10x0x1,5x0 1,5x7x1,5</v>
          </cell>
          <cell r="C3454" t="str">
            <v>NHD</v>
          </cell>
        </row>
        <row r="3455">
          <cell r="A3455" t="str">
            <v>BIA-SP-0000667</v>
          </cell>
          <cell r="B3455" t="str">
            <v>CONNECTOR 1048</v>
          </cell>
          <cell r="C3455" t="str">
            <v>NHD</v>
          </cell>
        </row>
        <row r="3456">
          <cell r="A3456" t="str">
            <v>BIA-SP-0000668</v>
          </cell>
          <cell r="B3456" t="str">
            <v>Shock 1 1/4"</v>
          </cell>
          <cell r="C3456" t="str">
            <v>NHD</v>
          </cell>
        </row>
        <row r="3457">
          <cell r="A3457" t="str">
            <v>BIA-SP-0000669</v>
          </cell>
          <cell r="B3457" t="str">
            <v>Knee 1 1/4"</v>
          </cell>
          <cell r="C3457" t="str">
            <v>NHD</v>
          </cell>
        </row>
        <row r="3458">
          <cell r="A3458" t="str">
            <v>BIA-SP-0000670</v>
          </cell>
          <cell r="B3458" t="str">
            <v>TANDON PLASTIK 250L</v>
          </cell>
          <cell r="C3458" t="str">
            <v>NHD</v>
          </cell>
        </row>
        <row r="3459">
          <cell r="A3459" t="str">
            <v>BIA-SP-0000671</v>
          </cell>
          <cell r="B3459" t="str">
            <v>PLASTIK WRAP</v>
          </cell>
          <cell r="C3459" t="str">
            <v>NHD</v>
          </cell>
        </row>
        <row r="3460">
          <cell r="A3460" t="str">
            <v>BIA-SP-0000672</v>
          </cell>
          <cell r="B3460" t="str">
            <v>SAFETY VALVE 3/4”</v>
          </cell>
          <cell r="C3460" t="str">
            <v>NHD</v>
          </cell>
        </row>
        <row r="3461">
          <cell r="A3461" t="str">
            <v>BIA-SP-0000673</v>
          </cell>
          <cell r="B3461" t="str">
            <v>PHOTOMICRO SLOT EE-1001 OMRON</v>
          </cell>
          <cell r="C3461" t="str">
            <v>NHD</v>
          </cell>
        </row>
        <row r="3462">
          <cell r="A3462" t="str">
            <v>BIA-SP-0000674</v>
          </cell>
          <cell r="B3462" t="str">
            <v>KAPASITOR 40 MIKRO 450VAC</v>
          </cell>
          <cell r="C3462" t="str">
            <v>NHD</v>
          </cell>
        </row>
        <row r="3463">
          <cell r="A3463" t="str">
            <v>BIA-SP-0000675</v>
          </cell>
          <cell r="B3463" t="str">
            <v>IMPELER JPB4</v>
          </cell>
          <cell r="C3463" t="str">
            <v>NHD</v>
          </cell>
        </row>
        <row r="3464">
          <cell r="A3464" t="str">
            <v>BIA-SP-0000676</v>
          </cell>
          <cell r="B3464" t="str">
            <v>DINAMO CH 4-50</v>
          </cell>
          <cell r="C3464" t="str">
            <v>NHD</v>
          </cell>
        </row>
        <row r="3465">
          <cell r="A3465" t="str">
            <v>BIA-SP-0000677</v>
          </cell>
          <cell r="B3465" t="str">
            <v>IMPELER CH 4-60</v>
          </cell>
          <cell r="C3465" t="str">
            <v>NHD</v>
          </cell>
        </row>
        <row r="3466">
          <cell r="A3466" t="str">
            <v>BIA-SP-0000678</v>
          </cell>
          <cell r="B3466" t="str">
            <v>DINAMO CNP 4-60</v>
          </cell>
          <cell r="C3466" t="str">
            <v>NHD</v>
          </cell>
        </row>
        <row r="3467">
          <cell r="A3467" t="str">
            <v>BIA-SP-0000679</v>
          </cell>
          <cell r="B3467" t="str">
            <v>HEAD JPB 5</v>
          </cell>
          <cell r="C3467" t="str">
            <v>NHD</v>
          </cell>
        </row>
        <row r="3468">
          <cell r="A3468" t="str">
            <v>BIA-SP-0000680</v>
          </cell>
          <cell r="B3468" t="str">
            <v>ROTOR</v>
          </cell>
          <cell r="C3468" t="str">
            <v>NHD</v>
          </cell>
        </row>
        <row r="3469">
          <cell r="A3469" t="str">
            <v>BIA-SP-0000681</v>
          </cell>
          <cell r="B3469" t="str">
            <v>HOUSING IMPELER</v>
          </cell>
          <cell r="C3469" t="str">
            <v>NHD</v>
          </cell>
        </row>
        <row r="3470">
          <cell r="A3470" t="str">
            <v>BIA-SP-0000682</v>
          </cell>
          <cell r="B3470" t="str">
            <v>POMPA GRUNDFOS CH 4-50</v>
          </cell>
          <cell r="C3470" t="str">
            <v>NHD</v>
          </cell>
        </row>
        <row r="3471">
          <cell r="A3471" t="str">
            <v>BIA-SP-0000683</v>
          </cell>
          <cell r="B3471" t="str">
            <v>POMPA GRUNDFOS CH 4-60</v>
          </cell>
          <cell r="C3471" t="str">
            <v>NHD</v>
          </cell>
        </row>
        <row r="3472">
          <cell r="A3472" t="str">
            <v>BIA-SP-0000684</v>
          </cell>
          <cell r="B3472" t="str">
            <v>POMPA GRUNDFOS 3-17</v>
          </cell>
          <cell r="C3472" t="str">
            <v>NHD</v>
          </cell>
        </row>
        <row r="3473">
          <cell r="A3473" t="str">
            <v>BIA-SP-0000685</v>
          </cell>
          <cell r="B3473" t="str">
            <v>POMPA CNP 2-50</v>
          </cell>
          <cell r="C3473" t="str">
            <v>NHD</v>
          </cell>
        </row>
        <row r="3474">
          <cell r="A3474" t="str">
            <v>BIA-SP-0000686</v>
          </cell>
          <cell r="B3474" t="str">
            <v>KAPASITOR 35 MIKRO 450VAC</v>
          </cell>
          <cell r="C3474" t="str">
            <v>NHD</v>
          </cell>
        </row>
        <row r="3475">
          <cell r="A3475" t="str">
            <v>BIA-SP-0000687</v>
          </cell>
          <cell r="B3475" t="str">
            <v>MECHANICAL SEAL A.W.A CVBE/CH4-30</v>
          </cell>
          <cell r="C3475" t="str">
            <v>NHD</v>
          </cell>
        </row>
        <row r="3476">
          <cell r="A3476" t="str">
            <v>BIA-SP-0000688</v>
          </cell>
          <cell r="B3476" t="str">
            <v>MECHANICAL SEAL CHL-16/BSF4</v>
          </cell>
          <cell r="C3476" t="str">
            <v>NHD</v>
          </cell>
        </row>
        <row r="3477">
          <cell r="A3477" t="str">
            <v>BIA-SP-0000689</v>
          </cell>
          <cell r="B3477" t="str">
            <v>Tandon SS 750 liter</v>
          </cell>
          <cell r="C3477" t="str">
            <v>NHD</v>
          </cell>
        </row>
        <row r="3478">
          <cell r="A3478" t="str">
            <v>BIA-SP-0000690</v>
          </cell>
          <cell r="B3478" t="str">
            <v>DUSTITES STATIONARY SWITCHES BRACKET</v>
          </cell>
          <cell r="C3478" t="str">
            <v>NHD</v>
          </cell>
        </row>
        <row r="3479">
          <cell r="A3479" t="str">
            <v>BIA-SP-0000691</v>
          </cell>
          <cell r="B3479" t="str">
            <v>TEE SS 1/2”</v>
          </cell>
          <cell r="C3479" t="str">
            <v>NHD</v>
          </cell>
        </row>
        <row r="3480">
          <cell r="A3480" t="str">
            <v>BIA-SP-0000692</v>
          </cell>
          <cell r="B3480" t="str">
            <v>STOP KRAN DRAT LUAR 1/2” X SELANG 3/8”</v>
          </cell>
          <cell r="C3480" t="str">
            <v>NHD</v>
          </cell>
        </row>
        <row r="3481">
          <cell r="A3481" t="str">
            <v>BIA-SP-0000693</v>
          </cell>
          <cell r="B3481" t="str">
            <v>FITTING RO TEE SELANG 3/8"</v>
          </cell>
          <cell r="C3481" t="str">
            <v>NHD</v>
          </cell>
        </row>
        <row r="3482">
          <cell r="A3482" t="str">
            <v>BIA-SP-0000695</v>
          </cell>
          <cell r="B3482" t="str">
            <v>SDL 1 1/2"</v>
          </cell>
          <cell r="C3482" t="str">
            <v>NHD</v>
          </cell>
        </row>
        <row r="3483">
          <cell r="A3483" t="str">
            <v>BIA-SP-0000696</v>
          </cell>
          <cell r="B3483" t="str">
            <v>PIPA 1 1/2"</v>
          </cell>
          <cell r="C3483" t="str">
            <v>NHD</v>
          </cell>
        </row>
        <row r="3484">
          <cell r="A3484" t="str">
            <v>BIA-SP-0000697</v>
          </cell>
          <cell r="B3484" t="str">
            <v>Pompa Air Celup Wasser SWP 180 E</v>
          </cell>
          <cell r="C3484" t="str">
            <v>NHD</v>
          </cell>
        </row>
        <row r="3485">
          <cell r="A3485" t="str">
            <v>BIA-SP-0000698</v>
          </cell>
          <cell r="B3485" t="str">
            <v>KLEM KABEL UTP No. 10 mm</v>
          </cell>
          <cell r="C3485" t="str">
            <v>NHD</v>
          </cell>
        </row>
        <row r="3486">
          <cell r="A3486" t="str">
            <v>BIA-SP-0000699</v>
          </cell>
          <cell r="B3486" t="str">
            <v>KLEM KABEL UTP No. 6 mm</v>
          </cell>
          <cell r="C3486" t="str">
            <v>NHD</v>
          </cell>
        </row>
        <row r="3487">
          <cell r="A3487" t="str">
            <v>BIA-SP-0000700</v>
          </cell>
          <cell r="B3487" t="str">
            <v>KAPASITOR 80 MIKRO 450 VAC</v>
          </cell>
          <cell r="C3487" t="str">
            <v>NHD</v>
          </cell>
        </row>
        <row r="3488">
          <cell r="A3488" t="str">
            <v>BIA-SP-0000701</v>
          </cell>
          <cell r="B3488" t="str">
            <v>KAPASITOR 150 MIKRO 300 VAC</v>
          </cell>
          <cell r="C3488" t="str">
            <v>NHD</v>
          </cell>
        </row>
        <row r="3489">
          <cell r="A3489" t="str">
            <v>BIA-SP-0000702</v>
          </cell>
          <cell r="B3489" t="str">
            <v>DURADUS 22 x 15 cm</v>
          </cell>
          <cell r="C3489" t="str">
            <v>NHD</v>
          </cell>
        </row>
        <row r="3490">
          <cell r="A3490" t="str">
            <v>BIA-SP-0000703</v>
          </cell>
          <cell r="B3490" t="str">
            <v>MEMBRANE SW30-4040</v>
          </cell>
          <cell r="C3490" t="str">
            <v>NHD</v>
          </cell>
        </row>
        <row r="3491">
          <cell r="A3491" t="str">
            <v>BIA-SP-0000704</v>
          </cell>
          <cell r="B3491" t="str">
            <v>MCB 2 AMPER</v>
          </cell>
          <cell r="C3491" t="str">
            <v>NHD</v>
          </cell>
        </row>
        <row r="3492">
          <cell r="A3492" t="str">
            <v>BIA-SP-0000705</v>
          </cell>
          <cell r="B3492" t="str">
            <v>LED BUZZER D 22MM 220V AC RED</v>
          </cell>
          <cell r="C3492" t="str">
            <v>NHD</v>
          </cell>
        </row>
        <row r="3493">
          <cell r="A3493" t="str">
            <v>BIA-SP-0000706</v>
          </cell>
          <cell r="B3493" t="str">
            <v>PALLET PLASTIC SINGLE DECK</v>
          </cell>
          <cell r="C3493" t="str">
            <v>NHD</v>
          </cell>
        </row>
        <row r="3494">
          <cell r="A3494" t="str">
            <v>BIA-SP-0000707</v>
          </cell>
          <cell r="B3494" t="str">
            <v>SDL 2”</v>
          </cell>
          <cell r="C3494" t="str">
            <v>NHD</v>
          </cell>
        </row>
        <row r="3495">
          <cell r="A3495" t="str">
            <v>BIA-SP-0000708</v>
          </cell>
          <cell r="B3495" t="str">
            <v>Vlock Shock 2” x 1”</v>
          </cell>
          <cell r="C3495" t="str">
            <v>NHD</v>
          </cell>
        </row>
        <row r="3496">
          <cell r="A3496" t="str">
            <v>BIA-SP-0000709</v>
          </cell>
          <cell r="B3496" t="str">
            <v>POLISHING COMPOUND WHITE</v>
          </cell>
          <cell r="C3496" t="str">
            <v>NHD</v>
          </cell>
        </row>
        <row r="3497">
          <cell r="A3497" t="str">
            <v>BIA-SP-0000710</v>
          </cell>
          <cell r="B3497" t="str">
            <v>POLISHING COMPOUND RED</v>
          </cell>
          <cell r="C3497" t="str">
            <v>NHD</v>
          </cell>
        </row>
        <row r="3498">
          <cell r="A3498" t="str">
            <v>BIA-SP-0000711</v>
          </cell>
          <cell r="B3498" t="str">
            <v>JERIGEN 5L</v>
          </cell>
          <cell r="C3498" t="str">
            <v>NHD</v>
          </cell>
        </row>
        <row r="3499">
          <cell r="A3499" t="str">
            <v>BIA-SP-0000712</v>
          </cell>
          <cell r="B3499" t="str">
            <v>KAPASITOR 60 MIKRO</v>
          </cell>
          <cell r="C3499" t="str">
            <v>NHD</v>
          </cell>
        </row>
        <row r="3500">
          <cell r="A3500" t="str">
            <v>BIA-SP-0000713</v>
          </cell>
          <cell r="B3500" t="str">
            <v>MCB 6 A</v>
          </cell>
          <cell r="C3500" t="str">
            <v>NHD</v>
          </cell>
        </row>
        <row r="3501">
          <cell r="A3501" t="str">
            <v>BIA-SP-0000714</v>
          </cell>
          <cell r="B3501" t="str">
            <v>CONDUCTIVITY TDS SENSOR CREATE ROCCON3134-14-5M</v>
          </cell>
          <cell r="C3501" t="str">
            <v>NHD</v>
          </cell>
        </row>
        <row r="3502">
          <cell r="A3502" t="str">
            <v>BIA-SP-0000715</v>
          </cell>
          <cell r="B3502" t="str">
            <v>POMPA GRUNDFOS CH 4-30</v>
          </cell>
          <cell r="C3502" t="str">
            <v>NHD</v>
          </cell>
        </row>
        <row r="3503">
          <cell r="A3503" t="str">
            <v>BIA-SP-0-701-836</v>
          </cell>
          <cell r="B3503" t="str">
            <v>CUFF</v>
          </cell>
          <cell r="C3503" t="str">
            <v>NHD</v>
          </cell>
        </row>
        <row r="3504">
          <cell r="A3504" t="str">
            <v>BIA-VF-0045</v>
          </cell>
          <cell r="B3504" t="str">
            <v>Solenoid Valve 2/2 Way</v>
          </cell>
          <cell r="C3504" t="str">
            <v>NHD</v>
          </cell>
        </row>
        <row r="3505">
          <cell r="A3505" t="str">
            <v>BIA-VF-0061</v>
          </cell>
          <cell r="B3505" t="str">
            <v>PLC WITH SOFTWARE</v>
          </cell>
          <cell r="C3505" t="str">
            <v>NHD</v>
          </cell>
        </row>
        <row r="3506">
          <cell r="A3506" t="str">
            <v>BIA-VF-0062</v>
          </cell>
          <cell r="B3506" t="str">
            <v>NEW VERSION SOLENOID VALVE HARD SEAL PLUNGER</v>
          </cell>
          <cell r="C3506" t="str">
            <v>NHD</v>
          </cell>
        </row>
        <row r="3507">
          <cell r="A3507" t="str">
            <v>B-INFUSION PUMP</v>
          </cell>
          <cell r="B3507" t="str">
            <v>BATTERY INFUSION PUMP</v>
          </cell>
          <cell r="C3507" t="str">
            <v>NHD</v>
          </cell>
        </row>
        <row r="3508">
          <cell r="A3508" t="str">
            <v>BIO-HOLE</v>
          </cell>
          <cell r="B3508" t="str">
            <v>BIOHOLE</v>
          </cell>
          <cell r="C3508" t="str">
            <v>NHD</v>
          </cell>
        </row>
        <row r="3509">
          <cell r="A3509" t="str">
            <v>BL28G-NPR</v>
          </cell>
          <cell r="B3509" t="str">
            <v>Blood Lancets 28G Nipro</v>
          </cell>
          <cell r="C3509" t="str">
            <v>NHD</v>
          </cell>
        </row>
        <row r="3510">
          <cell r="A3510" t="str">
            <v>BL28G-NSC</v>
          </cell>
          <cell r="B3510" t="str">
            <v>Blood Lancets 28G Nesco</v>
          </cell>
          <cell r="C3510" t="str">
            <v>NHD</v>
          </cell>
        </row>
        <row r="3511">
          <cell r="A3511" t="str">
            <v>B-OX-BRZ-12345A</v>
          </cell>
          <cell r="B3511" t="str">
            <v>BRIZIO Mmbrn Oxgntr &amp; Vns Rsrvr</v>
          </cell>
          <cell r="C3511" t="str">
            <v>NHD</v>
          </cell>
        </row>
        <row r="3512">
          <cell r="A3512" t="str">
            <v>BP-109</v>
          </cell>
          <cell r="B3512" t="str">
            <v>ERKA METER DESK MODEL / BP-109</v>
          </cell>
          <cell r="C3512" t="str">
            <v>NHD</v>
          </cell>
        </row>
        <row r="3513">
          <cell r="A3513" t="str">
            <v>BP-161003</v>
          </cell>
          <cell r="B3513" t="str">
            <v>ERKAMETER STAND-MODEL</v>
          </cell>
          <cell r="C3513" t="str">
            <v>NHD</v>
          </cell>
        </row>
        <row r="3514">
          <cell r="A3514" t="str">
            <v>BP-203003</v>
          </cell>
          <cell r="B3514" t="str">
            <v>PERFECT ANEROID-56mm /BP203003</v>
          </cell>
          <cell r="C3514" t="str">
            <v>NHD</v>
          </cell>
        </row>
        <row r="3515">
          <cell r="A3515" t="str">
            <v>BP-204001</v>
          </cell>
          <cell r="B3515" t="str">
            <v>PERFECT-ANEROID 56mm/BP-204001</v>
          </cell>
          <cell r="C3515" t="str">
            <v>NHD</v>
          </cell>
        </row>
        <row r="3516">
          <cell r="A3516" t="str">
            <v>BP-204003</v>
          </cell>
          <cell r="B3516" t="str">
            <v>P.ANEROID W/AUTOMATIC VALVE</v>
          </cell>
          <cell r="C3516" t="str">
            <v>NHD</v>
          </cell>
        </row>
        <row r="3517">
          <cell r="A3517" t="str">
            <v>BP-223055</v>
          </cell>
          <cell r="B3517" t="str">
            <v>KOBOLD TB W/VELCRO (BP-223055)</v>
          </cell>
          <cell r="C3517" t="str">
            <v>NHD</v>
          </cell>
        </row>
        <row r="3518">
          <cell r="A3518" t="str">
            <v>BP-223555</v>
          </cell>
          <cell r="B3518" t="str">
            <v>KOBOLD,1-TUBE,BLACK/BP223555</v>
          </cell>
          <cell r="C3518" t="str">
            <v>NHD</v>
          </cell>
        </row>
        <row r="3519">
          <cell r="A3519" t="str">
            <v>BP-224555</v>
          </cell>
          <cell r="B3519" t="str">
            <v>KOBOLD 1-TUBE  /BP-224555</v>
          </cell>
          <cell r="C3519" t="str">
            <v>NHD</v>
          </cell>
        </row>
        <row r="3520">
          <cell r="A3520" t="str">
            <v>BP-228555</v>
          </cell>
          <cell r="B3520" t="str">
            <v>PROFI - 48mm / BP-228555</v>
          </cell>
          <cell r="C3520" t="str">
            <v>NHD</v>
          </cell>
        </row>
        <row r="3521">
          <cell r="A3521" t="str">
            <v>BP-229555</v>
          </cell>
          <cell r="B3521" t="str">
            <v>PROFI - 56mm, BLACK/BP-229555</v>
          </cell>
          <cell r="C3521" t="str">
            <v>NHD</v>
          </cell>
        </row>
        <row r="3522">
          <cell r="A3522" t="str">
            <v>BP-266555</v>
          </cell>
          <cell r="B3522" t="str">
            <v>JUNIOR TWINTUBE,BLACK/BP266555</v>
          </cell>
          <cell r="C3522" t="str">
            <v>NHD</v>
          </cell>
        </row>
        <row r="3523">
          <cell r="A3523" t="str">
            <v>BP-268555</v>
          </cell>
          <cell r="B3523" t="str">
            <v>JUNIOR TWINTUBE-LEFT/BP268555</v>
          </cell>
          <cell r="C3523" t="str">
            <v>NHD</v>
          </cell>
        </row>
        <row r="3524">
          <cell r="A3524" t="str">
            <v>BP-2850301</v>
          </cell>
          <cell r="B3524" t="str">
            <v>VARIO DESK MODEL/BP-2850301</v>
          </cell>
          <cell r="C3524" t="str">
            <v>NHD</v>
          </cell>
        </row>
        <row r="3525">
          <cell r="A3525" t="str">
            <v>BP-2860301</v>
          </cell>
          <cell r="B3525" t="str">
            <v>VARIO WALL MODEL/BP-2860301</v>
          </cell>
          <cell r="C3525" t="str">
            <v>NHD</v>
          </cell>
        </row>
        <row r="3526">
          <cell r="A3526" t="str">
            <v>BP-291203</v>
          </cell>
          <cell r="B3526" t="str">
            <v>ERKA SWITCH ANEROID/BP-291203</v>
          </cell>
          <cell r="C3526" t="str">
            <v>NHD</v>
          </cell>
        </row>
        <row r="3527">
          <cell r="A3527" t="str">
            <v>BP-3000</v>
          </cell>
          <cell r="B3527" t="str">
            <v>ERKAMETER 3000 AUTOMATIC</v>
          </cell>
          <cell r="C3527" t="str">
            <v>NHD</v>
          </cell>
        </row>
        <row r="3528">
          <cell r="A3528" t="str">
            <v>BPS-344</v>
          </cell>
          <cell r="B3528" t="str">
            <v>ERKATEST W.AUTOMATIC AIR</v>
          </cell>
          <cell r="C3528" t="str">
            <v>NHD</v>
          </cell>
        </row>
        <row r="3529">
          <cell r="A3529" t="str">
            <v>BPS-345</v>
          </cell>
          <cell r="B3529" t="str">
            <v>SIMPLITEST W/STETHOSCOPE</v>
          </cell>
          <cell r="C3529" t="str">
            <v>NHD</v>
          </cell>
        </row>
        <row r="3530">
          <cell r="A3530" t="str">
            <v>C-BTA408V892WB25ECE</v>
          </cell>
          <cell r="B3530" t="str">
            <v>BLOOD TUBING SET A408(WB-25)/V892(WB-25)</v>
          </cell>
          <cell r="C3530" t="str">
            <v>NHD</v>
          </cell>
        </row>
        <row r="3531">
          <cell r="A3531" t="str">
            <v>CH440-80</v>
          </cell>
          <cell r="B3531" t="str">
            <v>CRONUS HP High Pressure Peripheral</v>
          </cell>
          <cell r="C3531" t="str">
            <v>NHD</v>
          </cell>
        </row>
        <row r="3532">
          <cell r="A3532" t="str">
            <v>CHLOR-CLEAN-TABLETS</v>
          </cell>
          <cell r="B3532" t="str">
            <v>CHLOR CLEAN TABLETS</v>
          </cell>
          <cell r="C3532" t="str">
            <v>NHD</v>
          </cell>
        </row>
        <row r="3533">
          <cell r="A3533" t="str">
            <v>CITRIC ACID</v>
          </cell>
          <cell r="B3533" t="str">
            <v>CITRIC ACID</v>
          </cell>
          <cell r="C3533" t="str">
            <v>NHD</v>
          </cell>
        </row>
        <row r="3534">
          <cell r="A3534" t="str">
            <v>CITRICACID</v>
          </cell>
          <cell r="B3534" t="str">
            <v>CITRICACID</v>
          </cell>
          <cell r="C3534" t="str">
            <v>NHD</v>
          </cell>
        </row>
        <row r="3535">
          <cell r="A3535" t="str">
            <v>COTTON BALL</v>
          </cell>
          <cell r="B3535" t="str">
            <v>COTTON BALL</v>
          </cell>
          <cell r="C3535" t="str">
            <v>NHD</v>
          </cell>
        </row>
        <row r="3536">
          <cell r="A3536" t="str">
            <v>CSR-BDG-BAJUAPD-120</v>
          </cell>
          <cell r="B3536" t="str">
            <v>BAJU APD</v>
          </cell>
          <cell r="C3536" t="str">
            <v>NHD</v>
          </cell>
        </row>
        <row r="3537">
          <cell r="A3537" t="str">
            <v>CSR-BDG-BAJUAPD-72</v>
          </cell>
          <cell r="B3537" t="str">
            <v>BAJU APD</v>
          </cell>
          <cell r="C3537" t="str">
            <v>NHD</v>
          </cell>
        </row>
        <row r="3538">
          <cell r="A3538" t="str">
            <v>CSR-BPP-BAJUAPD-70</v>
          </cell>
          <cell r="B3538" t="str">
            <v>BAJU APD</v>
          </cell>
          <cell r="C3538" t="str">
            <v>NHD</v>
          </cell>
        </row>
        <row r="3539">
          <cell r="A3539" t="str">
            <v>CSR-DPS-BAJUAPD-70</v>
          </cell>
          <cell r="B3539" t="str">
            <v>BAJU APD</v>
          </cell>
          <cell r="C3539" t="str">
            <v>NHD</v>
          </cell>
        </row>
        <row r="3540">
          <cell r="A3540" t="str">
            <v>CSR-FS-15</v>
          </cell>
          <cell r="B3540" t="str">
            <v>FACE SHIELD</v>
          </cell>
          <cell r="C3540" t="str">
            <v>NHD</v>
          </cell>
        </row>
        <row r="3541">
          <cell r="A3541" t="str">
            <v>CSR-JKT-APD-01</v>
          </cell>
          <cell r="B3541" t="str">
            <v/>
          </cell>
          <cell r="C3541" t="str">
            <v>NHD</v>
          </cell>
        </row>
        <row r="3542">
          <cell r="A3542" t="str">
            <v>CSR-JKT-BAJUAPD-67</v>
          </cell>
          <cell r="B3542" t="str">
            <v>BAJU APD</v>
          </cell>
          <cell r="C3542" t="str">
            <v>NHD</v>
          </cell>
        </row>
        <row r="3543">
          <cell r="A3543" t="str">
            <v>CSR-JKT-BAJUAPD-72</v>
          </cell>
          <cell r="B3543" t="str">
            <v>BAJU APD</v>
          </cell>
          <cell r="C3543" t="str">
            <v>NHD</v>
          </cell>
        </row>
        <row r="3544">
          <cell r="A3544" t="str">
            <v>CSR-JKT-BAJUOPR-90</v>
          </cell>
          <cell r="B3544" t="str">
            <v>GAUN OPERASI</v>
          </cell>
          <cell r="C3544" t="str">
            <v>NHD</v>
          </cell>
        </row>
        <row r="3545">
          <cell r="A3545" t="str">
            <v>CSR-JKT-HANDSCOE-185</v>
          </cell>
          <cell r="B3545" t="str">
            <v>HANDSCOEN SENSI</v>
          </cell>
          <cell r="C3545" t="str">
            <v>NHD</v>
          </cell>
        </row>
        <row r="3546">
          <cell r="A3546" t="str">
            <v>CSR-JKT-KACAMATA-55</v>
          </cell>
          <cell r="B3546" t="str">
            <v>KACAMATA GOOGLE</v>
          </cell>
          <cell r="C3546" t="str">
            <v>NHD</v>
          </cell>
        </row>
        <row r="3547">
          <cell r="A3547" t="str">
            <v>CSR-LPG-BAJUAPD-72</v>
          </cell>
          <cell r="B3547" t="str">
            <v>BAJU APD</v>
          </cell>
          <cell r="C3547" t="str">
            <v>NHD</v>
          </cell>
        </row>
        <row r="3548">
          <cell r="A3548" t="str">
            <v>CSR-MASKER KN95-999</v>
          </cell>
          <cell r="B3548" t="str">
            <v>MASKER KN95</v>
          </cell>
          <cell r="C3548" t="str">
            <v>NHD</v>
          </cell>
        </row>
        <row r="3549">
          <cell r="A3549" t="str">
            <v>CSR-MASKER-120</v>
          </cell>
          <cell r="B3549" t="str">
            <v>MASKER 3M N95</v>
          </cell>
          <cell r="C3549" t="str">
            <v>NHD</v>
          </cell>
        </row>
        <row r="3550">
          <cell r="A3550" t="str">
            <v>CSR-MASKER-165</v>
          </cell>
          <cell r="B3550" t="str">
            <v>MASKER 3M N95 1860S</v>
          </cell>
          <cell r="C3550" t="str">
            <v>NHD</v>
          </cell>
        </row>
        <row r="3551">
          <cell r="A3551" t="str">
            <v>CSR-MASKER-177</v>
          </cell>
          <cell r="B3551" t="str">
            <v>MASKER 3M N95 1860</v>
          </cell>
          <cell r="C3551" t="str">
            <v>NHD</v>
          </cell>
        </row>
        <row r="3552">
          <cell r="A3552" t="str">
            <v>CSR-MASKER-250</v>
          </cell>
          <cell r="B3552" t="str">
            <v>MASKER SENSI</v>
          </cell>
          <cell r="C3552" t="str">
            <v>NHD</v>
          </cell>
        </row>
        <row r="3553">
          <cell r="A3553" t="str">
            <v>CSR-MASKER-270</v>
          </cell>
          <cell r="B3553" t="str">
            <v>MASKER SENSA</v>
          </cell>
          <cell r="C3553" t="str">
            <v>NHD</v>
          </cell>
        </row>
        <row r="3554">
          <cell r="A3554" t="str">
            <v>CSR-MASKER-275</v>
          </cell>
          <cell r="B3554" t="str">
            <v>MASKER SENSI</v>
          </cell>
          <cell r="C3554" t="str">
            <v>NHD</v>
          </cell>
        </row>
        <row r="3555">
          <cell r="A3555" t="str">
            <v>CSR-MASKER-325</v>
          </cell>
          <cell r="B3555" t="str">
            <v>DISPOSABLE MASK</v>
          </cell>
          <cell r="C3555" t="str">
            <v>NHD</v>
          </cell>
        </row>
        <row r="3556">
          <cell r="A3556" t="str">
            <v>CSR-MASKER-360</v>
          </cell>
          <cell r="B3556" t="str">
            <v>MASKER DIAPRO</v>
          </cell>
          <cell r="C3556" t="str">
            <v>NHD</v>
          </cell>
        </row>
        <row r="3557">
          <cell r="A3557" t="str">
            <v>CSR-MASKER-95</v>
          </cell>
          <cell r="B3557" t="str">
            <v>MASKER KIMBERLY-CLARCK N95</v>
          </cell>
          <cell r="C3557" t="str">
            <v>NHD</v>
          </cell>
        </row>
        <row r="3558">
          <cell r="A3558" t="str">
            <v>CSR-MDN-BAJUAPD-66</v>
          </cell>
          <cell r="B3558" t="str">
            <v>BAJU APD</v>
          </cell>
          <cell r="C3558" t="str">
            <v>NHD</v>
          </cell>
        </row>
        <row r="3559">
          <cell r="A3559" t="str">
            <v>CSR-MDN-BAJUAPD-75</v>
          </cell>
          <cell r="B3559" t="str">
            <v>BAJU APD</v>
          </cell>
          <cell r="C3559" t="str">
            <v>NHD</v>
          </cell>
        </row>
        <row r="3560">
          <cell r="A3560" t="str">
            <v>CSR-MKS-BAJUAPD-66</v>
          </cell>
          <cell r="B3560" t="str">
            <v>BAJU APD</v>
          </cell>
          <cell r="C3560" t="str">
            <v>NHD</v>
          </cell>
        </row>
        <row r="3561">
          <cell r="A3561" t="str">
            <v>CSR-MKS-BAJUAPD-75</v>
          </cell>
          <cell r="B3561" t="str">
            <v>BAJU APD</v>
          </cell>
          <cell r="C3561" t="str">
            <v>NHD</v>
          </cell>
        </row>
        <row r="3562">
          <cell r="A3562" t="str">
            <v>CSR-PAD-BAJUAPD-72</v>
          </cell>
          <cell r="B3562" t="str">
            <v>BAJU APD</v>
          </cell>
          <cell r="C3562" t="str">
            <v>NHD</v>
          </cell>
        </row>
        <row r="3563">
          <cell r="A3563" t="str">
            <v>CSR-PTK-BAJUAPD-70</v>
          </cell>
          <cell r="B3563" t="str">
            <v>BAJU APD</v>
          </cell>
          <cell r="C3563" t="str">
            <v>NHD</v>
          </cell>
        </row>
        <row r="3564">
          <cell r="A3564" t="str">
            <v>CSR-PTK-BAJUAPD-72</v>
          </cell>
          <cell r="B3564" t="str">
            <v>BAJU APD</v>
          </cell>
          <cell r="C3564" t="str">
            <v>NHD</v>
          </cell>
        </row>
        <row r="3565">
          <cell r="A3565" t="str">
            <v>CSR-SBY-BAJUAP-126.5</v>
          </cell>
          <cell r="B3565" t="str">
            <v>BAJU APD</v>
          </cell>
          <cell r="C3565" t="str">
            <v>NHD</v>
          </cell>
        </row>
        <row r="3566">
          <cell r="A3566" t="str">
            <v>CSR-SBY-BAJUAPD-52</v>
          </cell>
          <cell r="B3566" t="str">
            <v>BAJU APD</v>
          </cell>
          <cell r="C3566" t="str">
            <v>NHD</v>
          </cell>
        </row>
        <row r="3567">
          <cell r="A3567" t="str">
            <v>CSR-SBY-BAJUAPD-70</v>
          </cell>
          <cell r="B3567" t="str">
            <v>BAJU APD</v>
          </cell>
          <cell r="C3567" t="str">
            <v>NHD</v>
          </cell>
        </row>
        <row r="3568">
          <cell r="A3568" t="str">
            <v>CSR-SBY-BAJUAPD-72</v>
          </cell>
          <cell r="B3568" t="str">
            <v>BAJU APD</v>
          </cell>
          <cell r="C3568" t="str">
            <v>NHD</v>
          </cell>
        </row>
        <row r="3569">
          <cell r="A3569" t="str">
            <v>CSR-SBY-BAJUOK-105</v>
          </cell>
          <cell r="B3569" t="str">
            <v>BAJU KERJA OK LENGAN PANJANG</v>
          </cell>
          <cell r="C3569" t="str">
            <v>NHD</v>
          </cell>
        </row>
        <row r="3570">
          <cell r="A3570" t="str">
            <v>CSR-SBY-BAJUOK-95</v>
          </cell>
          <cell r="B3570" t="str">
            <v>BAJU KERJA OK LENGAN PENDEK</v>
          </cell>
          <cell r="C3570" t="str">
            <v>NHD</v>
          </cell>
        </row>
        <row r="3571">
          <cell r="A3571" t="str">
            <v>CSR-SBY-BAJUOPR-90</v>
          </cell>
          <cell r="B3571" t="str">
            <v>GAUN OPERASI</v>
          </cell>
          <cell r="C3571" t="str">
            <v>NHD</v>
          </cell>
        </row>
        <row r="3572">
          <cell r="A3572" t="str">
            <v>CSR-SBY-HANDSCOEN-95</v>
          </cell>
          <cell r="B3572" t="str">
            <v>HANDSCOEN</v>
          </cell>
          <cell r="C3572" t="str">
            <v>NHD</v>
          </cell>
        </row>
        <row r="3573">
          <cell r="A3573" t="str">
            <v>CSR-SBY-ISOTRA-70</v>
          </cell>
          <cell r="B3573" t="str">
            <v>ISOLATION TRANSPORT</v>
          </cell>
          <cell r="C3573" t="str">
            <v>NHD</v>
          </cell>
        </row>
        <row r="3574">
          <cell r="A3574" t="str">
            <v>CSR-SBY-ISOTRA-70-R</v>
          </cell>
          <cell r="B3574" t="str">
            <v>ISOLATION TRANSPORT</v>
          </cell>
          <cell r="C3574" t="str">
            <v>NHD</v>
          </cell>
        </row>
        <row r="3575">
          <cell r="A3575" t="str">
            <v>CSR-SMG-BAJUAPD-72</v>
          </cell>
          <cell r="B3575" t="str">
            <v>BAJU APD</v>
          </cell>
          <cell r="C3575" t="str">
            <v>NHD</v>
          </cell>
        </row>
        <row r="3576">
          <cell r="A3576" t="str">
            <v>CT-F1</v>
          </cell>
          <cell r="B3576" t="str">
            <v>SMIC OVAL CLINICAL THERMOMETER</v>
          </cell>
          <cell r="C3576" t="str">
            <v>NHD</v>
          </cell>
        </row>
        <row r="3577">
          <cell r="A3577" t="str">
            <v>CTF-2026</v>
          </cell>
          <cell r="B3577" t="str">
            <v>CLINICAL THERMOMETER (C-F)</v>
          </cell>
          <cell r="C3577" t="str">
            <v>NHD</v>
          </cell>
        </row>
        <row r="3578">
          <cell r="A3578" t="str">
            <v>CTP-2004</v>
          </cell>
          <cell r="B3578" t="str">
            <v>CLINICAL THERMOMETER PRISMATIC</v>
          </cell>
          <cell r="C3578" t="str">
            <v>NHD</v>
          </cell>
        </row>
        <row r="3579">
          <cell r="A3579" t="str">
            <v>D15PK</v>
          </cell>
          <cell r="B3579" t="str">
            <v>DAIKIN 1,5 PK FTC35NV14</v>
          </cell>
          <cell r="C3579" t="str">
            <v>NHD</v>
          </cell>
        </row>
        <row r="3580">
          <cell r="A3580" t="str">
            <v>DB220-12</v>
          </cell>
          <cell r="B3580" t="str">
            <v>DUOBAND SERIES DB220-12 PINK</v>
          </cell>
          <cell r="C3580" t="str">
            <v>NHD</v>
          </cell>
        </row>
        <row r="3581">
          <cell r="A3581" t="str">
            <v>DB220-18</v>
          </cell>
          <cell r="B3581" t="str">
            <v>DUOBAND SERIES DB220-18 BLUE</v>
          </cell>
          <cell r="C3581" t="str">
            <v>NHD</v>
          </cell>
        </row>
        <row r="3582">
          <cell r="A3582" t="str">
            <v>DIAMAX</v>
          </cell>
          <cell r="B3582" t="str">
            <v>MESIN HD - DIAMAX</v>
          </cell>
          <cell r="C3582" t="str">
            <v>NHD</v>
          </cell>
        </row>
        <row r="3583">
          <cell r="A3583" t="str">
            <v>DISPDRESSCEPTS</v>
          </cell>
          <cell r="B3583" t="str">
            <v>DISPOSABLE DRESSING FORCEPS</v>
          </cell>
          <cell r="C3583" t="str">
            <v>NHD</v>
          </cell>
        </row>
        <row r="3584">
          <cell r="A3584" t="str">
            <v>DISPLASBAG</v>
          </cell>
          <cell r="B3584" t="str">
            <v>DISPOSABLE PLASTIC BAG</v>
          </cell>
          <cell r="C3584" t="str">
            <v>NHD</v>
          </cell>
        </row>
        <row r="3585">
          <cell r="A3585" t="str">
            <v>DLC-NADLC 16-C</v>
          </cell>
          <cell r="B3585" t="str">
            <v>Double Lumen Catheter 12x16 - Curved</v>
          </cell>
          <cell r="C3585" t="str">
            <v>HD</v>
          </cell>
        </row>
        <row r="3586">
          <cell r="A3586" t="str">
            <v>DLC-NADLC 16-S</v>
          </cell>
          <cell r="B3586" t="str">
            <v>Double Lumen Catheter 12x16 - Straight</v>
          </cell>
          <cell r="C3586" t="str">
            <v>HD</v>
          </cell>
        </row>
        <row r="3587">
          <cell r="A3587" t="str">
            <v>DRESSING TRAY</v>
          </cell>
          <cell r="B3587" t="str">
            <v>DRESSING TRAY</v>
          </cell>
          <cell r="C3587" t="str">
            <v>NHD</v>
          </cell>
        </row>
        <row r="3588">
          <cell r="A3588" t="str">
            <v>DS01N100</v>
          </cell>
          <cell r="B3588" t="str">
            <v>DISP.SYRINGE 1ML insulin 100 unit</v>
          </cell>
          <cell r="C3588" t="str">
            <v>NHD</v>
          </cell>
        </row>
        <row r="3589">
          <cell r="A3589" t="str">
            <v>DS01T2613</v>
          </cell>
          <cell r="B3589" t="str">
            <v>DISP.SYRINGE 1ML TB</v>
          </cell>
          <cell r="C3589" t="str">
            <v>NHD</v>
          </cell>
        </row>
        <row r="3590">
          <cell r="A3590" t="str">
            <v>DS01T2613-K</v>
          </cell>
          <cell r="B3590" t="str">
            <v>DISP.SYRINGE 1ML LUER SLIP W/ NEEDLE 26GX1/2" KAN</v>
          </cell>
          <cell r="C3590" t="str">
            <v>NHD</v>
          </cell>
        </row>
        <row r="3591">
          <cell r="A3591" t="str">
            <v>DS01T2613-LS-K</v>
          </cell>
          <cell r="B3591" t="str">
            <v>DISP.SYRINGE 1ML LUER SLIP W/ NEEDLE 26GX1/2" KAN</v>
          </cell>
          <cell r="C3591" t="str">
            <v>NHD</v>
          </cell>
        </row>
        <row r="3592">
          <cell r="A3592" t="str">
            <v>DS01T2613-N</v>
          </cell>
          <cell r="B3592" t="str">
            <v>DISP.SYRINGE 1ML TB 26GX1/2"/2613 LUER SLIP -N</v>
          </cell>
          <cell r="C3592" t="str">
            <v>NHD</v>
          </cell>
        </row>
        <row r="3593">
          <cell r="A3593" t="str">
            <v>DS01T2613R-N</v>
          </cell>
          <cell r="B3593" t="str">
            <v>DISP.SYRINGE 1ML TB 26GX1/2"/2613 LUER SLIP R-N</v>
          </cell>
          <cell r="C3593" t="str">
            <v>NHD</v>
          </cell>
        </row>
        <row r="3594">
          <cell r="A3594" t="str">
            <v>DS03L2332</v>
          </cell>
          <cell r="B3594" t="str">
            <v>DISP.SYRINGE 3ML (23G X 1 1/4) - E - PACK"</v>
          </cell>
          <cell r="C3594" t="str">
            <v>NHD</v>
          </cell>
        </row>
        <row r="3595">
          <cell r="A3595" t="str">
            <v>DS03L2332-K</v>
          </cell>
          <cell r="B3595" t="str">
            <v>DISP.SYRINGE 3ML LUER LOCK W/NEEDLE 23GX1-1/4" KAN</v>
          </cell>
          <cell r="C3595" t="str">
            <v>NHD</v>
          </cell>
        </row>
        <row r="3596">
          <cell r="A3596" t="str">
            <v>DS03L2332-N</v>
          </cell>
          <cell r="B3596" t="str">
            <v>DISP.SYRINGE 3ML LUER LOCK with NEEDLE 23GX1 1/4"</v>
          </cell>
          <cell r="C3596" t="str">
            <v>NHD</v>
          </cell>
        </row>
        <row r="3597">
          <cell r="A3597" t="str">
            <v>DS03L2332R-N</v>
          </cell>
          <cell r="B3597" t="str">
            <v>DISP.SYRINGE 3ML LUER LOCK with NEEDLE 23GX1 1/4"R</v>
          </cell>
          <cell r="C3597" t="str">
            <v>NHD</v>
          </cell>
        </row>
        <row r="3598">
          <cell r="A3598" t="str">
            <v>DS03L2425</v>
          </cell>
          <cell r="B3598" t="str">
            <v>DISP.SYRINGE 3ML(24GX1)"</v>
          </cell>
          <cell r="C3598" t="str">
            <v>NHD</v>
          </cell>
        </row>
        <row r="3599">
          <cell r="A3599" t="str">
            <v>DS03L2425-K</v>
          </cell>
          <cell r="B3599" t="str">
            <v>DISP.SYRINGE 3ml Luer Lock With Needle 24GX1" KAN</v>
          </cell>
          <cell r="C3599" t="str">
            <v>NHD</v>
          </cell>
        </row>
        <row r="3600">
          <cell r="A3600" t="str">
            <v>DS03L2425-N</v>
          </cell>
          <cell r="B3600" t="str">
            <v>DISP.SYRINGE 3ML LUER LOCK with NEEDLE 24GX1"</v>
          </cell>
          <cell r="C3600" t="str">
            <v>NHD</v>
          </cell>
        </row>
        <row r="3601">
          <cell r="A3601" t="str">
            <v>DS03L2425R-N</v>
          </cell>
          <cell r="B3601" t="str">
            <v>DISP.SYRINGE 3ML LUER LOCK with NEEDLE 24GX1"R</v>
          </cell>
          <cell r="C3601" t="str">
            <v>NHD</v>
          </cell>
        </row>
        <row r="3602">
          <cell r="A3602" t="str">
            <v>DS03L2432</v>
          </cell>
          <cell r="B3602" t="str">
            <v>DISP.SYRINGE 3ML(24GX1 1/4)"</v>
          </cell>
          <cell r="C3602" t="str">
            <v>NHD</v>
          </cell>
        </row>
        <row r="3603">
          <cell r="A3603" t="str">
            <v>DS03L2432-N</v>
          </cell>
          <cell r="B3603" t="str">
            <v>DISP.SYRINGE 3ML LUER LOCK with NEEDLE 24GX1 1/4"</v>
          </cell>
          <cell r="C3603" t="str">
            <v>NHD</v>
          </cell>
        </row>
        <row r="3604">
          <cell r="A3604" t="str">
            <v>DS03L-C</v>
          </cell>
          <cell r="B3604" t="str">
            <v>DISP.SYRINGE 3ML W.NEEDLE - G - PACK</v>
          </cell>
          <cell r="C3604" t="str">
            <v>NHD</v>
          </cell>
        </row>
        <row r="3605">
          <cell r="A3605" t="str">
            <v>DS05L2238</v>
          </cell>
          <cell r="B3605" t="str">
            <v>DISP.SYRINGE 5ML W.NEEDLE - E - PACK</v>
          </cell>
          <cell r="C3605" t="str">
            <v>NHD</v>
          </cell>
        </row>
        <row r="3606">
          <cell r="A3606" t="str">
            <v>DS05L2238-K</v>
          </cell>
          <cell r="B3606" t="str">
            <v>DISP.SYRINGE 5ml Luer Lock W/Needle 22GX1-1/2" KAN</v>
          </cell>
          <cell r="C3606" t="str">
            <v>NHD</v>
          </cell>
        </row>
        <row r="3607">
          <cell r="A3607" t="str">
            <v>DS05L2238-LL-K</v>
          </cell>
          <cell r="B3607" t="str">
            <v>DISP.SYRINGE 5ml Luer Lock W/Needle 22GX1-1/2" KAN</v>
          </cell>
          <cell r="C3607" t="str">
            <v>NHD</v>
          </cell>
        </row>
        <row r="3608">
          <cell r="A3608" t="str">
            <v>DS05L2238-N</v>
          </cell>
          <cell r="B3608" t="str">
            <v>DISP.SYRINGE 5ML LUER LOCK with NEEDLE 22Gx1 1/2"</v>
          </cell>
          <cell r="C3608" t="str">
            <v>NHD</v>
          </cell>
        </row>
        <row r="3609">
          <cell r="A3609" t="str">
            <v>DS05L2238R-N</v>
          </cell>
          <cell r="B3609" t="str">
            <v>DISP.SYRINGE 5ML LUER LOCK with NEEDLE 22Gx1 1/2"R</v>
          </cell>
          <cell r="C3609" t="str">
            <v>NHD</v>
          </cell>
        </row>
        <row r="3610">
          <cell r="A3610" t="str">
            <v>DS05L-B</v>
          </cell>
          <cell r="B3610" t="str">
            <v>DISP. SYRINGE 5ML W.NEEDLE - G - PACK</v>
          </cell>
          <cell r="C3610" t="str">
            <v>NHD</v>
          </cell>
        </row>
        <row r="3611">
          <cell r="A3611" t="str">
            <v>DS10L2138</v>
          </cell>
          <cell r="B3611" t="str">
            <v>DISP.SYRINGE 10ML W.NEEDLE - E - PACK</v>
          </cell>
          <cell r="C3611" t="str">
            <v>NHD</v>
          </cell>
        </row>
        <row r="3612">
          <cell r="A3612" t="str">
            <v>DS10L2138-N</v>
          </cell>
          <cell r="B3612" t="str">
            <v>DISP.SYRINGE 10ML LUER LOCK with NEEDLE 21GX1 1/2"</v>
          </cell>
          <cell r="C3612" t="str">
            <v>NHD</v>
          </cell>
        </row>
        <row r="3613">
          <cell r="A3613" t="str">
            <v>DS10L2138R-N</v>
          </cell>
          <cell r="B3613" t="str">
            <v>DISP.SYRINGE 10ML LUER LOCK withNEEDLE 21Gx1 1/2"R</v>
          </cell>
          <cell r="C3613" t="str">
            <v>NHD</v>
          </cell>
        </row>
        <row r="3614">
          <cell r="A3614" t="str">
            <v>DS10L-B</v>
          </cell>
          <cell r="B3614" t="str">
            <v>DISP.SYRINGE 10ML W.NEEDLE - G - PACK</v>
          </cell>
          <cell r="C3614" t="str">
            <v>NHD</v>
          </cell>
        </row>
        <row r="3615">
          <cell r="A3615" t="str">
            <v>DS20LS</v>
          </cell>
          <cell r="B3615" t="str">
            <v>DISP.SYRINGE 20ML W/O NEEDLE</v>
          </cell>
          <cell r="C3615" t="str">
            <v>NHD</v>
          </cell>
        </row>
        <row r="3616">
          <cell r="A3616" t="str">
            <v>DS20LS-N</v>
          </cell>
          <cell r="B3616" t="str">
            <v>DISP.SYRINGE 20ML without NEEDLE LUER SLIP -N</v>
          </cell>
          <cell r="C3616" t="str">
            <v>NHD</v>
          </cell>
        </row>
        <row r="3617">
          <cell r="A3617" t="str">
            <v>DS20LSR-N</v>
          </cell>
          <cell r="B3617" t="str">
            <v>DISP.SYRINGE 20ML without NEEDLE LUER SLIP R-N</v>
          </cell>
          <cell r="C3617" t="str">
            <v>NHD</v>
          </cell>
        </row>
        <row r="3618">
          <cell r="A3618" t="str">
            <v>DS30LS</v>
          </cell>
          <cell r="B3618" t="str">
            <v>DISP.SYR.30ML W/O.NEEDLE(LS)</v>
          </cell>
          <cell r="C3618" t="str">
            <v>NHD</v>
          </cell>
        </row>
        <row r="3619">
          <cell r="A3619" t="str">
            <v>DS50CT-N</v>
          </cell>
          <cell r="B3619" t="str">
            <v>DISP.SYRINGE 50ML without NEEDLE Catheter Tip -N</v>
          </cell>
          <cell r="C3619" t="str">
            <v>NHD</v>
          </cell>
        </row>
        <row r="3620">
          <cell r="A3620" t="str">
            <v>DS50CT-R-N</v>
          </cell>
          <cell r="B3620" t="str">
            <v>DISP.SYRINGE 50ML without NEEDLE Catheter</v>
          </cell>
          <cell r="C3620" t="str">
            <v>NHD</v>
          </cell>
        </row>
        <row r="3621">
          <cell r="A3621" t="str">
            <v>DS50LS</v>
          </cell>
          <cell r="B3621" t="str">
            <v>DISP.SYRINGE.50ML W/O.NEEDLE(LS)</v>
          </cell>
          <cell r="C3621" t="str">
            <v>NHD</v>
          </cell>
        </row>
        <row r="3622">
          <cell r="A3622" t="str">
            <v>DS50LS-B</v>
          </cell>
          <cell r="B3622" t="str">
            <v>DISP.SYRINGE 50ML-B</v>
          </cell>
          <cell r="C3622" t="str">
            <v>NHD</v>
          </cell>
        </row>
        <row r="3623">
          <cell r="A3623" t="str">
            <v>DS50LS-N</v>
          </cell>
          <cell r="B3623" t="str">
            <v>DISP.SYRINGE 50ML without NEEDLE LUER SLIP-N</v>
          </cell>
          <cell r="C3623" t="str">
            <v>NHD</v>
          </cell>
        </row>
        <row r="3624">
          <cell r="A3624" t="str">
            <v>DS50LS-R-N</v>
          </cell>
          <cell r="B3624" t="str">
            <v>DISP.SYRINGE.50ML W/O.NEEDLE(LS) BLS E-BEAM</v>
          </cell>
          <cell r="C3624" t="str">
            <v>NHD</v>
          </cell>
        </row>
        <row r="3625">
          <cell r="A3625" t="str">
            <v>DT039-50</v>
          </cell>
          <cell r="B3625" t="str">
            <v>PCB-A Assy</v>
          </cell>
          <cell r="C3625" t="str">
            <v>NHD</v>
          </cell>
        </row>
        <row r="3626">
          <cell r="A3626" t="str">
            <v>EHF-200P</v>
          </cell>
          <cell r="B3626" t="str">
            <v>TIGHT FIT-SOFT PINK-EHF-200P</v>
          </cell>
          <cell r="C3626" t="str">
            <v>NHD</v>
          </cell>
        </row>
        <row r="3627">
          <cell r="A3627" t="str">
            <v>EHF-380B</v>
          </cell>
          <cell r="B3627" t="str">
            <v>REGULAR FIT-METALIC BLUE-EHF-380B</v>
          </cell>
          <cell r="C3627" t="str">
            <v>NHD</v>
          </cell>
        </row>
        <row r="3628">
          <cell r="A3628" t="str">
            <v>EHF-380R</v>
          </cell>
          <cell r="B3628" t="str">
            <v>REGULAR FIT-METALIC RED-EHF-380R</v>
          </cell>
          <cell r="C3628" t="str">
            <v>NHD</v>
          </cell>
        </row>
        <row r="3629">
          <cell r="A3629" t="str">
            <v>EHF-480S</v>
          </cell>
          <cell r="B3629" t="str">
            <v>OVER GLASS-STORM GRAY-EHF-480S</v>
          </cell>
          <cell r="C3629" t="str">
            <v>NHD</v>
          </cell>
        </row>
        <row r="3630">
          <cell r="A3630" t="str">
            <v>EKASCI1</v>
          </cell>
          <cell r="B3630" t="str">
            <v>Ascorbic Acid InjLq 200mg/2ml Amp 100s</v>
          </cell>
          <cell r="C3630" t="str">
            <v>NHD</v>
          </cell>
        </row>
        <row r="3631">
          <cell r="A3631" t="str">
            <v>EKEXTI2</v>
          </cell>
          <cell r="B3631" t="str">
            <v>EKEXTI2 (EXTRACE Inj 200mg / 6)</v>
          </cell>
          <cell r="C3631" t="str">
            <v>NHD</v>
          </cell>
        </row>
        <row r="3632">
          <cell r="A3632" t="str">
            <v>EL-0061</v>
          </cell>
          <cell r="B3632" t="str">
            <v>PLC With Softwar</v>
          </cell>
          <cell r="C3632" t="str">
            <v>NHD</v>
          </cell>
        </row>
        <row r="3633">
          <cell r="A3633" t="str">
            <v>EL-0068</v>
          </cell>
          <cell r="B3633" t="str">
            <v>10 Way Ribbon Cable</v>
          </cell>
          <cell r="C3633" t="str">
            <v>NHD</v>
          </cell>
        </row>
        <row r="3634">
          <cell r="A3634" t="str">
            <v>EL-0069</v>
          </cell>
          <cell r="B3634" t="str">
            <v>20 Way Ribbon Cable</v>
          </cell>
          <cell r="C3634" t="str">
            <v>NHD</v>
          </cell>
        </row>
        <row r="3635">
          <cell r="A3635" t="str">
            <v>EL-0070</v>
          </cell>
          <cell r="B3635" t="str">
            <v>50 Way Ribbon Cable</v>
          </cell>
          <cell r="C3635" t="str">
            <v>NHD</v>
          </cell>
        </row>
        <row r="3636">
          <cell r="A3636" t="str">
            <v>EL-0146</v>
          </cell>
          <cell r="B3636" t="str">
            <v>LCD Colour Touch Screen</v>
          </cell>
          <cell r="C3636" t="str">
            <v>NHD</v>
          </cell>
        </row>
        <row r="3637">
          <cell r="A3637" t="str">
            <v>EL-0159</v>
          </cell>
          <cell r="B3637" t="str">
            <v>Pump Drive Assembly c/w Encoder</v>
          </cell>
          <cell r="C3637" t="str">
            <v>NHD</v>
          </cell>
        </row>
        <row r="3638">
          <cell r="A3638" t="str">
            <v>EL-0160</v>
          </cell>
          <cell r="B3638" t="str">
            <v>EPD Sensor</v>
          </cell>
          <cell r="C3638" t="str">
            <v>NHD</v>
          </cell>
        </row>
        <row r="3639">
          <cell r="A3639" t="str">
            <v>EL-0161</v>
          </cell>
          <cell r="B3639" t="str">
            <v>Vacuum Pressure Transmitter</v>
          </cell>
          <cell r="C3639" t="str">
            <v>NHD</v>
          </cell>
        </row>
        <row r="3640">
          <cell r="A3640" t="str">
            <v>EL-0162</v>
          </cell>
          <cell r="B3640" t="str">
            <v>DRAIN SENSOR</v>
          </cell>
          <cell r="C3640" t="str">
            <v>NHD</v>
          </cell>
        </row>
        <row r="3641">
          <cell r="A3641" t="str">
            <v>EL-0163</v>
          </cell>
          <cell r="B3641" t="str">
            <v>System Inlet Pressure Sensor c/w Manifold</v>
          </cell>
          <cell r="C3641" t="str">
            <v>NHD</v>
          </cell>
        </row>
        <row r="3642">
          <cell r="A3642" t="str">
            <v>EL-0164</v>
          </cell>
          <cell r="B3642" t="str">
            <v>Main Driver Board AT-889</v>
          </cell>
          <cell r="C3642" t="str">
            <v>NHD</v>
          </cell>
        </row>
        <row r="3643">
          <cell r="A3643" t="str">
            <v>EL-0165</v>
          </cell>
          <cell r="B3643" t="str">
            <v>24 VDC Power Supply</v>
          </cell>
          <cell r="C3643" t="str">
            <v>NHD</v>
          </cell>
        </row>
        <row r="3644">
          <cell r="A3644" t="str">
            <v>EL-0167</v>
          </cell>
          <cell r="B3644" t="str">
            <v>Power Cable</v>
          </cell>
          <cell r="C3644" t="str">
            <v>NHD</v>
          </cell>
        </row>
        <row r="3645">
          <cell r="A3645" t="str">
            <v>EL-2015</v>
          </cell>
          <cell r="B3645" t="str">
            <v>EL-2015 (EUROPA ULTRA SEMI COMPLIANCE - 20/15)</v>
          </cell>
          <cell r="C3645" t="str">
            <v>NHD</v>
          </cell>
        </row>
        <row r="3646">
          <cell r="A3646" t="str">
            <v>EL-2020</v>
          </cell>
          <cell r="B3646" t="str">
            <v>EL-2020 (EUROPA ULTRA SEMI COMPLIANCE - 20/20)</v>
          </cell>
          <cell r="C3646" t="str">
            <v>NHD</v>
          </cell>
        </row>
        <row r="3647">
          <cell r="A3647" t="str">
            <v>EL-2215</v>
          </cell>
          <cell r="B3647" t="str">
            <v>EUROPA ULTRA Semi-Compliment</v>
          </cell>
          <cell r="C3647" t="str">
            <v>NHD</v>
          </cell>
        </row>
        <row r="3648">
          <cell r="A3648" t="str">
            <v>EL-2515</v>
          </cell>
          <cell r="B3648" t="str">
            <v>EL-2515 (EUROPA ULTRA SEMI COMPLIANCE - 25/15)</v>
          </cell>
          <cell r="C3648" t="str">
            <v>NHD</v>
          </cell>
        </row>
        <row r="3649">
          <cell r="A3649" t="str">
            <v>EL-2520</v>
          </cell>
          <cell r="B3649" t="str">
            <v>EL-2520 (EUROPA ULTRA SEMI COMPLIANCE - 25/20)</v>
          </cell>
          <cell r="C3649" t="str">
            <v>NHD</v>
          </cell>
        </row>
        <row r="3650">
          <cell r="A3650" t="str">
            <v>EL-3015</v>
          </cell>
          <cell r="B3650" t="str">
            <v>EL-3015 (EUROPA ULTRA SEMI COMPLIANCE - 30/15)</v>
          </cell>
          <cell r="C3650" t="str">
            <v>NHD</v>
          </cell>
        </row>
        <row r="3651">
          <cell r="A3651" t="str">
            <v>ELISIO1-13H</v>
          </cell>
          <cell r="B3651" t="str">
            <v>HOLLOW FIBER/DIALYZER ELISIO1-13H</v>
          </cell>
          <cell r="C3651" t="str">
            <v>HD</v>
          </cell>
        </row>
        <row r="3652">
          <cell r="A3652" t="str">
            <v>ELISIO1-15H</v>
          </cell>
          <cell r="B3652" t="str">
            <v>ELISIO1-15H (HOLLOW FIBER/DIALYZER ELISIO1-15H)</v>
          </cell>
          <cell r="C3652" t="str">
            <v>HD</v>
          </cell>
        </row>
        <row r="3653">
          <cell r="A3653" t="str">
            <v>ELISIO1-15M</v>
          </cell>
          <cell r="B3653" t="str">
            <v>ELISIO1-15M (HOLLOW FIBER/DIALYZER ELISIO1-15M)</v>
          </cell>
          <cell r="C3653" t="str">
            <v>HD</v>
          </cell>
        </row>
        <row r="3654">
          <cell r="A3654" t="str">
            <v>ELISIO1-17M</v>
          </cell>
          <cell r="B3654" t="str">
            <v>ELISIO-17M (HOLLOW FIBER/DIALYZER ELISIO1-17M)</v>
          </cell>
          <cell r="C3654" t="str">
            <v>HD</v>
          </cell>
        </row>
        <row r="3655">
          <cell r="A3655" t="str">
            <v>ELISIO-11H</v>
          </cell>
          <cell r="B3655" t="str">
            <v>ELISIO-11H (HOLLOW FIBER/DIALYZER ELISIO-11H)</v>
          </cell>
          <cell r="C3655" t="str">
            <v>HD</v>
          </cell>
        </row>
        <row r="3656">
          <cell r="A3656" t="str">
            <v>ELISIO-130H</v>
          </cell>
          <cell r="B3656" t="str">
            <v>ELISIO-H HOLLOW FIBER DIALYZER 130H</v>
          </cell>
          <cell r="C3656" t="str">
            <v>HD</v>
          </cell>
        </row>
        <row r="3657">
          <cell r="A3657" t="str">
            <v>ELISIO-13H</v>
          </cell>
          <cell r="B3657" t="str">
            <v>ELISIO-13H (HOLLOW FIBER/DIALYZER ELISIO-13H)</v>
          </cell>
          <cell r="C3657" t="str">
            <v>HD</v>
          </cell>
        </row>
        <row r="3658">
          <cell r="A3658" t="str">
            <v>ELISIO-13HX</v>
          </cell>
          <cell r="B3658" t="str">
            <v>ELISIO-13HX (HOLLOW FIBER/DIALYZER ELISIO-13HX)</v>
          </cell>
          <cell r="C3658" t="str">
            <v>HD</v>
          </cell>
        </row>
        <row r="3659">
          <cell r="A3659" t="str">
            <v>ELISIO-150H</v>
          </cell>
          <cell r="B3659" t="str">
            <v>ELISIO-H HOLLOW FIBER DIALYZER 150H</v>
          </cell>
          <cell r="C3659" t="str">
            <v>HD</v>
          </cell>
        </row>
        <row r="3660">
          <cell r="A3660" t="str">
            <v>ELISIO-15H</v>
          </cell>
          <cell r="B3660" t="str">
            <v>ELISIO-15H (HOLLOW FIBER/DIALYZER ELISIO-15H)</v>
          </cell>
          <cell r="C3660" t="str">
            <v>HD</v>
          </cell>
        </row>
        <row r="3661">
          <cell r="A3661" t="str">
            <v>ELISIO-15HX</v>
          </cell>
          <cell r="B3661" t="str">
            <v>ELISIO-15HX (HOLLOW FIBER/DIALYZER ELISIO-15HX)</v>
          </cell>
          <cell r="C3661" t="str">
            <v>HD</v>
          </cell>
        </row>
        <row r="3662">
          <cell r="A3662" t="str">
            <v>ELISIO-15M</v>
          </cell>
          <cell r="B3662" t="str">
            <v>ELISIO-15M (HOLLOW FIBER/DIALYZER ELISIO-15M)</v>
          </cell>
          <cell r="C3662" t="str">
            <v>HD</v>
          </cell>
        </row>
        <row r="3663">
          <cell r="A3663" t="str">
            <v>ELISIO-170H</v>
          </cell>
          <cell r="B3663" t="str">
            <v>ELISIO-H HOLLOW FIBER DIALYZER 170H</v>
          </cell>
          <cell r="C3663" t="str">
            <v>HD</v>
          </cell>
        </row>
        <row r="3664">
          <cell r="A3664" t="str">
            <v>ELISIO-17H</v>
          </cell>
          <cell r="B3664" t="str">
            <v>ELISIO-17H (HOLLOW FIBER/DIALYZER ELISIO-17H)</v>
          </cell>
          <cell r="C3664" t="str">
            <v>HD</v>
          </cell>
        </row>
        <row r="3665">
          <cell r="A3665" t="str">
            <v>ELISIO-17HX</v>
          </cell>
          <cell r="B3665" t="str">
            <v>ELISIO-17HX (HOLLOW FIBER/DIALYZER ELISIO-17HX)</v>
          </cell>
          <cell r="C3665" t="str">
            <v>HD</v>
          </cell>
        </row>
        <row r="3666">
          <cell r="A3666" t="str">
            <v>ELISIO-17M</v>
          </cell>
          <cell r="B3666" t="str">
            <v>ELISIO-17M (HOLLOW FIBER/DIALYZER ELISIO-17M)</v>
          </cell>
          <cell r="C3666" t="str">
            <v>HD</v>
          </cell>
        </row>
        <row r="3667">
          <cell r="A3667" t="str">
            <v>ELISIO-190H</v>
          </cell>
          <cell r="B3667" t="str">
            <v>ELISIO-H HOLLOW FIBER DIALYZER 190H</v>
          </cell>
          <cell r="C3667" t="str">
            <v>HD</v>
          </cell>
        </row>
        <row r="3668">
          <cell r="A3668" t="str">
            <v>ELISIO-210H</v>
          </cell>
          <cell r="B3668" t="str">
            <v>ELISIO-H HOLLOW FIBER DIALYZER 210H</v>
          </cell>
          <cell r="C3668" t="str">
            <v>HD</v>
          </cell>
        </row>
        <row r="3669">
          <cell r="A3669" t="str">
            <v>ELISIO2-11H</v>
          </cell>
          <cell r="B3669" t="str">
            <v>ELISIO-11H (HOLLOW FIBER/DIALYZER ELISIO-11H)</v>
          </cell>
          <cell r="C3669" t="str">
            <v>HD</v>
          </cell>
        </row>
        <row r="3670">
          <cell r="A3670" t="str">
            <v>ELISIO2-13H</v>
          </cell>
          <cell r="B3670" t="str">
            <v>ELISIO2-13H (HOLLOW FIBER/DIALYZER ELISIO-13 H)</v>
          </cell>
          <cell r="C3670" t="str">
            <v>HD</v>
          </cell>
        </row>
        <row r="3671">
          <cell r="A3671" t="str">
            <v>ELISIO2-15H</v>
          </cell>
          <cell r="B3671" t="str">
            <v>ELISIO2-15H (HOLLOW FIBER/DIALYZER ELISIO-15H)</v>
          </cell>
          <cell r="C3671" t="str">
            <v>HD</v>
          </cell>
        </row>
        <row r="3672">
          <cell r="A3672" t="str">
            <v>ELISIO-21H</v>
          </cell>
          <cell r="B3672" t="str">
            <v>ELISIO-21H (HOLLOW FIBER/DIALYZER ELISIO-21H)</v>
          </cell>
          <cell r="C3672" t="str">
            <v>HD</v>
          </cell>
        </row>
        <row r="3673">
          <cell r="A3673" t="str">
            <v>EPODION 2000 IU</v>
          </cell>
          <cell r="B3673" t="str">
            <v>EPO 2000 (EPODION 2000 IU)</v>
          </cell>
          <cell r="C3673" t="str">
            <v>NHD</v>
          </cell>
        </row>
        <row r="3674">
          <cell r="A3674" t="str">
            <v>EPORON 2000 IU</v>
          </cell>
          <cell r="B3674" t="str">
            <v>EPORON 2000 IU</v>
          </cell>
          <cell r="C3674" t="str">
            <v>NHD</v>
          </cell>
        </row>
        <row r="3675">
          <cell r="A3675" t="str">
            <v>ERIKIN</v>
          </cell>
          <cell r="B3675" t="str">
            <v>ERYKINE</v>
          </cell>
          <cell r="C3675" t="str">
            <v>NHD</v>
          </cell>
        </row>
        <row r="3676">
          <cell r="A3676" t="str">
            <v>EU-CTO-ETFEC1008</v>
          </cell>
          <cell r="B3676" t="str">
            <v>EU-CTO-ETFEC1008 (EUROPA ULTRA CTO - EC 10/08)</v>
          </cell>
          <cell r="C3676" t="str">
            <v>NHD</v>
          </cell>
        </row>
        <row r="3677">
          <cell r="A3677" t="str">
            <v>EU-CTO-ETFEC1016</v>
          </cell>
          <cell r="B3677" t="str">
            <v>EU-CTO-ETFEC1016 (EUROPA ULTRA CTO - EC 10/16)</v>
          </cell>
          <cell r="C3677" t="str">
            <v>NHD</v>
          </cell>
        </row>
        <row r="3678">
          <cell r="A3678" t="str">
            <v>EU-CTO-ETFEC1020</v>
          </cell>
          <cell r="B3678" t="str">
            <v>EU-CTO-ETFEC1020 (EUROPA ULTRA CTO - EC 10/20)</v>
          </cell>
          <cell r="C3678" t="str">
            <v>NHD</v>
          </cell>
        </row>
        <row r="3679">
          <cell r="A3679" t="str">
            <v>EU-CTO-ETFEC1210</v>
          </cell>
          <cell r="B3679" t="str">
            <v>EU-CTO-ETFEC1210 (EUROPA ULTRA CTO - EC 12/10)</v>
          </cell>
          <cell r="C3679" t="str">
            <v>NHD</v>
          </cell>
        </row>
        <row r="3680">
          <cell r="A3680" t="str">
            <v>EU-CTO-ETFEC1215</v>
          </cell>
          <cell r="B3680" t="str">
            <v>EU-CTO-ETFEC1215 (EUROPA ULTRA CTO - EC 12/15)</v>
          </cell>
          <cell r="C3680" t="str">
            <v>NHD</v>
          </cell>
        </row>
        <row r="3681">
          <cell r="A3681" t="str">
            <v>EU-CTO-ETFEC1515</v>
          </cell>
          <cell r="B3681" t="str">
            <v>EU-CTO-ETFEC1515 (EUROPA ULTRA CTO - EC 15/15)</v>
          </cell>
          <cell r="C3681" t="str">
            <v>NHD</v>
          </cell>
        </row>
        <row r="3682">
          <cell r="A3682" t="str">
            <v>EU-CTO-ETFEC1520</v>
          </cell>
          <cell r="B3682" t="str">
            <v>EU-CTO-ETFEC1520 (EUROPA ULTRA CTO - EC 15/20)</v>
          </cell>
          <cell r="C3682" t="str">
            <v>NHD</v>
          </cell>
        </row>
        <row r="3683">
          <cell r="A3683" t="str">
            <v>EU-CTO-ETFEO1012</v>
          </cell>
          <cell r="B3683" t="str">
            <v>EU-CTO-ETFEO1012 (EUROPA ULTRA CTO - EO 10/12)</v>
          </cell>
          <cell r="C3683" t="str">
            <v>NHD</v>
          </cell>
        </row>
        <row r="3684">
          <cell r="A3684" t="str">
            <v>EU-CTO-ETFEO1020</v>
          </cell>
          <cell r="B3684" t="str">
            <v>EU-CTO-ETFEO1020 (EUROPA ULTRA CTO - EO 10/20)</v>
          </cell>
          <cell r="C3684" t="str">
            <v>NHD</v>
          </cell>
        </row>
        <row r="3685">
          <cell r="A3685" t="str">
            <v>EU-CTO-ETFEO1210</v>
          </cell>
          <cell r="B3685" t="str">
            <v>EU-CTO-ETFEO1210 (EUROPA ULTRA CTO - EO 12/10)</v>
          </cell>
          <cell r="C3685" t="str">
            <v>NHD</v>
          </cell>
        </row>
        <row r="3686">
          <cell r="A3686" t="str">
            <v>EU-CTO-ETFEO1215</v>
          </cell>
          <cell r="B3686" t="str">
            <v>EU-CTO-ETFEO1215 (EUROPA ULTRA CTO - EO 12/15)</v>
          </cell>
          <cell r="C3686" t="str">
            <v>NHD</v>
          </cell>
        </row>
        <row r="3687">
          <cell r="A3687" t="str">
            <v>EU-CTO-ETFEO1220</v>
          </cell>
          <cell r="B3687" t="str">
            <v>EU-CTO-ETFEO1220 (EUROPA ULTRA CTO - EO 12/20)</v>
          </cell>
          <cell r="C3687" t="str">
            <v>NHD</v>
          </cell>
        </row>
        <row r="3688">
          <cell r="A3688" t="str">
            <v>EU-CTO-ETFEO1510</v>
          </cell>
          <cell r="B3688" t="str">
            <v>EU-CTO-ETFEO1510 (EUROPA ULTRA CTO - EO 15/10)</v>
          </cell>
          <cell r="C3688" t="str">
            <v>NHD</v>
          </cell>
        </row>
        <row r="3689">
          <cell r="A3689" t="str">
            <v>EU-CTO-ETFEO1515</v>
          </cell>
          <cell r="B3689" t="str">
            <v>EU-CTO-ETFEO1515 (EUROPA ULTRA CTO - EO 15/15)</v>
          </cell>
          <cell r="C3689" t="str">
            <v>NHD</v>
          </cell>
        </row>
        <row r="3690">
          <cell r="A3690" t="str">
            <v>EXAM-L</v>
          </cell>
          <cell r="B3690" t="str">
            <v>EXAMINATION GLOVES-L</v>
          </cell>
          <cell r="C3690" t="str">
            <v>NHD</v>
          </cell>
        </row>
        <row r="3691">
          <cell r="A3691" t="str">
            <v>EXAM-M</v>
          </cell>
          <cell r="B3691" t="str">
            <v>EXAMINATION GLOVES-M</v>
          </cell>
          <cell r="C3691" t="str">
            <v>NHD</v>
          </cell>
        </row>
        <row r="3692">
          <cell r="A3692" t="str">
            <v>EXAM-XL</v>
          </cell>
          <cell r="B3692" t="str">
            <v>EXAMINATION GLOVES-XL</v>
          </cell>
          <cell r="C3692" t="str">
            <v>NHD</v>
          </cell>
        </row>
        <row r="3693">
          <cell r="A3693" t="str">
            <v>FB-070E</v>
          </cell>
          <cell r="B3693" t="str">
            <v>SUREFLUX-E Hemodialyzer</v>
          </cell>
          <cell r="C3693" t="str">
            <v>NHD</v>
          </cell>
        </row>
        <row r="3694">
          <cell r="A3694" t="str">
            <v>FB-070L</v>
          </cell>
          <cell r="B3694" t="str">
            <v>SUREFLUX-L Hemodialyzer</v>
          </cell>
          <cell r="C3694" t="str">
            <v>NHD</v>
          </cell>
        </row>
        <row r="3695">
          <cell r="A3695" t="str">
            <v>FB110T</v>
          </cell>
          <cell r="B3695" t="str">
            <v>HOLLOW FIBER 110 T</v>
          </cell>
          <cell r="C3695" t="str">
            <v>NHD</v>
          </cell>
        </row>
        <row r="3696">
          <cell r="A3696" t="str">
            <v>FB130G</v>
          </cell>
          <cell r="B3696" t="str">
            <v>HOLLOW FIBER 130 G</v>
          </cell>
          <cell r="C3696" t="str">
            <v>NHD</v>
          </cell>
        </row>
        <row r="3697">
          <cell r="A3697" t="str">
            <v>FB130T</v>
          </cell>
          <cell r="B3697" t="str">
            <v>HOLLOW FIBER 130 T</v>
          </cell>
          <cell r="C3697" t="str">
            <v>NHD</v>
          </cell>
        </row>
        <row r="3698">
          <cell r="A3698" t="str">
            <v>FB130U</v>
          </cell>
          <cell r="B3698" t="str">
            <v>HOLLOW FIBER 130 U</v>
          </cell>
          <cell r="C3698" t="str">
            <v>NHD</v>
          </cell>
        </row>
        <row r="3699">
          <cell r="A3699" t="str">
            <v>FB13G</v>
          </cell>
          <cell r="B3699" t="str">
            <v>HOLLOW FIBER SUREFLUX 13 G</v>
          </cell>
          <cell r="C3699" t="str">
            <v>NHD</v>
          </cell>
        </row>
        <row r="3700">
          <cell r="A3700" t="str">
            <v>FB150G</v>
          </cell>
          <cell r="B3700" t="str">
            <v>HOLLOW FIBER SURFLUX 150 G</v>
          </cell>
          <cell r="C3700" t="str">
            <v>NHD</v>
          </cell>
        </row>
        <row r="3701">
          <cell r="A3701" t="str">
            <v>FB150T</v>
          </cell>
          <cell r="B3701" t="str">
            <v>HOLLOW FIBER 150 T</v>
          </cell>
          <cell r="C3701" t="str">
            <v>NHD</v>
          </cell>
        </row>
        <row r="3702">
          <cell r="A3702" t="str">
            <v>FB150U</v>
          </cell>
          <cell r="B3702" t="str">
            <v>HOLLOW FIBER 150 U</v>
          </cell>
          <cell r="C3702" t="str">
            <v>NHD</v>
          </cell>
        </row>
        <row r="3703">
          <cell r="A3703" t="str">
            <v>FB170T</v>
          </cell>
          <cell r="B3703" t="str">
            <v>HOLLOW FIBER DIALYZER 170 T</v>
          </cell>
          <cell r="C3703" t="str">
            <v>NHD</v>
          </cell>
        </row>
        <row r="3704">
          <cell r="A3704" t="str">
            <v>FB50G</v>
          </cell>
          <cell r="B3704" t="str">
            <v>SUREFLUX-50G (HOLLOW FIBER/DIALYZER SUREFLUX-50G)</v>
          </cell>
          <cell r="C3704" t="str">
            <v>HD</v>
          </cell>
        </row>
        <row r="3705">
          <cell r="A3705" t="str">
            <v>FB50T</v>
          </cell>
          <cell r="B3705" t="str">
            <v>HOLLOW FIBER DIALYZER 50 T</v>
          </cell>
          <cell r="C3705" t="str">
            <v>HD</v>
          </cell>
        </row>
        <row r="3706">
          <cell r="A3706" t="str">
            <v>FB70A</v>
          </cell>
          <cell r="B3706" t="str">
            <v>HOLLOW FIBER DIALYZER 70 A</v>
          </cell>
          <cell r="C3706" t="str">
            <v>HD</v>
          </cell>
        </row>
        <row r="3707">
          <cell r="A3707" t="str">
            <v>FB70G</v>
          </cell>
          <cell r="B3707" t="str">
            <v>SUREFLUX-70G (HOLLOW FIBER/DIALYZER SUREFLUX-70G)</v>
          </cell>
          <cell r="C3707" t="str">
            <v>HD</v>
          </cell>
        </row>
        <row r="3708">
          <cell r="A3708" t="str">
            <v>FB70T</v>
          </cell>
          <cell r="B3708" t="str">
            <v>HOLLOW FIBER DIALYZER 70 T</v>
          </cell>
          <cell r="C3708" t="str">
            <v>HD</v>
          </cell>
        </row>
        <row r="3709">
          <cell r="A3709" t="str">
            <v>FB90G</v>
          </cell>
          <cell r="B3709" t="str">
            <v>SUREFLUX-90G (HOLLOW FIBER/DIALYZER SUREFLUX-90G)</v>
          </cell>
          <cell r="C3709" t="str">
            <v>HD</v>
          </cell>
        </row>
        <row r="3710">
          <cell r="A3710" t="str">
            <v>FB90T</v>
          </cell>
          <cell r="B3710" t="str">
            <v>HOLLOW FIBER DIALYZER 90 T</v>
          </cell>
          <cell r="C3710" t="str">
            <v>HD</v>
          </cell>
        </row>
        <row r="3711">
          <cell r="A3711" t="str">
            <v>FBC16FR30</v>
          </cell>
          <cell r="B3711" t="str">
            <v>FOLEY BALLOON CATH. 16FR 30CC</v>
          </cell>
          <cell r="C3711" t="str">
            <v>NHD</v>
          </cell>
        </row>
        <row r="3712">
          <cell r="A3712" t="str">
            <v>FG-0034</v>
          </cell>
          <cell r="B3712" t="str">
            <v>PPM Kit</v>
          </cell>
          <cell r="C3712" t="str">
            <v>NHD</v>
          </cell>
        </row>
        <row r="3713">
          <cell r="A3713" t="str">
            <v>FG-SC001</v>
          </cell>
          <cell r="B3713" t="str">
            <v>JAYAMEKSICART 760 G</v>
          </cell>
          <cell r="C3713" t="str">
            <v>HD</v>
          </cell>
        </row>
        <row r="3714">
          <cell r="A3714" t="str">
            <v>FG-SC-001</v>
          </cell>
          <cell r="B3714" t="str">
            <v>JAYAMEKSICART 760 G</v>
          </cell>
          <cell r="C3714" t="str">
            <v>HD</v>
          </cell>
        </row>
        <row r="3715">
          <cell r="A3715" t="str">
            <v>FG-SC-002</v>
          </cell>
          <cell r="B3715" t="str">
            <v>JAYAMEKSICART 720 G</v>
          </cell>
          <cell r="C3715" t="str">
            <v>HD</v>
          </cell>
        </row>
        <row r="3716">
          <cell r="A3716" t="str">
            <v>FP960</v>
          </cell>
          <cell r="B3716" t="str">
            <v>INFUSION PUMP FP960</v>
          </cell>
          <cell r="C3716" t="str">
            <v>NHD</v>
          </cell>
        </row>
        <row r="3717">
          <cell r="A3717" t="str">
            <v>FPC15DCDU</v>
          </cell>
          <cell r="B3717" t="str">
            <v>INFUSION SET FPC15DCDU-70</v>
          </cell>
          <cell r="C3717" t="str">
            <v>NHD</v>
          </cell>
        </row>
        <row r="3718">
          <cell r="A3718" t="str">
            <v>GAUZE SWABS 75</v>
          </cell>
          <cell r="B3718" t="str">
            <v>GAUZE SWABS 7,5 X 7,5 CM</v>
          </cell>
          <cell r="C3718" t="str">
            <v>NHD</v>
          </cell>
        </row>
        <row r="3719">
          <cell r="A3719" t="str">
            <v>GLOVE M</v>
          </cell>
          <cell r="B3719" t="str">
            <v>GLOVE SIZE M</v>
          </cell>
          <cell r="C3719" t="str">
            <v>NHD</v>
          </cell>
        </row>
        <row r="3720">
          <cell r="A3720" t="str">
            <v>GLOVES POWDER</v>
          </cell>
          <cell r="B3720" t="str">
            <v>GLOVES POWDER</v>
          </cell>
          <cell r="C3720" t="str">
            <v>NHD</v>
          </cell>
        </row>
        <row r="3721">
          <cell r="A3721" t="str">
            <v>GLV-L</v>
          </cell>
          <cell r="B3721" t="str">
            <v>GLOVE-L (Glove ukuran L)</v>
          </cell>
          <cell r="C3721" t="str">
            <v>NHD</v>
          </cell>
        </row>
        <row r="3722">
          <cell r="A3722" t="str">
            <v>GLV-M</v>
          </cell>
          <cell r="B3722" t="str">
            <v>GLOVE-M (Glove ukuran M)</v>
          </cell>
          <cell r="C3722" t="str">
            <v>NHD</v>
          </cell>
        </row>
        <row r="3723">
          <cell r="A3723" t="str">
            <v>GLV-S</v>
          </cell>
          <cell r="B3723" t="str">
            <v>GLOVE-S (Glove ukuran S)</v>
          </cell>
          <cell r="C3723" t="str">
            <v>NHD</v>
          </cell>
        </row>
        <row r="3724">
          <cell r="A3724" t="str">
            <v>GMS-1</v>
          </cell>
          <cell r="B3724" t="str">
            <v>GMS-1 (GUIDEWIRE PTMC 0,025" INOUE BALLOON)</v>
          </cell>
          <cell r="C3724" t="str">
            <v>NHD</v>
          </cell>
        </row>
        <row r="3725">
          <cell r="A3725" t="str">
            <v>GUIDEPLUS 2 EL INT</v>
          </cell>
          <cell r="B3725" t="str">
            <v>GUIDEPLUS II EL Guide Extension Catheter</v>
          </cell>
          <cell r="C3725" t="str">
            <v>NHD</v>
          </cell>
        </row>
        <row r="3726">
          <cell r="A3726" t="str">
            <v>GUIDEPLUS 2 ST INT</v>
          </cell>
          <cell r="B3726" t="str">
            <v>GUIDEPLUS II Guide Extension Catheter</v>
          </cell>
          <cell r="C3726" t="str">
            <v>NHD</v>
          </cell>
        </row>
        <row r="3727">
          <cell r="A3727" t="str">
            <v>HAND TOWEL</v>
          </cell>
          <cell r="B3727" t="str">
            <v>HAND TOWEL</v>
          </cell>
          <cell r="C3727" t="str">
            <v>NHD</v>
          </cell>
        </row>
        <row r="3728">
          <cell r="A3728" t="str">
            <v>HD INTEGRA W-DR-1</v>
          </cell>
          <cell r="B3728" t="str">
            <v>HD INTEGRA W/PRINTER DR-1</v>
          </cell>
          <cell r="C3728" t="str">
            <v>HD</v>
          </cell>
        </row>
        <row r="3729">
          <cell r="A3729" t="str">
            <v>HD PACK 11020BS</v>
          </cell>
          <cell r="B3729" t="str">
            <v>HD Pack A-1-10-20 with Blood Transfusion Set</v>
          </cell>
          <cell r="C3729" t="str">
            <v>HD</v>
          </cell>
        </row>
        <row r="3730">
          <cell r="A3730" t="str">
            <v>HD PACK 11020IS</v>
          </cell>
          <cell r="B3730" t="str">
            <v>HD Pack B-1-10-20 with Infusion Set</v>
          </cell>
          <cell r="C3730" t="str">
            <v>HD</v>
          </cell>
        </row>
        <row r="3731">
          <cell r="A3731" t="str">
            <v>HD PACK 13520BS</v>
          </cell>
          <cell r="B3731" t="str">
            <v>HD Pack E-1-3-5-20 with Blood Transfusion Set</v>
          </cell>
          <cell r="C3731" t="str">
            <v>HD</v>
          </cell>
        </row>
        <row r="3732">
          <cell r="A3732" t="str">
            <v>HD PACK 1A</v>
          </cell>
          <cell r="B3732" t="str">
            <v>PAKET 1A-HD PACK 1-10-20 BLOOD SET</v>
          </cell>
          <cell r="C3732" t="str">
            <v>HD</v>
          </cell>
        </row>
        <row r="3733">
          <cell r="A3733" t="str">
            <v>HD PACK 1B</v>
          </cell>
          <cell r="B3733" t="str">
            <v>PAKET 1B-HD PACK-1-10-20 INFUSION SET</v>
          </cell>
          <cell r="C3733" t="str">
            <v>HD</v>
          </cell>
        </row>
        <row r="3734">
          <cell r="A3734" t="str">
            <v>HD PACK 2C</v>
          </cell>
          <cell r="B3734" t="str">
            <v>PAKET 2C-HD PACK-3-5-20 INFUSION SET</v>
          </cell>
          <cell r="C3734" t="str">
            <v>HD</v>
          </cell>
        </row>
        <row r="3735">
          <cell r="A3735" t="str">
            <v>HD PACK 3520IS</v>
          </cell>
          <cell r="B3735" t="str">
            <v>HD Pack D-3-5-20 with Infusion Set</v>
          </cell>
          <cell r="C3735" t="str">
            <v>HD</v>
          </cell>
        </row>
        <row r="3736">
          <cell r="A3736" t="str">
            <v>HD PACK 3520IS-WO GL</v>
          </cell>
          <cell r="B3736" t="str">
            <v>HD PACK H-3-5-20 INFUSION SET W/O GL</v>
          </cell>
          <cell r="C3736" t="str">
            <v>HD</v>
          </cell>
        </row>
        <row r="3737">
          <cell r="A3737" t="str">
            <v>HD PACK 3520IS-WO GV</v>
          </cell>
          <cell r="B3737" t="str">
            <v>HD PACK H-3-5-20 INFUSION SET W/O GL</v>
          </cell>
          <cell r="C3737" t="str">
            <v>HD</v>
          </cell>
        </row>
        <row r="3738">
          <cell r="A3738" t="str">
            <v>HD PACK 3F</v>
          </cell>
          <cell r="B3738" t="str">
            <v>PAKET 3F-HD PACK-5-20 INFUSION SET</v>
          </cell>
          <cell r="C3738" t="str">
            <v>HD</v>
          </cell>
        </row>
        <row r="3739">
          <cell r="A3739" t="str">
            <v>HD PACK 3F DS01</v>
          </cell>
          <cell r="B3739" t="str">
            <v>PAKET 3F-HD PACK-5-20 INFUSION SET W SYRINGE01</v>
          </cell>
          <cell r="C3739" t="str">
            <v>HD</v>
          </cell>
        </row>
        <row r="3740">
          <cell r="A3740" t="str">
            <v>HD PACK 3F UP</v>
          </cell>
          <cell r="B3740" t="str">
            <v>PAKET 3F-HD PACK-5-20 INFUSION SET W UNDERPAD</v>
          </cell>
          <cell r="C3740" t="str">
            <v>HD</v>
          </cell>
        </row>
        <row r="3741">
          <cell r="A3741" t="str">
            <v>HD PACK 3F UP GLOVS</v>
          </cell>
          <cell r="B3741" t="str">
            <v>PAKET 3F-HD PACK-5-20 INFUSION SET UNDERPAD GLOVES</v>
          </cell>
          <cell r="C3741" t="str">
            <v>HD</v>
          </cell>
        </row>
        <row r="3742">
          <cell r="A3742" t="str">
            <v>HD PACK 3F UP GLVS</v>
          </cell>
          <cell r="B3742" t="str">
            <v>PAKET 3F-HD PACK-5-20 INFUSION SET UNDERPAD GLOVES</v>
          </cell>
          <cell r="C3742" t="str">
            <v>HD</v>
          </cell>
        </row>
        <row r="3743">
          <cell r="A3743" t="str">
            <v>HD PACK BASIC</v>
          </cell>
          <cell r="B3743" t="str">
            <v>BHP HD PACK - HD PACK BASIC</v>
          </cell>
          <cell r="C3743" t="str">
            <v>HD</v>
          </cell>
        </row>
        <row r="3744">
          <cell r="A3744" t="str">
            <v>HD PACK DS1_10_20BOM</v>
          </cell>
          <cell r="B3744" t="str">
            <v>BHP HD PACK - DS1_10_20CC INFUSE SET(Y)</v>
          </cell>
          <cell r="C3744" t="str">
            <v>HD</v>
          </cell>
        </row>
        <row r="3745">
          <cell r="A3745" t="str">
            <v>HD PACK DS1_10_20CC</v>
          </cell>
          <cell r="B3745" t="str">
            <v>BHP HD PACK - DS1_10_20CC INFUSE SET(Y)</v>
          </cell>
          <cell r="C3745" t="str">
            <v>HD</v>
          </cell>
        </row>
        <row r="3746">
          <cell r="A3746" t="str">
            <v>HD PACK DS1_5_20_ISY</v>
          </cell>
          <cell r="B3746" t="str">
            <v>HD PACK DS1_5_20CC INFUSET TYPE (Y)</v>
          </cell>
          <cell r="C3746" t="str">
            <v>HD</v>
          </cell>
        </row>
        <row r="3747">
          <cell r="A3747" t="str">
            <v>HD PACK DS11020ISM</v>
          </cell>
          <cell r="B3747" t="str">
            <v>HD PACK DS1_10_20CC INFUSE SET(M)</v>
          </cell>
          <cell r="C3747" t="str">
            <v>HD</v>
          </cell>
        </row>
        <row r="3748">
          <cell r="A3748" t="str">
            <v>HD PACK DS11020ISY</v>
          </cell>
          <cell r="B3748" t="str">
            <v>HD PACK DS1_10_20CC INFUSE SET(Y)</v>
          </cell>
          <cell r="C3748" t="str">
            <v>HD</v>
          </cell>
        </row>
        <row r="3749">
          <cell r="A3749" t="str">
            <v>HD PACK DS3_5_20BOM</v>
          </cell>
          <cell r="B3749" t="str">
            <v>BHP HD PACK - DS3_5_20CC INFUSE SET(Y)</v>
          </cell>
          <cell r="C3749" t="str">
            <v>HD</v>
          </cell>
        </row>
        <row r="3750">
          <cell r="A3750" t="str">
            <v>HD PACK NBS</v>
          </cell>
          <cell r="B3750" t="str">
            <v>HD Pack F-Nipro Basic Set</v>
          </cell>
          <cell r="C3750" t="str">
            <v>HD</v>
          </cell>
        </row>
        <row r="3751">
          <cell r="A3751" t="str">
            <v>HD PACK NBS - W-O GL</v>
          </cell>
          <cell r="B3751" t="str">
            <v>HD Pack G-Nipro Basic Set Without Glove</v>
          </cell>
          <cell r="C3751" t="str">
            <v>HD</v>
          </cell>
        </row>
        <row r="3752">
          <cell r="A3752" t="str">
            <v>HD PACK-1A</v>
          </cell>
          <cell r="B3752" t="str">
            <v>PAKET 1A-HD PACK 1-10-20 BLOOD SET</v>
          </cell>
          <cell r="C3752" t="str">
            <v>HD</v>
          </cell>
        </row>
        <row r="3753">
          <cell r="A3753" t="str">
            <v>HD PACK-1B</v>
          </cell>
          <cell r="B3753" t="str">
            <v>PAKET 1B-HD PACK-1-10-20 INFUSION SET</v>
          </cell>
          <cell r="C3753" t="str">
            <v>HD</v>
          </cell>
        </row>
        <row r="3754">
          <cell r="A3754" t="str">
            <v>HD PACK-1C</v>
          </cell>
          <cell r="B3754" t="str">
            <v>PAKET 1C-HD PACK-3-5-20 INFUSION SET</v>
          </cell>
          <cell r="C3754" t="str">
            <v>HD</v>
          </cell>
        </row>
        <row r="3755">
          <cell r="A3755" t="str">
            <v>HD PACK-1D</v>
          </cell>
          <cell r="B3755" t="str">
            <v>PAKET 1D-HD PACK-1-3-5-20 BLOOD SET</v>
          </cell>
          <cell r="C3755" t="str">
            <v>HD</v>
          </cell>
        </row>
        <row r="3756">
          <cell r="A3756" t="str">
            <v>HD PACK-1D R</v>
          </cell>
          <cell r="B3756" t="str">
            <v>PAKET 1D-HD PACK-1-3-5-20 BLOOD SET</v>
          </cell>
          <cell r="C3756" t="str">
            <v>HD</v>
          </cell>
        </row>
        <row r="3757">
          <cell r="A3757" t="str">
            <v>HD PACK-2B</v>
          </cell>
          <cell r="B3757" t="str">
            <v>PAKET 2B-HD PACK-1-10-20-INFUSION SET</v>
          </cell>
          <cell r="C3757" t="str">
            <v>HD</v>
          </cell>
        </row>
        <row r="3758">
          <cell r="A3758" t="str">
            <v>HD PACK-2C</v>
          </cell>
          <cell r="B3758" t="str">
            <v>PAKET 2C-HD PACK-3-5-20 INFUSION SET</v>
          </cell>
          <cell r="C3758" t="str">
            <v>HD</v>
          </cell>
        </row>
        <row r="3759">
          <cell r="A3759" t="str">
            <v>HD PACK-2C-CT</v>
          </cell>
          <cell r="B3759" t="str">
            <v>PAKET 2C-HD PACK-3-5-20 INFUSION SET</v>
          </cell>
          <cell r="C3759" t="str">
            <v>HD</v>
          </cell>
        </row>
        <row r="3760">
          <cell r="A3760" t="str">
            <v>HD PACK-2C-KS</v>
          </cell>
          <cell r="B3760" t="str">
            <v>PAKET 2C-HD PACK-3-5-20 INFUSION SET</v>
          </cell>
          <cell r="C3760" t="str">
            <v>HD</v>
          </cell>
        </row>
        <row r="3761">
          <cell r="A3761" t="str">
            <v>HD PACK-NBS</v>
          </cell>
          <cell r="B3761" t="str">
            <v>HD Pack F-Nipro Basic Set</v>
          </cell>
          <cell r="C3761" t="str">
            <v>HD</v>
          </cell>
        </row>
        <row r="3762">
          <cell r="A3762" t="str">
            <v>HD SET BLBDG001</v>
          </cell>
          <cell r="B3762" t="str">
            <v>HEMODIALISA SET BPJS LENGKAP</v>
          </cell>
          <cell r="C3762" t="str">
            <v>HD</v>
          </cell>
        </row>
        <row r="3763">
          <cell r="A3763" t="str">
            <v>HD SET BLBDG001-NAVF</v>
          </cell>
          <cell r="B3763" t="str">
            <v>HEMODIALISA SET BPJS LENGKAP NON AVFISTULA</v>
          </cell>
          <cell r="C3763" t="str">
            <v>HD</v>
          </cell>
        </row>
        <row r="3764">
          <cell r="A3764" t="str">
            <v>HD SET BLBDG002</v>
          </cell>
          <cell r="B3764" t="str">
            <v>HEMODIALISA SET BPJS LENGKAP</v>
          </cell>
          <cell r="C3764" t="str">
            <v>HD</v>
          </cell>
        </row>
        <row r="3765">
          <cell r="A3765" t="str">
            <v>HD SET BLBDG003</v>
          </cell>
          <cell r="B3765" t="str">
            <v>HEMODIALISA SET BPJS LENGKAP</v>
          </cell>
          <cell r="C3765" t="str">
            <v>HD</v>
          </cell>
        </row>
        <row r="3766">
          <cell r="A3766" t="str">
            <v>HD SET BLBDG004</v>
          </cell>
          <cell r="B3766" t="str">
            <v>HEMODIALISA SET BPJS LENGKAP</v>
          </cell>
          <cell r="C3766" t="str">
            <v>HD</v>
          </cell>
        </row>
        <row r="3767">
          <cell r="A3767" t="str">
            <v>HD SET BLBDG004-NAKT</v>
          </cell>
          <cell r="B3767" t="str">
            <v>HEMODIALISA SET BPJS LENGKAP</v>
          </cell>
          <cell r="C3767" t="str">
            <v>HD</v>
          </cell>
        </row>
        <row r="3768">
          <cell r="A3768" t="str">
            <v>HD SET BLBDG005</v>
          </cell>
          <cell r="B3768" t="str">
            <v>HEMODIALISA SET BPJS LENGKAP</v>
          </cell>
          <cell r="C3768" t="str">
            <v>HD</v>
          </cell>
        </row>
        <row r="3769">
          <cell r="A3769" t="str">
            <v>HD SET BLBDG005-NAVF</v>
          </cell>
          <cell r="B3769" t="str">
            <v>HEMODIALISA SET BPJS LENGKAP</v>
          </cell>
          <cell r="C3769" t="str">
            <v>HD</v>
          </cell>
        </row>
        <row r="3770">
          <cell r="A3770" t="str">
            <v>HD SET BLBDG006</v>
          </cell>
          <cell r="B3770" t="str">
            <v>HEMODIALISA SET BPJS LENGKAP</v>
          </cell>
          <cell r="C3770" t="str">
            <v>HD</v>
          </cell>
        </row>
        <row r="3771">
          <cell r="A3771" t="str">
            <v>HD SET BLBDG006-HDF</v>
          </cell>
          <cell r="B3771" t="str">
            <v>HEMODIALISA SET BPJS LENGKAP HDF ONLINE</v>
          </cell>
          <cell r="C3771" t="str">
            <v>HD</v>
          </cell>
        </row>
        <row r="3772">
          <cell r="A3772" t="str">
            <v>HD SET BLBDG006-HDF1</v>
          </cell>
          <cell r="B3772" t="str">
            <v>HEMODIALISA SET BPJS LENGKAP HDF ONLINE NON AVF</v>
          </cell>
          <cell r="C3772" t="str">
            <v>HD</v>
          </cell>
        </row>
        <row r="3773">
          <cell r="A3773" t="str">
            <v>HD SET BLBDG006NAVAK</v>
          </cell>
          <cell r="B3773" t="str">
            <v>HEMODIALISA SET BPJS LENGKAP NON AVFISTULA &amp; AK</v>
          </cell>
          <cell r="C3773" t="str">
            <v>HD</v>
          </cell>
        </row>
        <row r="3774">
          <cell r="A3774" t="str">
            <v>HD SET BLBDG006-NAVF</v>
          </cell>
          <cell r="B3774" t="str">
            <v>HEMODIALISA SET BPJS LENGKAP NON AVFISTULA</v>
          </cell>
          <cell r="C3774" t="str">
            <v>HD</v>
          </cell>
        </row>
        <row r="3775">
          <cell r="A3775" t="str">
            <v>HD SET BLBDG007</v>
          </cell>
          <cell r="B3775" t="str">
            <v>HEMODIALISA SET BPJS LENGKAP</v>
          </cell>
          <cell r="C3775" t="str">
            <v>HD</v>
          </cell>
        </row>
        <row r="3776">
          <cell r="A3776" t="str">
            <v>HD SET BLBDG007-AVAK</v>
          </cell>
          <cell r="B3776" t="str">
            <v>HEMODIALISA SET BPJS LENGKAP AV DAN AK</v>
          </cell>
          <cell r="C3776" t="str">
            <v>HD</v>
          </cell>
        </row>
        <row r="3777">
          <cell r="A3777" t="str">
            <v>HD SET BLBDG007-NAVF</v>
          </cell>
          <cell r="B3777" t="str">
            <v>HEMODIALISA SET BPJS LENGKAP NON AVFISTULA</v>
          </cell>
          <cell r="C3777" t="str">
            <v>HD</v>
          </cell>
        </row>
        <row r="3778">
          <cell r="A3778" t="str">
            <v>HD SET BLBDG008</v>
          </cell>
          <cell r="B3778" t="str">
            <v>HEMODIALISA SET BPJS LENGKAP</v>
          </cell>
          <cell r="C3778" t="str">
            <v>HD</v>
          </cell>
        </row>
        <row r="3779">
          <cell r="A3779" t="str">
            <v>HD SET BLBDG009</v>
          </cell>
          <cell r="B3779" t="str">
            <v>HEMODIALISA SET BPJS LENGKAP</v>
          </cell>
          <cell r="C3779" t="str">
            <v>HD</v>
          </cell>
        </row>
        <row r="3780">
          <cell r="A3780" t="str">
            <v>HD SET BLBDG010</v>
          </cell>
          <cell r="B3780" t="str">
            <v>HEMODIALISA SET BPJS LENGKAP</v>
          </cell>
          <cell r="C3780" t="str">
            <v>HD</v>
          </cell>
        </row>
        <row r="3781">
          <cell r="A3781" t="str">
            <v>HD SET BLBDG010-NAVF</v>
          </cell>
          <cell r="B3781" t="str">
            <v>HEMODIALISA SET BPJS LENGKAP TANPA AV FISTULA</v>
          </cell>
          <cell r="C3781" t="str">
            <v>HD</v>
          </cell>
        </row>
        <row r="3782">
          <cell r="A3782" t="str">
            <v>HD SET BLBDG011</v>
          </cell>
          <cell r="B3782" t="str">
            <v>HEMODIALISA SET BPJS LENGKAP</v>
          </cell>
          <cell r="C3782" t="str">
            <v>HD</v>
          </cell>
        </row>
        <row r="3783">
          <cell r="A3783" t="str">
            <v>HD SET BLBDG011-NAK</v>
          </cell>
          <cell r="B3783" t="str">
            <v>HEMODIALISA SET BPJS LENGKAP NON AK</v>
          </cell>
          <cell r="C3783" t="str">
            <v>HD</v>
          </cell>
        </row>
        <row r="3784">
          <cell r="A3784" t="str">
            <v>HD SET BLBDG011-NAVF</v>
          </cell>
          <cell r="B3784" t="str">
            <v>HEMODIALISA SET BPJS LENGKAP TANPA AV FISTULA</v>
          </cell>
          <cell r="C3784" t="str">
            <v>HD</v>
          </cell>
        </row>
        <row r="3785">
          <cell r="A3785" t="str">
            <v>HD SET BLBDG012</v>
          </cell>
          <cell r="B3785" t="str">
            <v>HEMODIALISA SET BPJS LENGKAP</v>
          </cell>
          <cell r="C3785" t="str">
            <v>HD</v>
          </cell>
        </row>
        <row r="3786">
          <cell r="A3786" t="str">
            <v>HD SET BLBDG013</v>
          </cell>
          <cell r="B3786" t="str">
            <v>HEMODIALISA SET BPJS LENGKAP</v>
          </cell>
          <cell r="C3786" t="str">
            <v>HD</v>
          </cell>
        </row>
        <row r="3787">
          <cell r="A3787" t="str">
            <v>HD SET BLBDG013BT+AT</v>
          </cell>
          <cell r="B3787" t="str">
            <v>HEMODIALISA SET BPJS BLOOD TUBING DAN AT10</v>
          </cell>
          <cell r="C3787" t="str">
            <v>HD</v>
          </cell>
        </row>
        <row r="3788">
          <cell r="A3788" t="str">
            <v>HD SET BLBDG013-NAVF</v>
          </cell>
          <cell r="B3788" t="str">
            <v>HEMODIALISA SET BPJS LENGKAP TANPA AVFISTULA</v>
          </cell>
          <cell r="C3788" t="str">
            <v>HD</v>
          </cell>
        </row>
        <row r="3789">
          <cell r="A3789" t="str">
            <v>HD SET BLBDG014</v>
          </cell>
          <cell r="B3789" t="str">
            <v>HEMODIALISA SET BPJS LENGKAP</v>
          </cell>
          <cell r="C3789" t="str">
            <v>HD</v>
          </cell>
        </row>
        <row r="3790">
          <cell r="A3790" t="str">
            <v>HD SET BLBDG014-ELBL</v>
          </cell>
          <cell r="B3790" t="str">
            <v>HEMODIALISA SET BPJS LENGKAP ELISIO + BLOOD TUBING</v>
          </cell>
          <cell r="C3790" t="str">
            <v>HD</v>
          </cell>
        </row>
        <row r="3791">
          <cell r="A3791" t="str">
            <v>HD SET BLBDG014NAVAK</v>
          </cell>
          <cell r="B3791" t="str">
            <v>HEMODIALISA SET BPJS LENGKAP NON AV FISTULA &amp; AK</v>
          </cell>
          <cell r="C3791" t="str">
            <v>HD</v>
          </cell>
        </row>
        <row r="3792">
          <cell r="A3792" t="str">
            <v>HD SET BLBDG015</v>
          </cell>
          <cell r="B3792" t="str">
            <v>HEMODIALISA SET BPJS LENGKAP</v>
          </cell>
          <cell r="C3792" t="str">
            <v>HD</v>
          </cell>
        </row>
        <row r="3793">
          <cell r="A3793" t="str">
            <v>HD SET BLBDG016</v>
          </cell>
          <cell r="B3793" t="str">
            <v>HEMODIALISA SET BPJS LENGKAP</v>
          </cell>
          <cell r="C3793" t="str">
            <v>HD</v>
          </cell>
        </row>
        <row r="3794">
          <cell r="A3794" t="str">
            <v>HD SET BLBDG017</v>
          </cell>
          <cell r="B3794" t="str">
            <v>HEMODIALISA SET BPJS LENGKAP</v>
          </cell>
          <cell r="C3794" t="str">
            <v>HD</v>
          </cell>
        </row>
        <row r="3795">
          <cell r="A3795" t="str">
            <v>HD SET BLBDG018</v>
          </cell>
          <cell r="B3795" t="str">
            <v>HEMODIALISA SET BPJS LENGKAP</v>
          </cell>
          <cell r="C3795" t="str">
            <v>HD</v>
          </cell>
        </row>
        <row r="3796">
          <cell r="A3796" t="str">
            <v>HD SET BLBDG018-NAVF</v>
          </cell>
          <cell r="B3796" t="str">
            <v>HEMODIALISA SET BPJS LENGKAP NON AVFISTULA</v>
          </cell>
          <cell r="C3796" t="str">
            <v>HD</v>
          </cell>
        </row>
        <row r="3797">
          <cell r="A3797" t="str">
            <v>HD SET BLBDG019</v>
          </cell>
          <cell r="B3797" t="str">
            <v>HEMODIALISA SET BPJS LENGKAP</v>
          </cell>
          <cell r="C3797" t="str">
            <v>HD</v>
          </cell>
        </row>
        <row r="3798">
          <cell r="A3798" t="str">
            <v>HD SET BLBDG019-NAVF</v>
          </cell>
          <cell r="B3798" t="str">
            <v>HEMODIALISA SET BPJS LENGKAP NON AVFISTULA</v>
          </cell>
          <cell r="C3798" t="str">
            <v>HD</v>
          </cell>
        </row>
        <row r="3799">
          <cell r="A3799" t="str">
            <v>HD SET BLBDG020</v>
          </cell>
          <cell r="B3799" t="str">
            <v>HEMODIALISA SET BPJS LENGKAP</v>
          </cell>
          <cell r="C3799" t="str">
            <v>HD</v>
          </cell>
        </row>
        <row r="3800">
          <cell r="A3800" t="str">
            <v>HD SET BLBDG021</v>
          </cell>
          <cell r="B3800" t="str">
            <v>HEMODIALISA SET BPJS LENGKAP</v>
          </cell>
          <cell r="C3800" t="str">
            <v>HD</v>
          </cell>
        </row>
        <row r="3801">
          <cell r="A3801" t="str">
            <v>HD SET BLBDG021-NAVF</v>
          </cell>
          <cell r="B3801" t="str">
            <v>HEMODIALISA SET BPJS LENGKAP NON AVFISTULA</v>
          </cell>
          <cell r="C3801" t="str">
            <v>HD</v>
          </cell>
        </row>
        <row r="3802">
          <cell r="A3802" t="str">
            <v>HD SET BLBDG022</v>
          </cell>
          <cell r="B3802" t="str">
            <v>HEMODIALISA SET BPJS LENGKAP</v>
          </cell>
          <cell r="C3802" t="str">
            <v>HD</v>
          </cell>
        </row>
        <row r="3803">
          <cell r="A3803" t="str">
            <v>HD SET BLBDG023</v>
          </cell>
          <cell r="B3803" t="str">
            <v>HEMODIALISA SET BPJS LENGKAP</v>
          </cell>
          <cell r="C3803" t="str">
            <v>HD</v>
          </cell>
        </row>
        <row r="3804">
          <cell r="A3804" t="str">
            <v>HD SET BLBDG024</v>
          </cell>
          <cell r="B3804" t="str">
            <v>HEMODIALISA SET BPJS LENGKAP</v>
          </cell>
          <cell r="C3804" t="str">
            <v>HD</v>
          </cell>
        </row>
        <row r="3805">
          <cell r="A3805" t="str">
            <v>HD SET BLBDG024-NAVF</v>
          </cell>
          <cell r="B3805" t="str">
            <v>HEMODIALISA SET BPJS LENGKAP NON AVFISTULA</v>
          </cell>
          <cell r="C3805" t="str">
            <v>HD</v>
          </cell>
        </row>
        <row r="3806">
          <cell r="A3806" t="str">
            <v>HD SET BLBDG025</v>
          </cell>
          <cell r="B3806" t="str">
            <v>HEMODIALISA SET BPJS LENGKAP</v>
          </cell>
          <cell r="C3806" t="str">
            <v>HD</v>
          </cell>
        </row>
        <row r="3807">
          <cell r="A3807" t="str">
            <v>HD SET BLBDG026</v>
          </cell>
          <cell r="B3807" t="str">
            <v>HEMODIALISA SET BPJS LENGKAP</v>
          </cell>
          <cell r="C3807" t="str">
            <v>HD</v>
          </cell>
        </row>
        <row r="3808">
          <cell r="A3808" t="str">
            <v>HD SET BLBDG027</v>
          </cell>
          <cell r="B3808" t="str">
            <v>HEMODIALISA SET BPJS LENGKAP</v>
          </cell>
          <cell r="C3808" t="str">
            <v>HD</v>
          </cell>
        </row>
        <row r="3809">
          <cell r="A3809" t="str">
            <v>HD SET BLBDG027-ANAK</v>
          </cell>
          <cell r="B3809" t="str">
            <v>HEMODIALISA SET BPJS LENGKAP ANAK</v>
          </cell>
          <cell r="C3809" t="str">
            <v>HD</v>
          </cell>
        </row>
        <row r="3810">
          <cell r="A3810" t="str">
            <v>HD SET BLBDG028</v>
          </cell>
          <cell r="B3810" t="str">
            <v>HEMODIALISA SET BPJS LENGKAP</v>
          </cell>
          <cell r="C3810" t="str">
            <v>HD</v>
          </cell>
        </row>
        <row r="3811">
          <cell r="A3811" t="str">
            <v>HD SET BLBDG028 NAVF</v>
          </cell>
          <cell r="B3811" t="str">
            <v>HEMODIALISA SET BPJS LENGKAP NON AVFISTULA</v>
          </cell>
          <cell r="C3811" t="str">
            <v>HD</v>
          </cell>
        </row>
        <row r="3812">
          <cell r="A3812" t="str">
            <v>HD SET BLBDG029</v>
          </cell>
          <cell r="B3812" t="str">
            <v>HEMODIALISA SET BPJS LENGKAP</v>
          </cell>
          <cell r="C3812" t="str">
            <v>HD</v>
          </cell>
        </row>
        <row r="3813">
          <cell r="A3813" t="str">
            <v>HD SET BLBDG029 AV+B</v>
          </cell>
          <cell r="B3813" t="str">
            <v>HEMODIALISA SET BPJS LENGKAP A.V.F + BTS</v>
          </cell>
          <cell r="C3813" t="str">
            <v>HD</v>
          </cell>
        </row>
        <row r="3814">
          <cell r="A3814" t="str">
            <v>HD SET BLBDG029 E+BL</v>
          </cell>
          <cell r="B3814" t="str">
            <v>HEMODIALISA SET BPJS LENGKAP ELISIO + BLOOD TUBING</v>
          </cell>
          <cell r="C3814" t="str">
            <v>HD</v>
          </cell>
        </row>
        <row r="3815">
          <cell r="A3815" t="str">
            <v>HD SET BLBDG029-HDP</v>
          </cell>
          <cell r="B3815" t="str">
            <v>HEMODIALISA SET BPJS LENGKAP DENGAN HD PACK</v>
          </cell>
          <cell r="C3815" t="str">
            <v>HD</v>
          </cell>
        </row>
        <row r="3816">
          <cell r="A3816" t="str">
            <v>HD SET BLBDG029-NAK</v>
          </cell>
          <cell r="B3816" t="str">
            <v>HEMODIALISA SET BPJS LENGKAP DENGAN HD PACK NON AK</v>
          </cell>
          <cell r="C3816" t="str">
            <v>HD</v>
          </cell>
        </row>
        <row r="3817">
          <cell r="A3817" t="str">
            <v>HD SET BLBDG029-NAVF</v>
          </cell>
          <cell r="B3817" t="str">
            <v>HEMODIALISA SET BPJS LENGKAP DENGAN HD PACK NON AV</v>
          </cell>
          <cell r="C3817" t="str">
            <v>HD</v>
          </cell>
        </row>
        <row r="3818">
          <cell r="A3818" t="str">
            <v>HD SET BLBDG030</v>
          </cell>
          <cell r="B3818" t="str">
            <v>HEMODIALISA SET BPJS LENGKAP</v>
          </cell>
          <cell r="C3818" t="str">
            <v>HD</v>
          </cell>
        </row>
        <row r="3819">
          <cell r="A3819" t="str">
            <v>HD SET BLBDG031</v>
          </cell>
          <cell r="B3819" t="str">
            <v>HEMODIALISA SET BPJS LENGKAP</v>
          </cell>
          <cell r="C3819" t="str">
            <v>HD</v>
          </cell>
        </row>
        <row r="3820">
          <cell r="A3820" t="str">
            <v>HD SET BLBDG031-NAVF</v>
          </cell>
          <cell r="B3820" t="str">
            <v>HEMODIALISA SET BPJS LENGKAP NON AVFISTULA</v>
          </cell>
          <cell r="C3820" t="str">
            <v>HD</v>
          </cell>
        </row>
        <row r="3821">
          <cell r="A3821" t="str">
            <v>HD SET BLBDG032</v>
          </cell>
          <cell r="B3821" t="str">
            <v>HEMODIALISA SET BPJS LENGKAP</v>
          </cell>
          <cell r="C3821" t="str">
            <v>HD</v>
          </cell>
        </row>
        <row r="3822">
          <cell r="A3822" t="str">
            <v>HD SET BLBDG032-NAVF</v>
          </cell>
          <cell r="B3822" t="str">
            <v>HEMODIALISA SET BPJS LENGKAP NON AVFISTULA</v>
          </cell>
          <cell r="C3822" t="str">
            <v>HD</v>
          </cell>
        </row>
        <row r="3823">
          <cell r="A3823" t="str">
            <v>HD SET BLBDG033</v>
          </cell>
          <cell r="B3823" t="str">
            <v>HEMODIALISA SET BPJS LENGKAP</v>
          </cell>
          <cell r="C3823" t="str">
            <v>HD</v>
          </cell>
        </row>
        <row r="3824">
          <cell r="A3824" t="str">
            <v>HD SET BLBDG033-NAVF</v>
          </cell>
          <cell r="B3824" t="str">
            <v>HEMODIALISA SET BPJS LENGKAP NON AVFISTULA</v>
          </cell>
          <cell r="C3824" t="str">
            <v>HD</v>
          </cell>
        </row>
        <row r="3825">
          <cell r="A3825" t="str">
            <v>HD SET BLBDG034</v>
          </cell>
          <cell r="B3825" t="str">
            <v>HEMODIALISA SET BPJS LENGKAP</v>
          </cell>
          <cell r="C3825" t="str">
            <v>HD</v>
          </cell>
        </row>
        <row r="3826">
          <cell r="A3826" t="str">
            <v>HD SET BLBDG034-NAVF</v>
          </cell>
          <cell r="B3826" t="str">
            <v>HEMODIALISA SET BPJS LENGKAP NON AVFISTULA</v>
          </cell>
          <cell r="C3826" t="str">
            <v>HD</v>
          </cell>
        </row>
        <row r="3827">
          <cell r="A3827" t="str">
            <v>HD SET BLBDG035</v>
          </cell>
          <cell r="B3827" t="str">
            <v>HEMODIALISA SET BPJS LENGKAP</v>
          </cell>
          <cell r="C3827" t="str">
            <v>HD</v>
          </cell>
        </row>
        <row r="3828">
          <cell r="A3828" t="str">
            <v>HD SET BLBDG035 E+BL</v>
          </cell>
          <cell r="B3828" t="str">
            <v>HEMODIALISA SET BPJS LENGKAP ELISIO + BLOOD TUBING</v>
          </cell>
          <cell r="C3828" t="str">
            <v>HD</v>
          </cell>
        </row>
        <row r="3829">
          <cell r="A3829" t="str">
            <v>HD SET BLBDG035 HDF</v>
          </cell>
          <cell r="B3829" t="str">
            <v>HEMODIALISA SET BPJS LENGKAP HDF ONLINE</v>
          </cell>
          <cell r="C3829" t="str">
            <v>HD</v>
          </cell>
        </row>
        <row r="3830">
          <cell r="A3830" t="str">
            <v>HD SET BLBDG035-NAVF</v>
          </cell>
          <cell r="B3830" t="str">
            <v>HEMODIALISA SET BPJS LENGKAP NON AVFISTULA</v>
          </cell>
          <cell r="C3830" t="str">
            <v>HD</v>
          </cell>
        </row>
        <row r="3831">
          <cell r="A3831" t="str">
            <v>HD SET BLBDG036</v>
          </cell>
          <cell r="B3831" t="str">
            <v>HEMODIALISA SET BPJS LENGKAP</v>
          </cell>
          <cell r="C3831" t="str">
            <v>HD</v>
          </cell>
        </row>
        <row r="3832">
          <cell r="A3832" t="str">
            <v>HD SET BLBDG036 HDF</v>
          </cell>
          <cell r="B3832" t="str">
            <v>HEMODIALISA SET BPJS LENGKAP HDF ONLINE</v>
          </cell>
          <cell r="C3832" t="str">
            <v>HD</v>
          </cell>
        </row>
        <row r="3833">
          <cell r="A3833" t="str">
            <v>HD SET BLBDG036-NAK</v>
          </cell>
          <cell r="B3833" t="str">
            <v>HEMODIALISA SET BPJS TIDAK LENGKAP NON AK</v>
          </cell>
          <cell r="C3833" t="str">
            <v>HD</v>
          </cell>
        </row>
        <row r="3834">
          <cell r="A3834" t="str">
            <v>HD SET BLBDG036-NAVF</v>
          </cell>
          <cell r="B3834" t="str">
            <v>HEMODIALISA SET BPJS LENGKAP NON AVFISTULA</v>
          </cell>
          <cell r="C3834" t="str">
            <v>HD</v>
          </cell>
        </row>
        <row r="3835">
          <cell r="A3835" t="str">
            <v>HD SET BLBDG037</v>
          </cell>
          <cell r="B3835" t="str">
            <v>HEMODIALISA SET BPJS LENGKAP</v>
          </cell>
          <cell r="C3835" t="str">
            <v>HD</v>
          </cell>
        </row>
        <row r="3836">
          <cell r="A3836" t="str">
            <v>HD SET BLBDG038</v>
          </cell>
          <cell r="B3836" t="str">
            <v>HEMODIALISA SET BPJS LENGKAP</v>
          </cell>
          <cell r="C3836" t="str">
            <v>HD</v>
          </cell>
        </row>
        <row r="3837">
          <cell r="A3837" t="str">
            <v>HD SET BLBDG038-NAVF</v>
          </cell>
          <cell r="B3837" t="str">
            <v>HEMODIALISA SET BPJS LENGKAP NON AVFISTULA</v>
          </cell>
          <cell r="C3837" t="str">
            <v>HD</v>
          </cell>
        </row>
        <row r="3838">
          <cell r="A3838" t="str">
            <v>HD SET BLBDG039</v>
          </cell>
          <cell r="B3838" t="str">
            <v>HEMODIALISA SET BPJS LENGKAP</v>
          </cell>
          <cell r="C3838" t="str">
            <v>HD</v>
          </cell>
        </row>
        <row r="3839">
          <cell r="A3839" t="str">
            <v>HD SET BLBDG040</v>
          </cell>
          <cell r="B3839" t="str">
            <v>HEMODIALISA SET BPJS LENGKAP</v>
          </cell>
          <cell r="C3839" t="str">
            <v>HD</v>
          </cell>
        </row>
        <row r="3840">
          <cell r="A3840" t="str">
            <v>HD SET BLBDG040-1</v>
          </cell>
          <cell r="B3840" t="str">
            <v>HEMODIALISA SET BPJS LENGKAP MEDIUM FLUX</v>
          </cell>
          <cell r="C3840" t="str">
            <v>HD</v>
          </cell>
        </row>
        <row r="3841">
          <cell r="A3841" t="str">
            <v>HD SET BLBDG040-NAVF</v>
          </cell>
          <cell r="B3841" t="str">
            <v>HEMODIALISA SET BPJS LENGKAP NON AVFISTULA</v>
          </cell>
          <cell r="C3841" t="str">
            <v>HD</v>
          </cell>
        </row>
        <row r="3842">
          <cell r="A3842" t="str">
            <v>HD SET BLBDG040NAVF1</v>
          </cell>
          <cell r="B3842" t="str">
            <v>HEMODIALISA SET BPJS LENGKAP NON AVFISTULA</v>
          </cell>
          <cell r="C3842" t="str">
            <v>HD</v>
          </cell>
        </row>
        <row r="3843">
          <cell r="A3843" t="str">
            <v>HD SET BLBDG041</v>
          </cell>
          <cell r="B3843" t="str">
            <v>HEMODIALISA SET BPJS LENGKAP</v>
          </cell>
          <cell r="C3843" t="str">
            <v>HD</v>
          </cell>
        </row>
        <row r="3844">
          <cell r="A3844" t="str">
            <v>HD SET BLBDG041-ANAK</v>
          </cell>
          <cell r="B3844" t="str">
            <v>HEMODIALISA SET BPJS LENGKAP ANAK</v>
          </cell>
          <cell r="C3844" t="str">
            <v>HD</v>
          </cell>
        </row>
        <row r="3845">
          <cell r="A3845" t="str">
            <v>HD SET BLBDG041-NAVF</v>
          </cell>
          <cell r="B3845" t="str">
            <v>HEMODIALISA SET BPJS LENGKAP NON AVFISTULA</v>
          </cell>
          <cell r="C3845" t="str">
            <v>HD</v>
          </cell>
        </row>
        <row r="3846">
          <cell r="A3846" t="str">
            <v>HD SET BLBPP001</v>
          </cell>
          <cell r="B3846" t="str">
            <v>HEMODIALISA SET BPJS LENGKAP</v>
          </cell>
          <cell r="C3846" t="str">
            <v>HD</v>
          </cell>
        </row>
        <row r="3847">
          <cell r="A3847" t="str">
            <v>HD SET BLBPP001 ANAK</v>
          </cell>
          <cell r="B3847" t="str">
            <v>HEMODIALISA SET BPJS LENGKAP ANAK</v>
          </cell>
          <cell r="C3847" t="str">
            <v>HD</v>
          </cell>
        </row>
        <row r="3848">
          <cell r="A3848" t="str">
            <v>HD SET BLBPP001 B+AK</v>
          </cell>
          <cell r="B3848" t="str">
            <v>HEMODIALISA SET BPJS LENGKAP BL &amp; AK</v>
          </cell>
          <cell r="C3848" t="str">
            <v>HD</v>
          </cell>
        </row>
        <row r="3849">
          <cell r="A3849" t="str">
            <v>HD SET BLBPP001 NAKT</v>
          </cell>
          <cell r="B3849" t="str">
            <v>HEMODIALISA SET BPJS LENGKAP TANPA CAIRAN</v>
          </cell>
          <cell r="C3849" t="str">
            <v>HD</v>
          </cell>
        </row>
        <row r="3850">
          <cell r="A3850" t="str">
            <v>HD SET BLBPP001-NAVF</v>
          </cell>
          <cell r="B3850" t="str">
            <v>HEMODIALISA SET BPJS LENGKAP NON AV FISTULA</v>
          </cell>
          <cell r="C3850" t="str">
            <v>HD</v>
          </cell>
        </row>
        <row r="3851">
          <cell r="A3851" t="str">
            <v>HD SET BLBPP002</v>
          </cell>
          <cell r="B3851" t="str">
            <v>HEMODIALISA SET BPJS LENGKAP</v>
          </cell>
          <cell r="C3851" t="str">
            <v>HD</v>
          </cell>
        </row>
        <row r="3852">
          <cell r="A3852" t="str">
            <v>HD SET BLBPP0020</v>
          </cell>
          <cell r="B3852" t="str">
            <v>HEMODIALISA SET BPJS LENGKAP</v>
          </cell>
          <cell r="C3852" t="str">
            <v>HD</v>
          </cell>
        </row>
        <row r="3853">
          <cell r="A3853" t="str">
            <v>HD SET BLBPP003</v>
          </cell>
          <cell r="B3853" t="str">
            <v>HEMODIALISA SET BPJS LENGKAP</v>
          </cell>
          <cell r="C3853" t="str">
            <v>HD</v>
          </cell>
        </row>
        <row r="3854">
          <cell r="A3854" t="str">
            <v>HD SET BLBPP003 ANAK</v>
          </cell>
          <cell r="B3854" t="str">
            <v>HEMODIALISA SET BPJS ANAK</v>
          </cell>
          <cell r="C3854" t="str">
            <v>HD</v>
          </cell>
        </row>
        <row r="3855">
          <cell r="A3855" t="str">
            <v>HD SET BLBPP003-NAVF</v>
          </cell>
          <cell r="B3855" t="str">
            <v>HEMODIALISA SET BPJS LENGKAP NON AV FISTULA</v>
          </cell>
          <cell r="C3855" t="str">
            <v>HD</v>
          </cell>
        </row>
        <row r="3856">
          <cell r="A3856" t="str">
            <v>HD SET BLBPP005</v>
          </cell>
          <cell r="B3856" t="str">
            <v>HEMODIALISA SET BPJS LENGKAP</v>
          </cell>
          <cell r="C3856" t="str">
            <v>HD</v>
          </cell>
        </row>
        <row r="3857">
          <cell r="A3857" t="str">
            <v>HD SET BLBPP006</v>
          </cell>
          <cell r="B3857" t="str">
            <v>HEMODIALISA SET BPJS LENGKAP</v>
          </cell>
          <cell r="C3857" t="str">
            <v>HD</v>
          </cell>
        </row>
        <row r="3858">
          <cell r="A3858" t="str">
            <v>HD SET BLBPP006-NAKT</v>
          </cell>
          <cell r="B3858" t="str">
            <v>HEMODIALISA SET BPJS LENGKAP (PAKET I)</v>
          </cell>
          <cell r="C3858" t="str">
            <v>HD</v>
          </cell>
        </row>
        <row r="3859">
          <cell r="A3859" t="str">
            <v>HD SET BLBPP007</v>
          </cell>
          <cell r="B3859" t="str">
            <v>HEMODIALISA SET BPJS LENGKAP</v>
          </cell>
          <cell r="C3859" t="str">
            <v>HD</v>
          </cell>
        </row>
        <row r="3860">
          <cell r="A3860" t="str">
            <v>HD SET BLBPP008</v>
          </cell>
          <cell r="B3860" t="str">
            <v>HEMODIALISA SET BPJS LENGKAP</v>
          </cell>
          <cell r="C3860" t="str">
            <v>HD</v>
          </cell>
        </row>
        <row r="3861">
          <cell r="A3861" t="str">
            <v>HD SET BLBPP009</v>
          </cell>
          <cell r="B3861" t="str">
            <v>HEMODIALISA SET BPJS LENGKAP</v>
          </cell>
          <cell r="C3861" t="str">
            <v>HD</v>
          </cell>
        </row>
        <row r="3862">
          <cell r="A3862" t="str">
            <v>HD SET BLBPP009-NAVF</v>
          </cell>
          <cell r="B3862" t="str">
            <v>HEMODIALISA SET BPJS LENGKAP NON AV FISTULA</v>
          </cell>
          <cell r="C3862" t="str">
            <v>HD</v>
          </cell>
        </row>
        <row r="3863">
          <cell r="A3863" t="str">
            <v>HD SET BLBPP010</v>
          </cell>
          <cell r="B3863" t="str">
            <v>HEMODIALISA SET BPJS LENGKAP</v>
          </cell>
          <cell r="C3863" t="str">
            <v>HD</v>
          </cell>
        </row>
        <row r="3864">
          <cell r="A3864" t="str">
            <v>HD SET BLBPP011</v>
          </cell>
          <cell r="B3864" t="str">
            <v>HEMODIALISA SET BPJS LENGKAP</v>
          </cell>
          <cell r="C3864" t="str">
            <v>HD</v>
          </cell>
        </row>
        <row r="3865">
          <cell r="A3865" t="str">
            <v>HD SET BLBPP011-NAK</v>
          </cell>
          <cell r="B3865" t="str">
            <v>HEMODIALISA SET BPJS LENGKAP NON AK</v>
          </cell>
          <cell r="C3865" t="str">
            <v>HD</v>
          </cell>
        </row>
        <row r="3866">
          <cell r="A3866" t="str">
            <v>HD SET BLBPP011-NAVF</v>
          </cell>
          <cell r="B3866" t="str">
            <v>HEMODIALISA SET BPJS LENGKAP TANPA AV FISTULA</v>
          </cell>
          <cell r="C3866" t="str">
            <v>HD</v>
          </cell>
        </row>
        <row r="3867">
          <cell r="A3867" t="str">
            <v>HD SET BLBPP012-NAVF</v>
          </cell>
          <cell r="B3867" t="str">
            <v>HEMODIALISA SET BPJS LENGKAP</v>
          </cell>
          <cell r="C3867" t="str">
            <v>HD</v>
          </cell>
        </row>
        <row r="3868">
          <cell r="A3868" t="str">
            <v>HD SET BLBPP013</v>
          </cell>
          <cell r="B3868" t="str">
            <v>HEMODIALISA SET BPJS LENGKAP</v>
          </cell>
          <cell r="C3868" t="str">
            <v>HD</v>
          </cell>
        </row>
        <row r="3869">
          <cell r="A3869" t="str">
            <v>HD SET BLBPP013-NTC</v>
          </cell>
          <cell r="B3869" t="str">
            <v>HEMODIALISA SET BPJS LENGKAP TANPA CAIRAN</v>
          </cell>
          <cell r="C3869" t="str">
            <v>HD</v>
          </cell>
        </row>
        <row r="3870">
          <cell r="A3870" t="str">
            <v>HD SET BLBPP014</v>
          </cell>
          <cell r="B3870" t="str">
            <v>HEMODIALISA SET BPJS LENGKAP</v>
          </cell>
          <cell r="C3870" t="str">
            <v>HD</v>
          </cell>
        </row>
        <row r="3871">
          <cell r="A3871" t="str">
            <v>HD SET BLBPP014 B+AK</v>
          </cell>
          <cell r="B3871" t="str">
            <v>HEMODIALISA SET BPJS BLOOD TUBING DAN AK10L</v>
          </cell>
          <cell r="C3871" t="str">
            <v>HD</v>
          </cell>
        </row>
        <row r="3872">
          <cell r="A3872" t="str">
            <v>HD SET BLBPP014 NAKT</v>
          </cell>
          <cell r="B3872" t="str">
            <v>HEMODIALISA SET BPJS LENGKAP TANPA CAIRAN</v>
          </cell>
          <cell r="C3872" t="str">
            <v>HD</v>
          </cell>
        </row>
        <row r="3873">
          <cell r="A3873" t="str">
            <v>HD SET BLBPP014 NVFA</v>
          </cell>
          <cell r="B3873" t="str">
            <v>HEMODIALISA CAIRAN TANPA SET</v>
          </cell>
          <cell r="C3873" t="str">
            <v>HD</v>
          </cell>
        </row>
        <row r="3874">
          <cell r="A3874" t="str">
            <v>HD SET BLBPP015 NBTS</v>
          </cell>
          <cell r="B3874" t="str">
            <v>HEMODIALISA SET BPJS TANPA BTS</v>
          </cell>
          <cell r="C3874" t="str">
            <v>HD</v>
          </cell>
        </row>
        <row r="3875">
          <cell r="A3875" t="str">
            <v>HD SET BLBPP016</v>
          </cell>
          <cell r="B3875" t="str">
            <v>HEMODIALISA SET BPJS LENGKAP</v>
          </cell>
          <cell r="C3875" t="str">
            <v>HD</v>
          </cell>
        </row>
        <row r="3876">
          <cell r="A3876" t="str">
            <v>HD SET BLBPP016 ANAK</v>
          </cell>
          <cell r="B3876" t="str">
            <v>HEMODIALISA SET BPJS LENGKAP UNTUK ANAK</v>
          </cell>
          <cell r="C3876" t="str">
            <v>HD</v>
          </cell>
        </row>
        <row r="3877">
          <cell r="A3877" t="str">
            <v>HD SET BLBPP016 NAKT</v>
          </cell>
          <cell r="B3877" t="str">
            <v>HEMODIALISA SET AK10L DAN AT10L</v>
          </cell>
          <cell r="C3877" t="str">
            <v>HD</v>
          </cell>
        </row>
        <row r="3878">
          <cell r="A3878" t="str">
            <v>HD SET BLBPP016-NAVF</v>
          </cell>
          <cell r="B3878" t="str">
            <v>HEMODIALISA SET BPJS LENGKAP NON AVFISTULA</v>
          </cell>
          <cell r="C3878" t="str">
            <v>HD</v>
          </cell>
        </row>
        <row r="3879">
          <cell r="A3879" t="str">
            <v>HD SET BLBPP017</v>
          </cell>
          <cell r="B3879" t="str">
            <v>HEMODIALISA SET BPJS LENGKAP</v>
          </cell>
          <cell r="C3879" t="str">
            <v>HD</v>
          </cell>
        </row>
        <row r="3880">
          <cell r="A3880" t="str">
            <v>HD SET BLBPP018</v>
          </cell>
          <cell r="B3880" t="str">
            <v>HEMODIALISA SET BPJS LENGKAP</v>
          </cell>
          <cell r="C3880" t="str">
            <v>HD</v>
          </cell>
        </row>
        <row r="3881">
          <cell r="A3881" t="str">
            <v>HD SET BLBPP018-NAVF</v>
          </cell>
          <cell r="B3881" t="str">
            <v>HEMODIALISA SET BPJS LENGKAP NON AVFISTULA</v>
          </cell>
          <cell r="C3881" t="str">
            <v>HD</v>
          </cell>
        </row>
        <row r="3882">
          <cell r="A3882" t="str">
            <v>HD SET BLBPP020</v>
          </cell>
          <cell r="B3882" t="str">
            <v>HEMODIALISA SET BPJS LENGKAP</v>
          </cell>
          <cell r="C3882" t="str">
            <v>HD</v>
          </cell>
        </row>
        <row r="3883">
          <cell r="A3883" t="str">
            <v>HD SET BLBPP022</v>
          </cell>
          <cell r="B3883" t="str">
            <v>HEMODIALISA SET BPJS LENGKAP</v>
          </cell>
          <cell r="C3883" t="str">
            <v>HD</v>
          </cell>
        </row>
        <row r="3884">
          <cell r="A3884" t="str">
            <v>HD SET BLBPP022-NAVF</v>
          </cell>
          <cell r="B3884" t="str">
            <v>HEMODIALISA SET BPJS LENGKAP NON AVFISTULA</v>
          </cell>
          <cell r="C3884" t="str">
            <v>HD</v>
          </cell>
        </row>
        <row r="3885">
          <cell r="A3885" t="str">
            <v>HD SET BLDPS002</v>
          </cell>
          <cell r="B3885" t="str">
            <v>HEMODIALISA SET BPJS LENGKAP</v>
          </cell>
          <cell r="C3885" t="str">
            <v>HD</v>
          </cell>
        </row>
        <row r="3886">
          <cell r="A3886" t="str">
            <v>HD SET BLDPS003</v>
          </cell>
          <cell r="B3886" t="str">
            <v>HEMODIALISA SET BPJS LENGKAP</v>
          </cell>
          <cell r="C3886" t="str">
            <v>HD</v>
          </cell>
        </row>
        <row r="3887">
          <cell r="A3887" t="str">
            <v>HD SET BLDPS004</v>
          </cell>
          <cell r="B3887" t="str">
            <v>HEMODIALISA SET BPJS LENGKAP</v>
          </cell>
          <cell r="C3887" t="str">
            <v>HD</v>
          </cell>
        </row>
        <row r="3888">
          <cell r="A3888" t="str">
            <v>HD SET BLDPS004-17</v>
          </cell>
          <cell r="B3888" t="str">
            <v>HEMODIALISA SET BPJS LENGKAP</v>
          </cell>
          <cell r="C3888" t="str">
            <v>HD</v>
          </cell>
        </row>
        <row r="3889">
          <cell r="A3889" t="str">
            <v>HD SET BLDPS006</v>
          </cell>
          <cell r="B3889" t="str">
            <v>HEMODIALISA SET BPJS LENGKAP</v>
          </cell>
          <cell r="C3889" t="str">
            <v>HD</v>
          </cell>
        </row>
        <row r="3890">
          <cell r="A3890" t="str">
            <v>HD SET BLDPS006-HDP</v>
          </cell>
          <cell r="B3890" t="str">
            <v>HEMODIALISA SET BPJS LENGKAP DENGAN HD PACK</v>
          </cell>
          <cell r="C3890" t="str">
            <v>HD</v>
          </cell>
        </row>
        <row r="3891">
          <cell r="A3891" t="str">
            <v>HD SET BLDPS007</v>
          </cell>
          <cell r="B3891" t="str">
            <v>HEMODIALISA SET BPJS LENGKAP</v>
          </cell>
          <cell r="C3891" t="str">
            <v>HD</v>
          </cell>
        </row>
        <row r="3892">
          <cell r="A3892" t="str">
            <v>HD SET BLDPS008</v>
          </cell>
          <cell r="B3892" t="str">
            <v>HEMODIALISA SET BPJS LENGKAP</v>
          </cell>
          <cell r="C3892" t="str">
            <v>HD</v>
          </cell>
        </row>
        <row r="3893">
          <cell r="A3893" t="str">
            <v>HD SET BLDPS009</v>
          </cell>
          <cell r="B3893" t="str">
            <v>HEMODIALISA SET BPJS LENGKAP</v>
          </cell>
          <cell r="C3893" t="str">
            <v>HD</v>
          </cell>
        </row>
        <row r="3894">
          <cell r="A3894" t="str">
            <v>HD SET BLDPS010</v>
          </cell>
          <cell r="B3894" t="str">
            <v>HEMODIALISA SET LENGKAP BPJS</v>
          </cell>
          <cell r="C3894" t="str">
            <v>HD</v>
          </cell>
        </row>
        <row r="3895">
          <cell r="A3895" t="str">
            <v>HD SET BLDPS010 17H</v>
          </cell>
          <cell r="B3895" t="str">
            <v>HEMODIALISA SET BPJS LENGKAP</v>
          </cell>
          <cell r="C3895" t="str">
            <v>HD</v>
          </cell>
        </row>
        <row r="3896">
          <cell r="A3896" t="str">
            <v>HD SET BLDPS011</v>
          </cell>
          <cell r="B3896" t="str">
            <v>HEMODIALISA SET BPJS LENGKAP</v>
          </cell>
          <cell r="C3896" t="str">
            <v>HD</v>
          </cell>
        </row>
        <row r="3897">
          <cell r="A3897" t="str">
            <v>HD SET BLDPS012</v>
          </cell>
          <cell r="B3897" t="str">
            <v>HEMODIALISA SET BPJS LENGKAP</v>
          </cell>
          <cell r="C3897" t="str">
            <v>HD</v>
          </cell>
        </row>
        <row r="3898">
          <cell r="A3898" t="str">
            <v>HD SET BLDPS012-HDP</v>
          </cell>
          <cell r="B3898" t="str">
            <v>HEMODIALISA SET BPJS LENGKAP DENGAN HD PACK</v>
          </cell>
          <cell r="C3898" t="str">
            <v>HD</v>
          </cell>
        </row>
        <row r="3899">
          <cell r="A3899" t="str">
            <v>HD SET BLDPS013</v>
          </cell>
          <cell r="B3899" t="str">
            <v>HEMODIALISA SET BPJS LENGKAP</v>
          </cell>
          <cell r="C3899" t="str">
            <v>HD</v>
          </cell>
        </row>
        <row r="3900">
          <cell r="A3900" t="str">
            <v>HD SET BLDPS014</v>
          </cell>
          <cell r="B3900" t="str">
            <v>HEMODIALISA SET BPJS LENGKAP</v>
          </cell>
          <cell r="C3900" t="str">
            <v>HD</v>
          </cell>
        </row>
        <row r="3901">
          <cell r="A3901" t="str">
            <v>HD SET BLDPS014 17H</v>
          </cell>
          <cell r="B3901" t="str">
            <v>HEMODIALISA SET BPJS LENGKAP</v>
          </cell>
          <cell r="C3901" t="str">
            <v>HD</v>
          </cell>
        </row>
        <row r="3902">
          <cell r="A3902" t="str">
            <v>HD SET BLDPS014 ANAK</v>
          </cell>
          <cell r="B3902" t="str">
            <v>HEMODIALISA SET BPJS LENGKAP ANAK</v>
          </cell>
          <cell r="C3902" t="str">
            <v>HD</v>
          </cell>
        </row>
        <row r="3903">
          <cell r="A3903" t="str">
            <v>HD SET BLDPS014-NAVF</v>
          </cell>
          <cell r="B3903" t="str">
            <v>HEMODIALISA SET BPJS LENGKAP NON AVFISTULA</v>
          </cell>
          <cell r="C3903" t="str">
            <v>HD</v>
          </cell>
        </row>
        <row r="3904">
          <cell r="A3904" t="str">
            <v>HD SET BLDPS015</v>
          </cell>
          <cell r="B3904" t="str">
            <v>HEMODIALISA SET BPJS LENGKAP</v>
          </cell>
          <cell r="C3904" t="str">
            <v>HD</v>
          </cell>
        </row>
        <row r="3905">
          <cell r="A3905" t="str">
            <v>HD SET BLDPS016</v>
          </cell>
          <cell r="B3905" t="str">
            <v>HEMODIALISA SET BPJS LENGKAP</v>
          </cell>
          <cell r="C3905" t="str">
            <v>HD</v>
          </cell>
        </row>
        <row r="3906">
          <cell r="A3906" t="str">
            <v>HD SET BLDPS016 ANAK</v>
          </cell>
          <cell r="B3906" t="str">
            <v>HEMODIALISA SET BPJS LENGKAP ANAK</v>
          </cell>
          <cell r="C3906" t="str">
            <v>HD</v>
          </cell>
        </row>
        <row r="3907">
          <cell r="A3907" t="str">
            <v>HD SET BLDPS016-HDP</v>
          </cell>
          <cell r="B3907" t="str">
            <v>HEMODIALISA SET BPJS LENGKAP DENGAN HD PACK</v>
          </cell>
          <cell r="C3907" t="str">
            <v>HD</v>
          </cell>
        </row>
        <row r="3908">
          <cell r="A3908" t="str">
            <v>HD SET BLDPS016-HDP1</v>
          </cell>
          <cell r="B3908" t="str">
            <v>HEMODIALISA SET BPJS LENGKAP DENGAN HDP DAN EL-17H</v>
          </cell>
          <cell r="C3908" t="str">
            <v>HD</v>
          </cell>
        </row>
        <row r="3909">
          <cell r="A3909" t="str">
            <v>HD SET BLDPS016-HDP2</v>
          </cell>
          <cell r="B3909" t="str">
            <v>HEMODIALISA SET BPJS LENGKAP DENGAN HD PACK NON AV</v>
          </cell>
          <cell r="C3909" t="str">
            <v>HD</v>
          </cell>
        </row>
        <row r="3910">
          <cell r="A3910" t="str">
            <v>HD SET BLDPS017-BPJS</v>
          </cell>
          <cell r="B3910" t="str">
            <v>HEMODIALISA SET BPJS LENGKAP</v>
          </cell>
          <cell r="C3910" t="str">
            <v>HD</v>
          </cell>
        </row>
        <row r="3911">
          <cell r="A3911" t="str">
            <v>HD SET BLDPS017-UMUM</v>
          </cell>
          <cell r="B3911" t="str">
            <v>HEMODIALISA SET UMUM LENGKAP</v>
          </cell>
          <cell r="C3911" t="str">
            <v>HD</v>
          </cell>
        </row>
        <row r="3912">
          <cell r="A3912" t="str">
            <v>HD SET BLDPS018</v>
          </cell>
          <cell r="B3912" t="str">
            <v>HEMODIALISA SET BPJS LENGKAP</v>
          </cell>
          <cell r="C3912" t="str">
            <v>HD</v>
          </cell>
        </row>
        <row r="3913">
          <cell r="A3913" t="str">
            <v>HD SET BLDPS018-HDP</v>
          </cell>
          <cell r="B3913" t="str">
            <v>HEMODIALISA SET BPJS LENGKAP DENGAN HD PACK</v>
          </cell>
          <cell r="C3913" t="str">
            <v>HD</v>
          </cell>
        </row>
        <row r="3914">
          <cell r="A3914" t="str">
            <v>HD SET BLDPS019</v>
          </cell>
          <cell r="B3914" t="str">
            <v>HEMODIALISA SET BPJS LENGKAP</v>
          </cell>
          <cell r="C3914" t="str">
            <v>HD</v>
          </cell>
        </row>
        <row r="3915">
          <cell r="A3915" t="str">
            <v>HD SET BLDPS019 ANAK</v>
          </cell>
          <cell r="B3915" t="str">
            <v>HEMODIALISA SET BPJS LENGKAP ANAK</v>
          </cell>
          <cell r="C3915" t="str">
            <v>HD</v>
          </cell>
        </row>
        <row r="3916">
          <cell r="A3916" t="str">
            <v>HD SET BLDPS019ANAK1</v>
          </cell>
          <cell r="B3916" t="str">
            <v>HEMODIALISA SET BPJS LENGKAP ANAK</v>
          </cell>
          <cell r="C3916" t="str">
            <v>HD</v>
          </cell>
        </row>
        <row r="3917">
          <cell r="A3917" t="str">
            <v>HD SET BLDPS020</v>
          </cell>
          <cell r="B3917" t="str">
            <v>HEMODIALISA SET BPJS LENGKAP</v>
          </cell>
          <cell r="C3917" t="str">
            <v>HD</v>
          </cell>
        </row>
        <row r="3918">
          <cell r="A3918" t="str">
            <v>HD SET BLDPS020-NAVF</v>
          </cell>
          <cell r="B3918" t="str">
            <v>HEMODIALISA SET BPJS LENGKAP NON AVFISTULA</v>
          </cell>
          <cell r="C3918" t="str">
            <v>HD</v>
          </cell>
        </row>
        <row r="3919">
          <cell r="A3919" t="str">
            <v>HD SET BLDPS021</v>
          </cell>
          <cell r="B3919" t="str">
            <v>HEMODIALISA SET LENGKAP</v>
          </cell>
          <cell r="C3919" t="str">
            <v>HD</v>
          </cell>
        </row>
        <row r="3920">
          <cell r="A3920" t="str">
            <v>HD SET BLDPS021-NAVF</v>
          </cell>
          <cell r="B3920" t="str">
            <v>HEMODIALISA SET LENGKAP NON AVFISTULA</v>
          </cell>
          <cell r="C3920" t="str">
            <v>HD</v>
          </cell>
        </row>
        <row r="3921">
          <cell r="A3921" t="str">
            <v>HD SET BLDPS022</v>
          </cell>
          <cell r="B3921" t="str">
            <v>HEMODIALISA SET BPJS LENGKAP</v>
          </cell>
          <cell r="C3921" t="str">
            <v>HD</v>
          </cell>
        </row>
        <row r="3922">
          <cell r="A3922" t="str">
            <v>HD SET BLDPS022 ANAK</v>
          </cell>
          <cell r="B3922" t="str">
            <v>HEMODIALISA SET BPJS LENGKAP ANAK</v>
          </cell>
          <cell r="C3922" t="str">
            <v>HD</v>
          </cell>
        </row>
        <row r="3923">
          <cell r="A3923" t="str">
            <v>HD SET BLDPS022-1</v>
          </cell>
          <cell r="B3923" t="str">
            <v>HEMODIALISA SET LENGKAP BPJS DENGAN ELISIO-17</v>
          </cell>
          <cell r="C3923" t="str">
            <v>HD</v>
          </cell>
        </row>
        <row r="3924">
          <cell r="A3924" t="str">
            <v>HD SET BLDPS022-NAVF</v>
          </cell>
          <cell r="B3924" t="str">
            <v>HEMODIALISA SET BPJS LENGKAP NON AVFISTULA</v>
          </cell>
          <cell r="C3924" t="str">
            <v>HD</v>
          </cell>
        </row>
        <row r="3925">
          <cell r="A3925" t="str">
            <v>HD SET BLDPS023</v>
          </cell>
          <cell r="B3925" t="str">
            <v>HEMODIALISA SET BPJS LENGKAP</v>
          </cell>
          <cell r="C3925" t="str">
            <v>HD</v>
          </cell>
        </row>
        <row r="3926">
          <cell r="A3926" t="str">
            <v>HD SET BLDPS023-NAVF</v>
          </cell>
          <cell r="B3926" t="str">
            <v>HEMODIALISA SET BPJS LENGKAP NON AVFISTULA</v>
          </cell>
          <cell r="C3926" t="str">
            <v>HD</v>
          </cell>
        </row>
        <row r="3927">
          <cell r="A3927" t="str">
            <v>HD SET BLDPS024</v>
          </cell>
          <cell r="B3927" t="str">
            <v>HEMODIALISA SET BPJS LENGKAP</v>
          </cell>
          <cell r="C3927" t="str">
            <v>HD</v>
          </cell>
        </row>
        <row r="3928">
          <cell r="A3928" t="str">
            <v>HD SET BLDPS024-HDP</v>
          </cell>
          <cell r="B3928" t="str">
            <v>HEMODIALISA SET BPJS LENGKAP DENGAN HD PACK</v>
          </cell>
          <cell r="C3928" t="str">
            <v>HD</v>
          </cell>
        </row>
        <row r="3929">
          <cell r="A3929" t="str">
            <v>HD SET BLDPS024-HDP2</v>
          </cell>
          <cell r="B3929" t="str">
            <v>HEMODIALISA SET BPJS LENGKAP DENGAN HD PACK NON AV</v>
          </cell>
          <cell r="C3929" t="str">
            <v>HD</v>
          </cell>
        </row>
        <row r="3930">
          <cell r="A3930" t="str">
            <v>HD SET BLDPS025</v>
          </cell>
          <cell r="B3930" t="str">
            <v>HEMODIALISA SET BPJS LENGKAP</v>
          </cell>
          <cell r="C3930" t="str">
            <v>HD</v>
          </cell>
        </row>
        <row r="3931">
          <cell r="A3931" t="str">
            <v>HD SET BLDPS026</v>
          </cell>
          <cell r="B3931" t="str">
            <v>HEMODIALISA SET BPJS LENGKAP</v>
          </cell>
          <cell r="C3931" t="str">
            <v>HD</v>
          </cell>
        </row>
        <row r="3932">
          <cell r="A3932" t="str">
            <v>HD SET BLDPS027</v>
          </cell>
          <cell r="B3932" t="str">
            <v>HEMODIALISA SET BPJS LENGKAP</v>
          </cell>
          <cell r="C3932" t="str">
            <v>HD</v>
          </cell>
        </row>
        <row r="3933">
          <cell r="A3933" t="str">
            <v>HD SET BLDPS029</v>
          </cell>
          <cell r="B3933" t="str">
            <v>HEMODIALISA SET BPJS LENGKAP</v>
          </cell>
          <cell r="C3933" t="str">
            <v>HD</v>
          </cell>
        </row>
        <row r="3934">
          <cell r="A3934" t="str">
            <v>HD SET BLJKT001</v>
          </cell>
          <cell r="B3934" t="str">
            <v>HEMODIALISA SET BPJS LENGKAP</v>
          </cell>
          <cell r="C3934" t="str">
            <v>HD</v>
          </cell>
        </row>
        <row r="3935">
          <cell r="A3935" t="str">
            <v>HD SET BLJKT001 HDF</v>
          </cell>
          <cell r="B3935" t="str">
            <v>HEMODIALISA SET BPJS LENGKAP HDF ONLINE</v>
          </cell>
          <cell r="C3935" t="str">
            <v>HD</v>
          </cell>
        </row>
        <row r="3936">
          <cell r="A3936" t="str">
            <v>HD SET BLJKT001-NAVF</v>
          </cell>
          <cell r="B3936" t="str">
            <v>HEMODIALISA SET BPJS LENGKAP NON AV FISTULA</v>
          </cell>
          <cell r="C3936" t="str">
            <v>HD</v>
          </cell>
        </row>
        <row r="3937">
          <cell r="A3937" t="str">
            <v>HD SET BLJKT002</v>
          </cell>
          <cell r="B3937" t="str">
            <v>HEMODIALISA SET BPJS LENGKAP</v>
          </cell>
          <cell r="C3937" t="str">
            <v>HD</v>
          </cell>
        </row>
        <row r="3938">
          <cell r="A3938" t="str">
            <v>HD SET BLJKT002-ANAK</v>
          </cell>
          <cell r="B3938" t="str">
            <v>HEMODIALISA SET BPJS LENGKAP ANAK</v>
          </cell>
          <cell r="C3938" t="str">
            <v>HD</v>
          </cell>
        </row>
        <row r="3939">
          <cell r="A3939" t="str">
            <v>HD SET BLJKT002ANAK1</v>
          </cell>
          <cell r="B3939" t="str">
            <v>HEMODIALISA SET BPJS LENGKAP ANAK NON AVF</v>
          </cell>
          <cell r="C3939" t="str">
            <v>HD</v>
          </cell>
        </row>
        <row r="3940">
          <cell r="A3940" t="str">
            <v>HD SET BLJKT002ANAK2</v>
          </cell>
          <cell r="B3940" t="str">
            <v>HEMODIALISA SET BPJS LENGKAP ANAK NON AK</v>
          </cell>
          <cell r="C3940" t="str">
            <v>HD</v>
          </cell>
        </row>
        <row r="3941">
          <cell r="A3941" t="str">
            <v>HD SET BLJKT003</v>
          </cell>
          <cell r="B3941" t="str">
            <v>HEMODIALISA SET BPJS LENGKAP</v>
          </cell>
          <cell r="C3941" t="str">
            <v>HD</v>
          </cell>
        </row>
        <row r="3942">
          <cell r="A3942" t="str">
            <v>HD SET BLJKT003-NAVF</v>
          </cell>
          <cell r="B3942" t="str">
            <v>HEMODIALISA SET BPJS LENGKAP NON AV FISTULA</v>
          </cell>
          <cell r="C3942" t="str">
            <v>HD</v>
          </cell>
        </row>
        <row r="3943">
          <cell r="A3943" t="str">
            <v>HD SET BLJKT004</v>
          </cell>
          <cell r="B3943" t="str">
            <v>HEMODIALISA SET BPJS LENGKAP</v>
          </cell>
          <cell r="C3943" t="str">
            <v>HD</v>
          </cell>
        </row>
        <row r="3944">
          <cell r="A3944" t="str">
            <v>HD SET BLJKT005</v>
          </cell>
          <cell r="B3944" t="str">
            <v>HEMODIALISA SET BPJS LENGKAP</v>
          </cell>
          <cell r="C3944" t="str">
            <v>HD</v>
          </cell>
        </row>
        <row r="3945">
          <cell r="A3945" t="str">
            <v>HD SET BLJKT005 ANAK</v>
          </cell>
          <cell r="B3945" t="str">
            <v>HEMODIALISA SET BPJS LENGKAP ANAK</v>
          </cell>
          <cell r="C3945" t="str">
            <v>HD</v>
          </cell>
        </row>
        <row r="3946">
          <cell r="A3946" t="str">
            <v>HD SET BLJKT005NAK</v>
          </cell>
          <cell r="B3946" t="str">
            <v>HEMODIALISA HD LENGKAP NOT ACID</v>
          </cell>
          <cell r="C3946" t="str">
            <v>HD</v>
          </cell>
        </row>
        <row r="3947">
          <cell r="A3947" t="str">
            <v>HD SET BLJKT005NAT</v>
          </cell>
          <cell r="B3947" t="str">
            <v>HEMODIALISA HD LENGKAP NON AT10L</v>
          </cell>
          <cell r="C3947" t="str">
            <v>HD</v>
          </cell>
        </row>
        <row r="3948">
          <cell r="A3948" t="str">
            <v>HD SET BLJKT005NATAK</v>
          </cell>
          <cell r="B3948" t="str">
            <v>HEMODIALISA SET BPJS LENGKAP NON ACID &amp; ATT I)</v>
          </cell>
          <cell r="C3948" t="str">
            <v>HD</v>
          </cell>
        </row>
        <row r="3949">
          <cell r="A3949" t="str">
            <v>HD SET BLJKT005-NAVF</v>
          </cell>
          <cell r="B3949" t="str">
            <v>HEMODIALISA SET BPJS LENGKAP NON AV FISTULA</v>
          </cell>
          <cell r="C3949" t="str">
            <v>HD</v>
          </cell>
        </row>
        <row r="3950">
          <cell r="A3950" t="str">
            <v>HD SET BLJKT006</v>
          </cell>
          <cell r="B3950" t="str">
            <v>HEMODIALISA SET BPJS LENGKAP</v>
          </cell>
          <cell r="C3950" t="str">
            <v>HD</v>
          </cell>
        </row>
        <row r="3951">
          <cell r="A3951" t="str">
            <v>HD SET BLJKT006-NAVF</v>
          </cell>
          <cell r="B3951" t="str">
            <v>HEMODIALISA SET BPJS LENGKAP TANPA AVFISTULA</v>
          </cell>
          <cell r="C3951" t="str">
            <v>HD</v>
          </cell>
        </row>
        <row r="3952">
          <cell r="A3952" t="str">
            <v>HD SET BLJKT006-NBL</v>
          </cell>
          <cell r="B3952" t="str">
            <v>HEMODIALISA SET BPJS LENGKAP (PAKET C)</v>
          </cell>
          <cell r="C3952" t="str">
            <v>HD</v>
          </cell>
        </row>
        <row r="3953">
          <cell r="A3953" t="str">
            <v>HD SET BLJKT007</v>
          </cell>
          <cell r="B3953" t="str">
            <v>HEMODIALISA SET BPJS LENGKAP</v>
          </cell>
          <cell r="C3953" t="str">
            <v>HD</v>
          </cell>
        </row>
        <row r="3954">
          <cell r="A3954" t="str">
            <v>HD SET BLJKT007-NAVF</v>
          </cell>
          <cell r="B3954" t="str">
            <v>HEMODIALISA SET BPJS LENGKAP NON AV FISTULA</v>
          </cell>
          <cell r="C3954" t="str">
            <v>HD</v>
          </cell>
        </row>
        <row r="3955">
          <cell r="A3955" t="str">
            <v>HD SET BLJKT008</v>
          </cell>
          <cell r="B3955" t="str">
            <v>HEMODIALISA SET BPJS LENGKAP</v>
          </cell>
          <cell r="C3955" t="str">
            <v>HD</v>
          </cell>
        </row>
        <row r="3956">
          <cell r="A3956" t="str">
            <v>HD SET BLJKT009</v>
          </cell>
          <cell r="B3956" t="str">
            <v>HEMODIALISA SET BPJS LENGKAP</v>
          </cell>
          <cell r="C3956" t="str">
            <v>HD</v>
          </cell>
        </row>
        <row r="3957">
          <cell r="A3957" t="str">
            <v>HD SET BLJKT010</v>
          </cell>
          <cell r="B3957" t="str">
            <v>HEMODIALISA SET BPJS LENGKAP</v>
          </cell>
          <cell r="C3957" t="str">
            <v>HD</v>
          </cell>
        </row>
        <row r="3958">
          <cell r="A3958" t="str">
            <v>HD SET BLJKT010-NAVF</v>
          </cell>
          <cell r="B3958" t="str">
            <v>HEMODIALISA SET BPJS LENGKAP NON AVFISTULA</v>
          </cell>
          <cell r="C3958" t="str">
            <v>HD</v>
          </cell>
        </row>
        <row r="3959">
          <cell r="A3959" t="str">
            <v>HD SET BLJKT011</v>
          </cell>
          <cell r="B3959" t="str">
            <v>HEMODIALISA SET BPJS LENGKAP A</v>
          </cell>
          <cell r="C3959" t="str">
            <v>HD</v>
          </cell>
        </row>
        <row r="3960">
          <cell r="A3960" t="str">
            <v>HD SET BLJKT011 NAT</v>
          </cell>
          <cell r="B3960" t="str">
            <v>HEMODIALISA SET BPJS LENGKAP</v>
          </cell>
          <cell r="C3960" t="str">
            <v>HD</v>
          </cell>
        </row>
        <row r="3961">
          <cell r="A3961" t="str">
            <v>HD SET BLJKT011-HDF</v>
          </cell>
          <cell r="B3961" t="str">
            <v>HEMODIALISA SET BPJS LENGKAP HDF</v>
          </cell>
          <cell r="C3961" t="str">
            <v>HD</v>
          </cell>
        </row>
        <row r="3962">
          <cell r="A3962" t="str">
            <v>HD SET BLJKT011-NAVF</v>
          </cell>
          <cell r="B3962" t="str">
            <v>HEMODIALISA SET BPJS LENGKAP TANPA AVFISTULA</v>
          </cell>
          <cell r="C3962" t="str">
            <v>HD</v>
          </cell>
        </row>
        <row r="3963">
          <cell r="A3963" t="str">
            <v>HD SET BLJKT012</v>
          </cell>
          <cell r="B3963" t="str">
            <v>HEMODIALISA SET BPS LENGKAP</v>
          </cell>
          <cell r="C3963" t="str">
            <v>HD</v>
          </cell>
        </row>
        <row r="3964">
          <cell r="A3964" t="str">
            <v>HD SET BLJKT012-NAVF</v>
          </cell>
          <cell r="B3964" t="str">
            <v>HEMODIALISA SET BPJS LENGKAP NON AVFISTULA</v>
          </cell>
          <cell r="C3964" t="str">
            <v>HD</v>
          </cell>
        </row>
        <row r="3965">
          <cell r="A3965" t="str">
            <v>HD SET BLJKT013</v>
          </cell>
          <cell r="B3965" t="str">
            <v>HEMODIALISA SET BPJS LENGKAP</v>
          </cell>
          <cell r="C3965" t="str">
            <v>HD</v>
          </cell>
        </row>
        <row r="3966">
          <cell r="A3966" t="str">
            <v>HD SET BLJKT013-ELAT</v>
          </cell>
          <cell r="B3966" t="str">
            <v>HEMODIALISA SET BPJS LENGKAP ELISIO + AT</v>
          </cell>
          <cell r="C3966" t="str">
            <v>HD</v>
          </cell>
        </row>
        <row r="3967">
          <cell r="A3967" t="str">
            <v>HD SET BLJKT013NAVBT</v>
          </cell>
          <cell r="B3967" t="str">
            <v>HEMODIALISA SET BPJS LENGKAP NON AV &amp; BT</v>
          </cell>
          <cell r="C3967" t="str">
            <v>HD</v>
          </cell>
        </row>
        <row r="3968">
          <cell r="A3968" t="str">
            <v>HD SET BLJKT013-NAVF</v>
          </cell>
          <cell r="B3968" t="str">
            <v>HEMODIALISA SET BPJS LENGKAP</v>
          </cell>
          <cell r="C3968" t="str">
            <v>HD</v>
          </cell>
        </row>
        <row r="3969">
          <cell r="A3969" t="str">
            <v>HD SET BLJKT014</v>
          </cell>
          <cell r="B3969" t="str">
            <v>HEMODIALISA SET BPJS LENGKAP</v>
          </cell>
          <cell r="C3969" t="str">
            <v>HD</v>
          </cell>
        </row>
        <row r="3970">
          <cell r="A3970" t="str">
            <v>HD SET BLJKT015</v>
          </cell>
          <cell r="B3970" t="str">
            <v>HEMODIALISA SET BPJS LENGKAP</v>
          </cell>
          <cell r="C3970" t="str">
            <v>HD</v>
          </cell>
        </row>
        <row r="3971">
          <cell r="A3971" t="str">
            <v>HD SET BLJKT016</v>
          </cell>
          <cell r="B3971" t="str">
            <v>HEMODIALISA SET BPJS LENGKAP</v>
          </cell>
          <cell r="C3971" t="str">
            <v>HD</v>
          </cell>
        </row>
        <row r="3972">
          <cell r="A3972" t="str">
            <v>HD SET BLJKT016-NAV</v>
          </cell>
          <cell r="B3972" t="str">
            <v>HEMODIALISA SET BPJS LENGKAP</v>
          </cell>
          <cell r="C3972" t="str">
            <v>HD</v>
          </cell>
        </row>
        <row r="3973">
          <cell r="A3973" t="str">
            <v>HD SET BLJKT016-NAVF</v>
          </cell>
          <cell r="B3973" t="str">
            <v>HEMODIALISA SET BPJS LENGKAP</v>
          </cell>
          <cell r="C3973" t="str">
            <v>HD</v>
          </cell>
        </row>
        <row r="3974">
          <cell r="A3974" t="str">
            <v>HD SET BLJKT017</v>
          </cell>
          <cell r="B3974" t="str">
            <v>HEMODIALISA SET BPJS LENGKAP</v>
          </cell>
          <cell r="C3974" t="str">
            <v>HD</v>
          </cell>
        </row>
        <row r="3975">
          <cell r="A3975" t="str">
            <v>HD SET BLJKT017 17H</v>
          </cell>
          <cell r="B3975" t="str">
            <v>HEMODIALISA SET BPJS LENGKAP</v>
          </cell>
          <cell r="C3975" t="str">
            <v>HD</v>
          </cell>
        </row>
        <row r="3976">
          <cell r="A3976" t="str">
            <v>HD SET BLJKT017-NAV</v>
          </cell>
          <cell r="B3976" t="str">
            <v>HEMODIALISA SET BPJS LENGKAP NON AVFISTULA</v>
          </cell>
          <cell r="C3976" t="str">
            <v>HD</v>
          </cell>
        </row>
        <row r="3977">
          <cell r="A3977" t="str">
            <v>HD SET BLJKT017-NAVF</v>
          </cell>
          <cell r="B3977" t="str">
            <v>HEMODIALISA SET BPJS LENGKAP ANAK</v>
          </cell>
          <cell r="C3977" t="str">
            <v>HD</v>
          </cell>
        </row>
        <row r="3978">
          <cell r="A3978" t="str">
            <v>HD SET BLJKT018</v>
          </cell>
          <cell r="B3978" t="str">
            <v>HEMODIALISA SET BPJS LENGKAP</v>
          </cell>
          <cell r="C3978" t="str">
            <v>HD</v>
          </cell>
        </row>
        <row r="3979">
          <cell r="A3979" t="str">
            <v>HD SET BLJKT019</v>
          </cell>
          <cell r="B3979" t="str">
            <v>HEMODIALISA SET BPJS LENGKAP</v>
          </cell>
          <cell r="C3979" t="str">
            <v>HD</v>
          </cell>
        </row>
        <row r="3980">
          <cell r="A3980" t="str">
            <v>HD SET BLJKT019-HDF</v>
          </cell>
          <cell r="B3980" t="str">
            <v>HEMODIALISA SET BPJS LENGKAP HDF</v>
          </cell>
          <cell r="C3980" t="str">
            <v>HD</v>
          </cell>
        </row>
        <row r="3981">
          <cell r="A3981" t="str">
            <v>HD SET BLJKT019-HDF2</v>
          </cell>
          <cell r="B3981" t="str">
            <v>HEMODIALISA SET BPJS LENGKAP HDF NON AVF</v>
          </cell>
          <cell r="C3981" t="str">
            <v>HD</v>
          </cell>
        </row>
        <row r="3982">
          <cell r="A3982" t="str">
            <v>HD SET BLJKT019-HDP</v>
          </cell>
          <cell r="B3982" t="str">
            <v>HEMODIALISA SET BPJS LENGKAP DENGAN HD PACK</v>
          </cell>
          <cell r="C3982" t="str">
            <v>HD</v>
          </cell>
        </row>
        <row r="3983">
          <cell r="A3983" t="str">
            <v>HD SET BLJKT019-HDP2</v>
          </cell>
          <cell r="B3983" t="str">
            <v>HEMODIALISA SET BPJS LENGKAP DENGAN HD PACK NON AV</v>
          </cell>
          <cell r="C3983" t="str">
            <v>HD</v>
          </cell>
        </row>
        <row r="3984">
          <cell r="A3984" t="str">
            <v>HD SET BLJKT019-NAK</v>
          </cell>
          <cell r="B3984" t="str">
            <v>HEMODIALISA SET BPJS LENGKAP DENGAN HD PACK NON AK</v>
          </cell>
          <cell r="C3984" t="str">
            <v>HD</v>
          </cell>
        </row>
        <row r="3985">
          <cell r="A3985" t="str">
            <v>HD SET BLJKT019-NAVF</v>
          </cell>
          <cell r="B3985" t="str">
            <v>HEMODIALISA SET BPJS LENGKAP NON AV FISTULA</v>
          </cell>
          <cell r="C3985" t="str">
            <v>HD</v>
          </cell>
        </row>
        <row r="3986">
          <cell r="A3986" t="str">
            <v>HD SET BLJKT020</v>
          </cell>
          <cell r="B3986" t="str">
            <v>HEMODIALISA SET BPJS LENGKAP</v>
          </cell>
          <cell r="C3986" t="str">
            <v>HD</v>
          </cell>
        </row>
        <row r="3987">
          <cell r="A3987" t="str">
            <v>HD SET BLJKT021</v>
          </cell>
          <cell r="B3987" t="str">
            <v>HEMODIALISA SET BPJS LENGKAP</v>
          </cell>
          <cell r="C3987" t="str">
            <v>HD</v>
          </cell>
        </row>
        <row r="3988">
          <cell r="A3988" t="str">
            <v>HD SET BLJKT021 17H</v>
          </cell>
          <cell r="B3988" t="str">
            <v>HEMODIALISA SET BPJS LENGKAP</v>
          </cell>
          <cell r="C3988" t="str">
            <v>HD</v>
          </cell>
        </row>
        <row r="3989">
          <cell r="A3989" t="str">
            <v>HD SET BLJKT021-NAVF</v>
          </cell>
          <cell r="B3989" t="str">
            <v>HEMODIALISA SET BPJS LENGKAP NON AV FISTULA</v>
          </cell>
          <cell r="C3989" t="str">
            <v>HD</v>
          </cell>
        </row>
        <row r="3990">
          <cell r="A3990" t="str">
            <v>HD SET BLJKT022</v>
          </cell>
          <cell r="B3990" t="str">
            <v>HEMODIALISA SET BPJS LENGKAP</v>
          </cell>
          <cell r="C3990" t="str">
            <v>HD</v>
          </cell>
        </row>
        <row r="3991">
          <cell r="A3991" t="str">
            <v>HD SET BLJKT023</v>
          </cell>
          <cell r="B3991" t="str">
            <v>HEMODIALISA SET BPJS LENGKAP</v>
          </cell>
          <cell r="C3991" t="str">
            <v>HD</v>
          </cell>
        </row>
        <row r="3992">
          <cell r="A3992" t="str">
            <v>HD SET BLJKT024</v>
          </cell>
          <cell r="B3992" t="str">
            <v>HEMODIALISA SET BPJS LENGKAP</v>
          </cell>
          <cell r="C3992" t="str">
            <v>HD</v>
          </cell>
        </row>
        <row r="3993">
          <cell r="A3993" t="str">
            <v>HD SET BLJKT024NATBL</v>
          </cell>
          <cell r="B3993" t="str">
            <v>HEMODIALISA SET BPJS LENGKAP ELISIO + AK</v>
          </cell>
          <cell r="C3993" t="str">
            <v>HD</v>
          </cell>
        </row>
        <row r="3994">
          <cell r="A3994" t="str">
            <v>HD SET BLJKT024-NAVF</v>
          </cell>
          <cell r="B3994" t="str">
            <v>HEMODIALISA SET BPJS LENGKAP NON AVFISTULA</v>
          </cell>
          <cell r="C3994" t="str">
            <v>HD</v>
          </cell>
        </row>
        <row r="3995">
          <cell r="A3995" t="str">
            <v>HD SET BLJKT025</v>
          </cell>
          <cell r="B3995" t="str">
            <v>HEMODIALISA SET BPJS LENGKAP</v>
          </cell>
          <cell r="C3995" t="str">
            <v>HD</v>
          </cell>
        </row>
        <row r="3996">
          <cell r="A3996" t="str">
            <v>HD SET BLJKT026</v>
          </cell>
          <cell r="B3996" t="str">
            <v>HEMODIALISA SET BPJS LENGKAP</v>
          </cell>
          <cell r="C3996" t="str">
            <v>HD</v>
          </cell>
        </row>
        <row r="3997">
          <cell r="A3997" t="str">
            <v>HD SET BLJKT026-ELBL</v>
          </cell>
          <cell r="B3997" t="str">
            <v>HEMODIALISA SET BPJS LENGKAP ELISIO + BLOOD TUBING</v>
          </cell>
          <cell r="C3997" t="str">
            <v>HD</v>
          </cell>
        </row>
        <row r="3998">
          <cell r="A3998" t="str">
            <v>HD SET BLJKT026-NAK</v>
          </cell>
          <cell r="B3998" t="str">
            <v>HEMODIALISA SET BPJS LENGKAP tanpa AK</v>
          </cell>
          <cell r="C3998" t="str">
            <v>HD</v>
          </cell>
        </row>
        <row r="3999">
          <cell r="A3999" t="str">
            <v>HD SET BLJKT026NAVAT</v>
          </cell>
          <cell r="B3999" t="str">
            <v>HEMODIALISA SET BPJS LENGKAP NON AVFISTULA DAN AT</v>
          </cell>
          <cell r="C3999" t="str">
            <v>HD</v>
          </cell>
        </row>
        <row r="4000">
          <cell r="A4000" t="str">
            <v>HD SET BLJKT026-NAVF</v>
          </cell>
          <cell r="B4000" t="str">
            <v>HEMODIALISA SET BPJS LENGKAP NON AVFISTULA</v>
          </cell>
          <cell r="C4000" t="str">
            <v>HD</v>
          </cell>
        </row>
        <row r="4001">
          <cell r="A4001" t="str">
            <v>HD SET BLJKT027</v>
          </cell>
          <cell r="B4001" t="str">
            <v>HEMODIALISA SET BPJS LENGKAP</v>
          </cell>
          <cell r="C4001" t="str">
            <v>HD</v>
          </cell>
        </row>
        <row r="4002">
          <cell r="A4002" t="str">
            <v>HD SET BLJKT028</v>
          </cell>
          <cell r="B4002" t="str">
            <v>HEMODIALISA SET BPJS LENGKAP</v>
          </cell>
          <cell r="C4002" t="str">
            <v>HD</v>
          </cell>
        </row>
        <row r="4003">
          <cell r="A4003" t="str">
            <v>HD SET BLJKT030</v>
          </cell>
          <cell r="B4003" t="str">
            <v>HEMODIALISA SET BPJS LENGKAP</v>
          </cell>
          <cell r="C4003" t="str">
            <v>HD</v>
          </cell>
        </row>
        <row r="4004">
          <cell r="A4004" t="str">
            <v>HD SET BLJKT031</v>
          </cell>
          <cell r="B4004" t="str">
            <v>HEMODIALISA SET BPJS LENGKAP</v>
          </cell>
          <cell r="C4004" t="str">
            <v>HD</v>
          </cell>
        </row>
        <row r="4005">
          <cell r="A4005" t="str">
            <v>HD SET BLJKT032</v>
          </cell>
          <cell r="B4005" t="str">
            <v>HEMODIALISA SET BPJS LENGKAP</v>
          </cell>
          <cell r="C4005" t="str">
            <v>HD</v>
          </cell>
        </row>
        <row r="4006">
          <cell r="A4006" t="str">
            <v>HD SET BLJKT033</v>
          </cell>
          <cell r="B4006" t="str">
            <v>HEMODIALISA SET BPJS LENGKAP</v>
          </cell>
          <cell r="C4006" t="str">
            <v>HD</v>
          </cell>
        </row>
        <row r="4007">
          <cell r="A4007" t="str">
            <v>HD SET BLJKT033-ANAK</v>
          </cell>
          <cell r="B4007" t="str">
            <v>HEMODIALISA SET BPJS LENGKAP ANAK</v>
          </cell>
          <cell r="C4007" t="str">
            <v>HD</v>
          </cell>
        </row>
        <row r="4008">
          <cell r="A4008" t="str">
            <v>HD SET BLJKT033-NAVF</v>
          </cell>
          <cell r="B4008" t="str">
            <v>HEMODIALISA SET BPJS LENGKAP</v>
          </cell>
          <cell r="C4008" t="str">
            <v>HD</v>
          </cell>
        </row>
        <row r="4009">
          <cell r="A4009" t="str">
            <v>HD SET BLJKT034</v>
          </cell>
          <cell r="B4009" t="str">
            <v>HEMODIALISA SET BPJS LENGKAP</v>
          </cell>
          <cell r="C4009" t="str">
            <v>HD</v>
          </cell>
        </row>
        <row r="4010">
          <cell r="A4010" t="str">
            <v>HD SET BLJKT035-NAVF</v>
          </cell>
          <cell r="B4010" t="str">
            <v>HEMODIALISA SET BPJS LENGKAP NON AVFISTULA</v>
          </cell>
          <cell r="C4010" t="str">
            <v>HD</v>
          </cell>
        </row>
        <row r="4011">
          <cell r="A4011" t="str">
            <v>HD SET BLJKT036</v>
          </cell>
          <cell r="B4011" t="str">
            <v>HEMODIALISA SET BPJS LENGKAP</v>
          </cell>
          <cell r="C4011" t="str">
            <v>HD</v>
          </cell>
        </row>
        <row r="4012">
          <cell r="A4012" t="str">
            <v>HD SET BLJKT037</v>
          </cell>
          <cell r="B4012" t="str">
            <v>HEMODIALISA SET BPJS LENGKAP</v>
          </cell>
          <cell r="C4012" t="str">
            <v>HD</v>
          </cell>
        </row>
        <row r="4013">
          <cell r="A4013" t="str">
            <v>HD SET BLJKT038</v>
          </cell>
          <cell r="B4013" t="str">
            <v>HEMODIALISA SET BPJS LENGKAP</v>
          </cell>
          <cell r="C4013" t="str">
            <v>HD</v>
          </cell>
        </row>
        <row r="4014">
          <cell r="A4014" t="str">
            <v>HD SET BLJKT038-NAVF</v>
          </cell>
          <cell r="B4014" t="str">
            <v>HEMODIALISA SET BPJS LENGKAP NON AVFISTULA</v>
          </cell>
          <cell r="C4014" t="str">
            <v>HD</v>
          </cell>
        </row>
        <row r="4015">
          <cell r="A4015" t="str">
            <v>HD SET BLJKT039</v>
          </cell>
          <cell r="B4015" t="str">
            <v>HEMODIALISA SET BPJS LENGKAP</v>
          </cell>
          <cell r="C4015" t="str">
            <v>HD</v>
          </cell>
        </row>
        <row r="4016">
          <cell r="A4016" t="str">
            <v>HD SET BLJKT039 NAVF</v>
          </cell>
          <cell r="B4016" t="str">
            <v>HEMODIALISA SET BPJS LENGKAP Non AVFISTULA</v>
          </cell>
          <cell r="C4016" t="str">
            <v>HD</v>
          </cell>
        </row>
        <row r="4017">
          <cell r="A4017" t="str">
            <v>HD SET BLJKT040</v>
          </cell>
          <cell r="B4017" t="str">
            <v>HEMODIALISA SET BPJS LENGKAP</v>
          </cell>
          <cell r="C4017" t="str">
            <v>HD</v>
          </cell>
        </row>
        <row r="4018">
          <cell r="A4018" t="str">
            <v>HD SET BLJKT041</v>
          </cell>
          <cell r="B4018" t="str">
            <v>HEMODIALISA SET BPJS LENGKAP</v>
          </cell>
          <cell r="C4018" t="str">
            <v>HD</v>
          </cell>
        </row>
        <row r="4019">
          <cell r="A4019" t="str">
            <v>HD SET BLJKT042</v>
          </cell>
          <cell r="B4019" t="str">
            <v>HEMODIALISA SET BPJS LENGKAP</v>
          </cell>
          <cell r="C4019" t="str">
            <v>HD</v>
          </cell>
        </row>
        <row r="4020">
          <cell r="A4020" t="str">
            <v>HD SET BLJKT042-NAVF</v>
          </cell>
          <cell r="B4020" t="str">
            <v>HEMODIALISA SET BPJS LENGKAP NON AV FISTULA</v>
          </cell>
          <cell r="C4020" t="str">
            <v>HD</v>
          </cell>
        </row>
        <row r="4021">
          <cell r="A4021" t="str">
            <v>HD SET BLJKT043</v>
          </cell>
          <cell r="B4021" t="str">
            <v>HEMODIALISA SET BPJS LENGKAP</v>
          </cell>
          <cell r="C4021" t="str">
            <v>HD</v>
          </cell>
        </row>
        <row r="4022">
          <cell r="A4022" t="str">
            <v>HD SET BLJKT043 ANAK</v>
          </cell>
          <cell r="B4022" t="str">
            <v>HEMODIALISA SET BPJS LENGKAP UNTUK ANAK</v>
          </cell>
          <cell r="C4022" t="str">
            <v>HD</v>
          </cell>
        </row>
        <row r="4023">
          <cell r="A4023" t="str">
            <v>HD SET BLJKT043-AVF</v>
          </cell>
          <cell r="B4023" t="str">
            <v>HEMODIALISA SET BPJS LENGKAP (PAKET V)</v>
          </cell>
          <cell r="C4023" t="str">
            <v>HD</v>
          </cell>
        </row>
        <row r="4024">
          <cell r="A4024" t="str">
            <v>HD SET BLJKT043-NAK</v>
          </cell>
          <cell r="B4024" t="str">
            <v>HEMODIALISA SET BPJS LENGKAP (PAKET III)</v>
          </cell>
          <cell r="C4024" t="str">
            <v>HD</v>
          </cell>
        </row>
        <row r="4025">
          <cell r="A4025" t="str">
            <v>HD SET BLJKT043-NAT</v>
          </cell>
          <cell r="B4025" t="str">
            <v>HEMODIALISA SET BPJS LENGKAP (PAKET IV)</v>
          </cell>
          <cell r="C4025" t="str">
            <v>HD</v>
          </cell>
        </row>
        <row r="4026">
          <cell r="A4026" t="str">
            <v>HD SET BLJKT043NAVAT</v>
          </cell>
          <cell r="B4026" t="str">
            <v>HEMODIALISA SET BPJS LENGKAP NON AVF &amp; AT</v>
          </cell>
          <cell r="C4026" t="str">
            <v>HD</v>
          </cell>
        </row>
        <row r="4027">
          <cell r="A4027" t="str">
            <v>HD SET BLJKT043-NBL</v>
          </cell>
          <cell r="B4027" t="str">
            <v>HEMODIALISA SET BPJS LENGKAP (PAKET II)</v>
          </cell>
          <cell r="C4027" t="str">
            <v>HD</v>
          </cell>
        </row>
        <row r="4028">
          <cell r="A4028" t="str">
            <v>HD SET BLJKT044</v>
          </cell>
          <cell r="B4028" t="str">
            <v>HEMODIALISA SET BPJS LENGKAP</v>
          </cell>
          <cell r="C4028" t="str">
            <v>HD</v>
          </cell>
        </row>
        <row r="4029">
          <cell r="A4029" t="str">
            <v>HD SET BLJKT044 B+AT</v>
          </cell>
          <cell r="B4029" t="str">
            <v>HEMODIALISA SET BPJS LENGKAP BL &amp; AT</v>
          </cell>
          <cell r="C4029" t="str">
            <v>HD</v>
          </cell>
        </row>
        <row r="4030">
          <cell r="A4030" t="str">
            <v>HD SET BLJKT044-FB</v>
          </cell>
          <cell r="B4030" t="str">
            <v>HEMODIALISA SET BPJS LENGKAP UNTUK ANAK</v>
          </cell>
          <cell r="C4030" t="str">
            <v>HD</v>
          </cell>
        </row>
        <row r="4031">
          <cell r="A4031" t="str">
            <v>HD SET BLJKT044-NAVF</v>
          </cell>
          <cell r="B4031" t="str">
            <v>HEMODIALISA SET BPJS LENGKAP</v>
          </cell>
          <cell r="C4031" t="str">
            <v>HD</v>
          </cell>
        </row>
        <row r="4032">
          <cell r="A4032" t="str">
            <v>HD SET BLJKT045</v>
          </cell>
          <cell r="B4032" t="str">
            <v>HEMODIALISA SET BPJS LENGKAP</v>
          </cell>
          <cell r="C4032" t="str">
            <v>HD</v>
          </cell>
        </row>
        <row r="4033">
          <cell r="A4033" t="str">
            <v>HD SET BLJKT045-ANAK</v>
          </cell>
          <cell r="B4033" t="str">
            <v>HEMODIALISA SET BPJS LENGKAP ANAK</v>
          </cell>
          <cell r="C4033" t="str">
            <v>HD</v>
          </cell>
        </row>
        <row r="4034">
          <cell r="A4034" t="str">
            <v>HD SET BLJKT045-NAT</v>
          </cell>
          <cell r="B4034" t="str">
            <v>HEMODIALISA SET BPJS LENGKAP NAT</v>
          </cell>
          <cell r="C4034" t="str">
            <v>HD</v>
          </cell>
        </row>
        <row r="4035">
          <cell r="A4035" t="str">
            <v>HD SET BLJKT045-NAVF</v>
          </cell>
          <cell r="B4035" t="str">
            <v>HEMODIALISA SET BPJS LENGKAP NAVF</v>
          </cell>
          <cell r="C4035" t="str">
            <v>HD</v>
          </cell>
        </row>
        <row r="4036">
          <cell r="A4036" t="str">
            <v>HD SET BLJKT047</v>
          </cell>
          <cell r="B4036" t="str">
            <v>HEMODIALISA SET BPJS LENGKAP</v>
          </cell>
          <cell r="C4036" t="str">
            <v>HD</v>
          </cell>
        </row>
        <row r="4037">
          <cell r="A4037" t="str">
            <v>HD SET BLJKT048</v>
          </cell>
          <cell r="B4037" t="str">
            <v>HEMODIALISA SET BPJS LENGKAP</v>
          </cell>
          <cell r="C4037" t="str">
            <v>HD</v>
          </cell>
        </row>
        <row r="4038">
          <cell r="A4038" t="str">
            <v>HD SET BLJKT048 B+AK</v>
          </cell>
          <cell r="B4038" t="str">
            <v>HEMODIALISA SET BPJS LENGKAP BL &amp; AK</v>
          </cell>
          <cell r="C4038" t="str">
            <v>HD</v>
          </cell>
        </row>
        <row r="4039">
          <cell r="A4039" t="str">
            <v>HD SET BLJKT048-NAT</v>
          </cell>
          <cell r="B4039" t="str">
            <v>HEMODIALISA SET BPJS LENGKAP NON AT</v>
          </cell>
          <cell r="C4039" t="str">
            <v>HD</v>
          </cell>
        </row>
        <row r="4040">
          <cell r="A4040" t="str">
            <v>HD SET BLJKT049</v>
          </cell>
          <cell r="B4040" t="str">
            <v>HEMODIALISA SET BPJS LENGKAP</v>
          </cell>
          <cell r="C4040" t="str">
            <v>HD</v>
          </cell>
        </row>
        <row r="4041">
          <cell r="A4041" t="str">
            <v>HD SET BLJKT049-AT</v>
          </cell>
          <cell r="B4041" t="str">
            <v>HEMODIALISA SET BPJS LENGKAP AT</v>
          </cell>
          <cell r="C4041" t="str">
            <v>HD</v>
          </cell>
        </row>
        <row r="4042">
          <cell r="A4042" t="str">
            <v>HD SET BLJKT049-NAK</v>
          </cell>
          <cell r="B4042" t="str">
            <v>HEMODIALISA SET BPJS LENGKAP (PAKET III)</v>
          </cell>
          <cell r="C4042" t="str">
            <v>HD</v>
          </cell>
        </row>
        <row r="4043">
          <cell r="A4043" t="str">
            <v>HD SET BLJKT049-NAVF</v>
          </cell>
          <cell r="B4043" t="str">
            <v>HEMODIALISA SET BPJS LENGKAP (PAKET I)</v>
          </cell>
          <cell r="C4043" t="str">
            <v>HD</v>
          </cell>
        </row>
        <row r="4044">
          <cell r="A4044" t="str">
            <v>HD SET BLJKT049NBLAV</v>
          </cell>
          <cell r="B4044" t="str">
            <v>HEMODIALISA SET BPJS LENGKAP NON BL, AK, &amp; AVF</v>
          </cell>
          <cell r="C4044" t="str">
            <v>HD</v>
          </cell>
        </row>
        <row r="4045">
          <cell r="A4045" t="str">
            <v>HD SET BLJKT050</v>
          </cell>
          <cell r="B4045" t="str">
            <v>HEMODIALISA SET BPJS LENGKAP</v>
          </cell>
          <cell r="C4045" t="str">
            <v>HD</v>
          </cell>
        </row>
        <row r="4046">
          <cell r="A4046" t="str">
            <v>HD SET BLJKT050-ANAK</v>
          </cell>
          <cell r="B4046" t="str">
            <v>HEMODIALISA SET BPJS LENGKAP ANAK</v>
          </cell>
          <cell r="C4046" t="str">
            <v>HD</v>
          </cell>
        </row>
        <row r="4047">
          <cell r="A4047" t="str">
            <v>HD SET BLJKT050-HDF</v>
          </cell>
          <cell r="B4047" t="str">
            <v>HEMODIALISA SET BPJS LENGKAP HDF</v>
          </cell>
          <cell r="C4047" t="str">
            <v>HD</v>
          </cell>
        </row>
        <row r="4048">
          <cell r="A4048" t="str">
            <v>HD SET BLJKT050-HDP</v>
          </cell>
          <cell r="B4048" t="str">
            <v>HEMODIALISA SET BPJS LENGKAP DENGAN HD PACK</v>
          </cell>
          <cell r="C4048" t="str">
            <v>HD</v>
          </cell>
        </row>
        <row r="4049">
          <cell r="A4049" t="str">
            <v>HD SET BLJKT050-NAVF</v>
          </cell>
          <cell r="B4049" t="str">
            <v>HEMODIALISA SET BPJS LENGKAP NON AVFISTULA</v>
          </cell>
          <cell r="C4049" t="str">
            <v>HD</v>
          </cell>
        </row>
        <row r="4050">
          <cell r="A4050" t="str">
            <v>HD SET BLJKT051</v>
          </cell>
          <cell r="B4050" t="str">
            <v>HEMODIALISA SET BPJS LENGKAP</v>
          </cell>
          <cell r="C4050" t="str">
            <v>HD</v>
          </cell>
        </row>
        <row r="4051">
          <cell r="A4051" t="str">
            <v>HD SET BLJKT052</v>
          </cell>
          <cell r="B4051" t="str">
            <v>HEMODIALISA SET BPJS LENGKAP</v>
          </cell>
          <cell r="C4051" t="str">
            <v>HD</v>
          </cell>
        </row>
        <row r="4052">
          <cell r="A4052" t="str">
            <v>HD SET BLJKT053</v>
          </cell>
          <cell r="B4052" t="str">
            <v>HEMODIALISA SET BPJS LENGKAP</v>
          </cell>
          <cell r="C4052" t="str">
            <v>HD</v>
          </cell>
        </row>
        <row r="4053">
          <cell r="A4053" t="str">
            <v>HD SET BLJKT053-NAV1</v>
          </cell>
          <cell r="B4053" t="str">
            <v>HEMODIALISA SET BPJS LENGKAP (PAKET I)</v>
          </cell>
          <cell r="C4053" t="str">
            <v>HD</v>
          </cell>
        </row>
        <row r="4054">
          <cell r="A4054" t="str">
            <v>HD SET BLJKT053-NAV2</v>
          </cell>
          <cell r="B4054" t="str">
            <v>HEMODIALISA SET BPJS LENGKAP (PAKET II)</v>
          </cell>
          <cell r="C4054" t="str">
            <v>HD</v>
          </cell>
        </row>
        <row r="4055">
          <cell r="A4055" t="str">
            <v>HD SET BLJKT053-NAVE</v>
          </cell>
          <cell r="B4055" t="str">
            <v>HEMODIALISA SET BPJS NON AV AT &amp; ELISIO</v>
          </cell>
          <cell r="C4055" t="str">
            <v>HD</v>
          </cell>
        </row>
        <row r="4056">
          <cell r="A4056" t="str">
            <v>HD SET BLJKT053-NAVF</v>
          </cell>
          <cell r="B4056" t="str">
            <v>HEMODIALISA SET BPJS LENGKAP NON AVFISTULA</v>
          </cell>
          <cell r="C4056" t="str">
            <v>HD</v>
          </cell>
        </row>
        <row r="4057">
          <cell r="A4057" t="str">
            <v>HD SET BLJKT054</v>
          </cell>
          <cell r="B4057" t="str">
            <v>HEMODIALISA SET BPJS LENGKAP</v>
          </cell>
          <cell r="C4057" t="str">
            <v>HD</v>
          </cell>
        </row>
        <row r="4058">
          <cell r="A4058" t="str">
            <v>HD SET BLJKT055</v>
          </cell>
          <cell r="B4058" t="str">
            <v>HEMODIALISA SET BPJS LENGKAP</v>
          </cell>
          <cell r="C4058" t="str">
            <v>HD</v>
          </cell>
        </row>
        <row r="4059">
          <cell r="A4059" t="str">
            <v>HD SET BLJKT055-NAV2</v>
          </cell>
          <cell r="B4059" t="str">
            <v>HEMODIALISA SET BPJS LENGKAP NON AVFISTULA</v>
          </cell>
          <cell r="C4059" t="str">
            <v>HD</v>
          </cell>
        </row>
        <row r="4060">
          <cell r="A4060" t="str">
            <v>HD SET BLJKT055-NAVF</v>
          </cell>
          <cell r="B4060" t="str">
            <v>HEMODIALISA SET BPJS LENGKAP NON AVFISTULA</v>
          </cell>
          <cell r="C4060" t="str">
            <v>HD</v>
          </cell>
        </row>
        <row r="4061">
          <cell r="A4061" t="str">
            <v>HD SET BLJKT056</v>
          </cell>
          <cell r="B4061" t="str">
            <v>HEMODIALISA SET BPJS LENGKAP</v>
          </cell>
          <cell r="C4061" t="str">
            <v>HD</v>
          </cell>
        </row>
        <row r="4062">
          <cell r="A4062" t="str">
            <v>HD SET BLJKT056-NAVF</v>
          </cell>
          <cell r="B4062" t="str">
            <v>HEMODIALISA SET BPJS LENGKAP</v>
          </cell>
          <cell r="C4062" t="str">
            <v>HD</v>
          </cell>
        </row>
        <row r="4063">
          <cell r="A4063" t="str">
            <v>HD SET BLJKT057</v>
          </cell>
          <cell r="B4063" t="str">
            <v>HEMODIALISA SET BPJS LENGKAP</v>
          </cell>
          <cell r="C4063" t="str">
            <v>HD</v>
          </cell>
        </row>
        <row r="4064">
          <cell r="A4064" t="str">
            <v>HD SET BLJKT057 HDF</v>
          </cell>
          <cell r="B4064" t="str">
            <v>HEMODIALISA SET BPJS LENGKAP HDF ONLINE</v>
          </cell>
          <cell r="C4064" t="str">
            <v>HD</v>
          </cell>
        </row>
        <row r="4065">
          <cell r="A4065" t="str">
            <v>HD SET BLJKT057-NAVF</v>
          </cell>
          <cell r="B4065" t="str">
            <v>HEMODIALISA SET BPJS LENGKAP NON AVFISTULA</v>
          </cell>
          <cell r="C4065" t="str">
            <v>HD</v>
          </cell>
        </row>
        <row r="4066">
          <cell r="A4066" t="str">
            <v>HD SET BLJKT058</v>
          </cell>
          <cell r="B4066" t="str">
            <v>HEMODIALISA SET BPJS LENGKAP</v>
          </cell>
          <cell r="C4066" t="str">
            <v>HD</v>
          </cell>
        </row>
        <row r="4067">
          <cell r="A4067" t="str">
            <v>HD SET BLJKT059</v>
          </cell>
          <cell r="B4067" t="str">
            <v>HEMODIALISA SET BPJS LENGKAP</v>
          </cell>
          <cell r="C4067" t="str">
            <v>HD</v>
          </cell>
        </row>
        <row r="4068">
          <cell r="A4068" t="str">
            <v>HD SET BLJKT059 ANAK</v>
          </cell>
          <cell r="B4068" t="str">
            <v>HD SET BPJS LENGKAP ANAK</v>
          </cell>
          <cell r="C4068" t="str">
            <v>HD</v>
          </cell>
        </row>
        <row r="4069">
          <cell r="A4069" t="str">
            <v>HD SET BLJKT059-NAK</v>
          </cell>
          <cell r="B4069" t="str">
            <v>HEMODIALISA SET BPJS LENGKAP NON AK</v>
          </cell>
          <cell r="C4069" t="str">
            <v>HD</v>
          </cell>
        </row>
        <row r="4070">
          <cell r="A4070" t="str">
            <v>HD SET BLJKT059-NAT</v>
          </cell>
          <cell r="B4070" t="str">
            <v>HEMODIALISA SET BPJS LENGKAP NON AT</v>
          </cell>
          <cell r="C4070" t="str">
            <v>HD</v>
          </cell>
        </row>
        <row r="4071">
          <cell r="A4071" t="str">
            <v>HD SET BLJKT059NATAK</v>
          </cell>
          <cell r="B4071" t="str">
            <v>HEMODIALISA SET BPJS LENGKAP NON AT &amp; AK</v>
          </cell>
          <cell r="C4071" t="str">
            <v>HD</v>
          </cell>
        </row>
        <row r="4072">
          <cell r="A4072" t="str">
            <v>HD SET BLJKT059-NAVF</v>
          </cell>
          <cell r="B4072" t="str">
            <v>HEMODIALISA SET BPJS LENGKAP NON AVFISTULA</v>
          </cell>
          <cell r="C4072" t="str">
            <v>HD</v>
          </cell>
        </row>
        <row r="4073">
          <cell r="A4073" t="str">
            <v>HD SET BLJKT060</v>
          </cell>
          <cell r="B4073" t="str">
            <v>HEMODIALISA SET BPJS LENGKAP</v>
          </cell>
          <cell r="C4073" t="str">
            <v>HD</v>
          </cell>
        </row>
        <row r="4074">
          <cell r="A4074" t="str">
            <v>HD SET BLJKT060-NAV1</v>
          </cell>
          <cell r="B4074" t="str">
            <v>HEMODIALISA SET BPJS LENGKAP (PAKET II)</v>
          </cell>
          <cell r="C4074" t="str">
            <v>HD</v>
          </cell>
        </row>
        <row r="4075">
          <cell r="A4075" t="str">
            <v>HD SET BLJKT060-NAV2</v>
          </cell>
          <cell r="B4075" t="str">
            <v>HEMODIALISA SET BPJS LENGKAP (PAKET III)</v>
          </cell>
          <cell r="C4075" t="str">
            <v>HD</v>
          </cell>
        </row>
        <row r="4076">
          <cell r="A4076" t="str">
            <v>HD SET BLJKT060-NAVF</v>
          </cell>
          <cell r="B4076" t="str">
            <v>HEMODIALISA SET BPJS LENGKAP</v>
          </cell>
          <cell r="C4076" t="str">
            <v>HD</v>
          </cell>
        </row>
        <row r="4077">
          <cell r="A4077" t="str">
            <v>HD SET BLJKT061</v>
          </cell>
          <cell r="B4077" t="str">
            <v>HEMODIALISA SET BPJS LENGKAP</v>
          </cell>
          <cell r="C4077" t="str">
            <v>HD</v>
          </cell>
        </row>
        <row r="4078">
          <cell r="A4078" t="str">
            <v>HD SET BLJKT062</v>
          </cell>
          <cell r="B4078" t="str">
            <v>HEMODIALISA SET BPJS LENGKAP</v>
          </cell>
          <cell r="C4078" t="str">
            <v>HD</v>
          </cell>
        </row>
        <row r="4079">
          <cell r="A4079" t="str">
            <v>HD SET BLJKT062-NAVF</v>
          </cell>
          <cell r="B4079" t="str">
            <v>HEMODIALISA SET BPJS LENGKAP NON AVFISTULA</v>
          </cell>
          <cell r="C4079" t="str">
            <v>HD</v>
          </cell>
        </row>
        <row r="4080">
          <cell r="A4080" t="str">
            <v>HD SET BLJKT063</v>
          </cell>
          <cell r="B4080" t="str">
            <v>HEMODIALISA SET BPJS LENGKAP</v>
          </cell>
          <cell r="C4080" t="str">
            <v>HD</v>
          </cell>
        </row>
        <row r="4081">
          <cell r="A4081" t="str">
            <v>HD SET BLJKT063-ELAT</v>
          </cell>
          <cell r="B4081" t="str">
            <v>HEMODIALISA SET BPJS LENGKAP ELISIO + AT</v>
          </cell>
          <cell r="C4081" t="str">
            <v>HD</v>
          </cell>
        </row>
        <row r="4082">
          <cell r="A4082" t="str">
            <v>HD SET BLJKT064</v>
          </cell>
          <cell r="B4082" t="str">
            <v>HEMODIALISA SET BPJS LENGKAP</v>
          </cell>
          <cell r="C4082" t="str">
            <v>HD</v>
          </cell>
        </row>
        <row r="4083">
          <cell r="A4083" t="str">
            <v>HD SET BLJKT065</v>
          </cell>
          <cell r="B4083" t="str">
            <v>HEMODIALISA SET BPJS LENGKAP</v>
          </cell>
          <cell r="C4083" t="str">
            <v>HD</v>
          </cell>
        </row>
        <row r="4084">
          <cell r="A4084" t="str">
            <v>HD SET BLJKT065-BTS</v>
          </cell>
          <cell r="B4084" t="str">
            <v>HEMODIALISA SET BPJS NON AV FISTULA &amp; AK</v>
          </cell>
          <cell r="C4084" t="str">
            <v>HD</v>
          </cell>
        </row>
        <row r="4085">
          <cell r="A4085" t="str">
            <v>HD SET BLJKT065-NAK</v>
          </cell>
          <cell r="B4085" t="str">
            <v>HEMODIALISA SET BPJS LENGKAP</v>
          </cell>
          <cell r="C4085" t="str">
            <v>HD</v>
          </cell>
        </row>
        <row r="4086">
          <cell r="A4086" t="str">
            <v>HD SET BLJKT065NAVAK</v>
          </cell>
          <cell r="B4086" t="str">
            <v>HEMODIALISA SET BPJS LENGKAP NON AV FISTULA &amp; AK</v>
          </cell>
          <cell r="C4086" t="str">
            <v>HD</v>
          </cell>
        </row>
        <row r="4087">
          <cell r="A4087" t="str">
            <v>HD SET BLJKT065-NAVF</v>
          </cell>
          <cell r="B4087" t="str">
            <v>HEMODIALISA SET BPJS LENGKAP NON AVFISTULA</v>
          </cell>
          <cell r="C4087" t="str">
            <v>HD</v>
          </cell>
        </row>
        <row r="4088">
          <cell r="A4088" t="str">
            <v>HD SET BLJKT066</v>
          </cell>
          <cell r="B4088" t="str">
            <v>HEMODIALISA SET BPJS LENGKAP</v>
          </cell>
          <cell r="C4088" t="str">
            <v>HD</v>
          </cell>
        </row>
        <row r="4089">
          <cell r="A4089" t="str">
            <v>HD SET BLJKT067</v>
          </cell>
          <cell r="B4089" t="str">
            <v>HEMODIALISA SET BPJS LENGKAP</v>
          </cell>
          <cell r="C4089" t="str">
            <v>HD</v>
          </cell>
        </row>
        <row r="4090">
          <cell r="A4090" t="str">
            <v>HD SET BLJKT068</v>
          </cell>
          <cell r="B4090" t="str">
            <v>HEMODIALISA SET BPJS LENGKAP</v>
          </cell>
          <cell r="C4090" t="str">
            <v>HD</v>
          </cell>
        </row>
        <row r="4091">
          <cell r="A4091" t="str">
            <v>HD SET BLJKT069</v>
          </cell>
          <cell r="B4091" t="str">
            <v>HEMODIALISA SET BPJS LENGKAP</v>
          </cell>
          <cell r="C4091" t="str">
            <v>HD</v>
          </cell>
        </row>
        <row r="4092">
          <cell r="A4092" t="str">
            <v>HD SET BLJKT069-ELBS</v>
          </cell>
          <cell r="B4092" t="str">
            <v>HEMODIALISA SET BPJS LENGKAP NON AVF AK AT</v>
          </cell>
          <cell r="C4092" t="str">
            <v>HD</v>
          </cell>
        </row>
        <row r="4093">
          <cell r="A4093" t="str">
            <v>HD SET BLJKT069-NAVF</v>
          </cell>
          <cell r="B4093" t="str">
            <v>HEMODIALISA SET BPJS LENGKAP NON AVFISTULA</v>
          </cell>
          <cell r="C4093" t="str">
            <v>HD</v>
          </cell>
        </row>
        <row r="4094">
          <cell r="A4094" t="str">
            <v>HD SET BLJKT070</v>
          </cell>
          <cell r="B4094" t="str">
            <v>HEMODIALISA SET BPJS LENGKAP</v>
          </cell>
          <cell r="C4094" t="str">
            <v>HD</v>
          </cell>
        </row>
        <row r="4095">
          <cell r="A4095" t="str">
            <v>HD SET BLJKT070-NAVF</v>
          </cell>
          <cell r="B4095" t="str">
            <v>HEMODIALISA SET BPJS LENGKAP NON AVFISTULA</v>
          </cell>
          <cell r="C4095" t="str">
            <v>HD</v>
          </cell>
        </row>
        <row r="4096">
          <cell r="A4096" t="str">
            <v>HD SET BLJKT071</v>
          </cell>
          <cell r="B4096" t="str">
            <v>HEMODIALISA SET BPJS LENGKAP</v>
          </cell>
          <cell r="C4096" t="str">
            <v>HD</v>
          </cell>
        </row>
        <row r="4097">
          <cell r="A4097" t="str">
            <v>HD SET BLJKT072</v>
          </cell>
          <cell r="B4097" t="str">
            <v>HEMODIALISA SET BPJS LENGKAP</v>
          </cell>
          <cell r="C4097" t="str">
            <v>HD</v>
          </cell>
        </row>
        <row r="4098">
          <cell r="A4098" t="str">
            <v>HD SET BLJKT073-NAVF</v>
          </cell>
          <cell r="B4098" t="str">
            <v>HEMODIALISA SET BPJS LENGKAP</v>
          </cell>
          <cell r="C4098" t="str">
            <v>HD</v>
          </cell>
        </row>
        <row r="4099">
          <cell r="A4099" t="str">
            <v>HD SET BLJKT074</v>
          </cell>
          <cell r="B4099" t="str">
            <v>HEMODIALISA SET BPJS LENGKAP (A)</v>
          </cell>
          <cell r="C4099" t="str">
            <v>HD</v>
          </cell>
        </row>
        <row r="4100">
          <cell r="A4100" t="str">
            <v>HD SET BLJKT074-NAV</v>
          </cell>
          <cell r="B4100" t="str">
            <v>HEMODIALISA SET BPJS LENGKAP</v>
          </cell>
          <cell r="C4100" t="str">
            <v>HD</v>
          </cell>
        </row>
        <row r="4101">
          <cell r="A4101" t="str">
            <v>HD SET BLJKT074-NAVF</v>
          </cell>
          <cell r="B4101" t="str">
            <v>HEMODIALISA SET BPJS LENGKAP</v>
          </cell>
          <cell r="C4101" t="str">
            <v>HD</v>
          </cell>
        </row>
        <row r="4102">
          <cell r="A4102" t="str">
            <v>HD SET BLJKT075</v>
          </cell>
          <cell r="B4102" t="str">
            <v>HEMODIALISA SET BPJS LENGKAP</v>
          </cell>
          <cell r="C4102" t="str">
            <v>HD</v>
          </cell>
        </row>
        <row r="4103">
          <cell r="A4103" t="str">
            <v>HD SET BLJKT075-NAV</v>
          </cell>
          <cell r="B4103" t="str">
            <v>HEMODIALISA SET BPJS LENGKAP</v>
          </cell>
          <cell r="C4103" t="str">
            <v>HD</v>
          </cell>
        </row>
        <row r="4104">
          <cell r="A4104" t="str">
            <v>HD SET BLJKT075-NAVF</v>
          </cell>
          <cell r="B4104" t="str">
            <v>HEMODIALISA SET BPJS LENGKAP NON AVFISTULA</v>
          </cell>
          <cell r="C4104" t="str">
            <v>HD</v>
          </cell>
        </row>
        <row r="4105">
          <cell r="A4105" t="str">
            <v>HD SET BLJKT075NEVAK</v>
          </cell>
          <cell r="B4105" t="str">
            <v>HEMODIALISA SET BPJS LENGKAP BL + AT/POWDER</v>
          </cell>
          <cell r="C4105" t="str">
            <v>HD</v>
          </cell>
        </row>
        <row r="4106">
          <cell r="A4106" t="str">
            <v>HD SET BLJKT076</v>
          </cell>
          <cell r="B4106" t="str">
            <v>HEMODIALISA SET BPJS LENGKAP</v>
          </cell>
          <cell r="C4106" t="str">
            <v>HD</v>
          </cell>
        </row>
        <row r="4107">
          <cell r="A4107" t="str">
            <v>HD SET BLJKT076-NAV</v>
          </cell>
          <cell r="B4107" t="str">
            <v>HEMODIALISA SET BPJS LENGKAP</v>
          </cell>
          <cell r="C4107" t="str">
            <v>HD</v>
          </cell>
        </row>
        <row r="4108">
          <cell r="A4108" t="str">
            <v>HD SET BLJKT077</v>
          </cell>
          <cell r="B4108" t="str">
            <v>HEMODIALISA SET BPJS LENGKAP</v>
          </cell>
          <cell r="C4108" t="str">
            <v>HD</v>
          </cell>
        </row>
        <row r="4109">
          <cell r="A4109" t="str">
            <v>HD SET BLJKT078</v>
          </cell>
          <cell r="B4109" t="str">
            <v>HEMODIALISA SET BPJS LENGKAP</v>
          </cell>
          <cell r="C4109" t="str">
            <v>HD</v>
          </cell>
        </row>
        <row r="4110">
          <cell r="A4110" t="str">
            <v>HD SET BLJKT078-NAV</v>
          </cell>
          <cell r="B4110" t="str">
            <v>HEMODIALISA SET BPJS LENGKAP</v>
          </cell>
          <cell r="C4110" t="str">
            <v>HD</v>
          </cell>
        </row>
        <row r="4111">
          <cell r="A4111" t="str">
            <v>HD SET BLJKT078-NAVF</v>
          </cell>
          <cell r="B4111" t="str">
            <v>HEMODIALISA SET BPJS LENGKAP</v>
          </cell>
          <cell r="C4111" t="str">
            <v>HD</v>
          </cell>
        </row>
        <row r="4112">
          <cell r="A4112" t="str">
            <v>HD SET BLJKT079</v>
          </cell>
          <cell r="B4112" t="str">
            <v>HEMODIALISA SET BPJS LENGKAP</v>
          </cell>
          <cell r="C4112" t="str">
            <v>HD</v>
          </cell>
        </row>
        <row r="4113">
          <cell r="A4113" t="str">
            <v>HD SET BLJKT079-NAV</v>
          </cell>
          <cell r="B4113" t="str">
            <v>HEMODIALISA SET BPJS LENGKAP</v>
          </cell>
          <cell r="C4113" t="str">
            <v>HD</v>
          </cell>
        </row>
        <row r="4114">
          <cell r="A4114" t="str">
            <v>HD SET BLJKT079-NAVF</v>
          </cell>
          <cell r="B4114" t="str">
            <v>HEMODIALISA SET BPJS LENGKAP</v>
          </cell>
          <cell r="C4114" t="str">
            <v>HD</v>
          </cell>
        </row>
        <row r="4115">
          <cell r="A4115" t="str">
            <v>HD SET BLJKT080</v>
          </cell>
          <cell r="B4115" t="str">
            <v>HEMODIALISA SET BPJS LENGKAP</v>
          </cell>
          <cell r="C4115" t="str">
            <v>HD</v>
          </cell>
        </row>
        <row r="4116">
          <cell r="A4116" t="str">
            <v>HD SET BLJKT080-NAVF</v>
          </cell>
          <cell r="B4116" t="str">
            <v>HEMODIALISA SET BPJS LENGKAP</v>
          </cell>
          <cell r="C4116" t="str">
            <v>HD</v>
          </cell>
        </row>
        <row r="4117">
          <cell r="A4117" t="str">
            <v>HD SET BLJKT081</v>
          </cell>
          <cell r="B4117" t="str">
            <v>HEMODIALISA SET BPJS LENGKAP</v>
          </cell>
          <cell r="C4117" t="str">
            <v>HD</v>
          </cell>
        </row>
        <row r="4118">
          <cell r="A4118" t="str">
            <v>HD SET BLJKT081-NAV</v>
          </cell>
          <cell r="B4118" t="str">
            <v>HEMODIALISA SET BPJS LENGKAP NON AVFISTULA</v>
          </cell>
          <cell r="C4118" t="str">
            <v>HD</v>
          </cell>
        </row>
        <row r="4119">
          <cell r="A4119" t="str">
            <v>HD SET BLJKT081-NAVF</v>
          </cell>
          <cell r="B4119" t="str">
            <v>HEMODIALISA SET BPJS LENGKAP NON AVFISTULA</v>
          </cell>
          <cell r="C4119" t="str">
            <v>HD</v>
          </cell>
        </row>
        <row r="4120">
          <cell r="A4120" t="str">
            <v>HD SET BLJKT082</v>
          </cell>
          <cell r="B4120" t="str">
            <v>HEMODIALISA SET BPJS LENGKAP</v>
          </cell>
          <cell r="C4120" t="str">
            <v>HD</v>
          </cell>
        </row>
        <row r="4121">
          <cell r="A4121" t="str">
            <v>HD SET BLJKT082-NAK</v>
          </cell>
          <cell r="B4121" t="str">
            <v>HEMODIALISA SET BPJS LENGKAP NON AK</v>
          </cell>
          <cell r="C4121" t="str">
            <v>HD</v>
          </cell>
        </row>
        <row r="4122">
          <cell r="A4122" t="str">
            <v>HD SET BLJKT082-NAVF</v>
          </cell>
          <cell r="B4122" t="str">
            <v>HEMODIALISA SET BPJS LENGKAP (PAKET C)</v>
          </cell>
          <cell r="C4122" t="str">
            <v>HD</v>
          </cell>
        </row>
        <row r="4123">
          <cell r="A4123" t="str">
            <v>HD SET BLJKT083</v>
          </cell>
          <cell r="B4123" t="str">
            <v>HEMODIALISA SET BPJS LENGKAP</v>
          </cell>
          <cell r="C4123" t="str">
            <v>HD</v>
          </cell>
        </row>
        <row r="4124">
          <cell r="A4124" t="str">
            <v>HD SET BLJKT083-HDF</v>
          </cell>
          <cell r="B4124" t="str">
            <v>HEMODIALISA SET BPJS LENGKAP</v>
          </cell>
          <cell r="C4124" t="str">
            <v>HD</v>
          </cell>
        </row>
        <row r="4125">
          <cell r="A4125" t="str">
            <v>HD SET BLJKT083-HDF2</v>
          </cell>
          <cell r="B4125" t="str">
            <v>HEMODIALISA SET BPJS LENGKAP NON AT</v>
          </cell>
          <cell r="C4125" t="str">
            <v>HD</v>
          </cell>
        </row>
        <row r="4126">
          <cell r="A4126" t="str">
            <v>HD SET BLJKT083-NAVF</v>
          </cell>
          <cell r="B4126" t="str">
            <v>HEMODIALISA SET BPJS LENGKAP NON AVFISTULA</v>
          </cell>
          <cell r="C4126" t="str">
            <v>HD</v>
          </cell>
        </row>
        <row r="4127">
          <cell r="A4127" t="str">
            <v>HD SET BLJKT084</v>
          </cell>
          <cell r="B4127" t="str">
            <v>HEMODIALISA SET BPJS LENGKAP</v>
          </cell>
          <cell r="C4127" t="str">
            <v>HD</v>
          </cell>
        </row>
        <row r="4128">
          <cell r="A4128" t="str">
            <v>HD SET BLJKT084 NAK</v>
          </cell>
          <cell r="B4128" t="str">
            <v>HEMODIALISA SET BPJS LENGKAP NON AK</v>
          </cell>
          <cell r="C4128" t="str">
            <v>HD</v>
          </cell>
        </row>
        <row r="4129">
          <cell r="A4129" t="str">
            <v>HD SET BLJKT084 NAVF</v>
          </cell>
          <cell r="B4129" t="str">
            <v>HEMODIALISA SET BPJS LENGKAP NON AVFISTULA</v>
          </cell>
          <cell r="C4129" t="str">
            <v>HD</v>
          </cell>
        </row>
        <row r="4130">
          <cell r="A4130" t="str">
            <v>HD SET BLJKT084NAVAK</v>
          </cell>
          <cell r="B4130" t="str">
            <v>HEMODIALISA SET BPJS LENGKAP NON AVFISTULA &amp; AK</v>
          </cell>
          <cell r="C4130" t="str">
            <v>HD</v>
          </cell>
        </row>
        <row r="4131">
          <cell r="A4131" t="str">
            <v>HD SET BLJKT085</v>
          </cell>
          <cell r="B4131" t="str">
            <v>HEMODIALISA SET BPJS LENGKAP</v>
          </cell>
          <cell r="C4131" t="str">
            <v>HD</v>
          </cell>
        </row>
        <row r="4132">
          <cell r="A4132" t="str">
            <v>HD SET BLJKT085 B+AT</v>
          </cell>
          <cell r="B4132" t="str">
            <v>HEMODIALISA SET BPJS LENGKAP BL &amp; AT</v>
          </cell>
          <cell r="C4132" t="str">
            <v>HD</v>
          </cell>
        </row>
        <row r="4133">
          <cell r="A4133" t="str">
            <v>HD SET BLJKT085 NAK</v>
          </cell>
          <cell r="B4133" t="str">
            <v>HEMODIALISA SET BPJS LENGKAP</v>
          </cell>
          <cell r="C4133" t="str">
            <v>HD</v>
          </cell>
        </row>
        <row r="4134">
          <cell r="A4134" t="str">
            <v>HD SET BLJKT085-ANAK</v>
          </cell>
          <cell r="B4134" t="str">
            <v>HEMODIALISA SET BPJS LENGKAP ANAK</v>
          </cell>
          <cell r="C4134" t="str">
            <v>HD</v>
          </cell>
        </row>
        <row r="4135">
          <cell r="A4135" t="str">
            <v>HD SET BLJKT085-NAVF</v>
          </cell>
          <cell r="B4135" t="str">
            <v>HEMODIALISA SET BPJS LENGKAP NON AVFISTULA</v>
          </cell>
          <cell r="C4135" t="str">
            <v>HD</v>
          </cell>
        </row>
        <row r="4136">
          <cell r="A4136" t="str">
            <v>HD SET BLJKT086</v>
          </cell>
          <cell r="B4136" t="str">
            <v>HEMODIALISA SET BPJS LENGKAP</v>
          </cell>
          <cell r="C4136" t="str">
            <v>HD</v>
          </cell>
        </row>
        <row r="4137">
          <cell r="A4137" t="str">
            <v>HD SET BLJKT086 NAT</v>
          </cell>
          <cell r="B4137" t="str">
            <v>HEMODIALISA SET BPJS LENGKAP</v>
          </cell>
          <cell r="C4137" t="str">
            <v>HD</v>
          </cell>
        </row>
        <row r="4138">
          <cell r="A4138" t="str">
            <v>HD SET BLJKT087</v>
          </cell>
          <cell r="B4138" t="str">
            <v>HEMODIALISA SET BPJS LENGKAP</v>
          </cell>
          <cell r="C4138" t="str">
            <v>HD</v>
          </cell>
        </row>
        <row r="4139">
          <cell r="A4139" t="str">
            <v>HD SET BLJKT087 NAVF</v>
          </cell>
          <cell r="B4139" t="str">
            <v>HEMODIALISA SET BPJS LENGKAP</v>
          </cell>
          <cell r="C4139" t="str">
            <v>HD</v>
          </cell>
        </row>
        <row r="4140">
          <cell r="A4140" t="str">
            <v>HD SET BLJKT087-NAV</v>
          </cell>
          <cell r="B4140" t="str">
            <v>HEMODIALISA SET BPJS LENGKAP</v>
          </cell>
          <cell r="C4140" t="str">
            <v>HD</v>
          </cell>
        </row>
        <row r="4141">
          <cell r="A4141" t="str">
            <v>HD SET BLJKT088</v>
          </cell>
          <cell r="B4141" t="str">
            <v>HEMODIALISA SET BPJS LENGKAP</v>
          </cell>
          <cell r="C4141" t="str">
            <v>HD</v>
          </cell>
        </row>
        <row r="4142">
          <cell r="A4142" t="str">
            <v>HD SET BLJKT088-NAVF</v>
          </cell>
          <cell r="B4142" t="str">
            <v>HEMODIALISA SET BPJS LENGKAP NON AVFISTULA</v>
          </cell>
          <cell r="C4142" t="str">
            <v>HD</v>
          </cell>
        </row>
        <row r="4143">
          <cell r="A4143" t="str">
            <v>HD SET BLJKT089</v>
          </cell>
          <cell r="B4143" t="str">
            <v>HEMODIALISA SET BPJS LENGKAP</v>
          </cell>
          <cell r="C4143" t="str">
            <v>HD</v>
          </cell>
        </row>
        <row r="4144">
          <cell r="A4144" t="str">
            <v>HD SET BLJKT089 NAVF</v>
          </cell>
          <cell r="B4144" t="str">
            <v>HEMODIALISA SET BPJS LENGKAP NON AV FISTULA</v>
          </cell>
          <cell r="C4144" t="str">
            <v>HD</v>
          </cell>
        </row>
        <row r="4145">
          <cell r="A4145" t="str">
            <v>HD SET BLJKT090 NAVF</v>
          </cell>
          <cell r="B4145" t="str">
            <v>HEMODIALISA SET BPJS LENGKAP</v>
          </cell>
          <cell r="C4145" t="str">
            <v>HD</v>
          </cell>
        </row>
        <row r="4146">
          <cell r="A4146" t="str">
            <v>HD SET BLJKT090-NAV</v>
          </cell>
          <cell r="B4146" t="str">
            <v>HEMODIALISA SET BPJS LENGKAP</v>
          </cell>
          <cell r="C4146" t="str">
            <v>HD</v>
          </cell>
        </row>
        <row r="4147">
          <cell r="A4147" t="str">
            <v>HD SET BLJKT091 NAVF</v>
          </cell>
          <cell r="B4147" t="str">
            <v>HEMODIALISA SET BPJS LENGKAP</v>
          </cell>
          <cell r="C4147" t="str">
            <v>HD</v>
          </cell>
        </row>
        <row r="4148">
          <cell r="A4148" t="str">
            <v>HD SET BLJKT091-NAV</v>
          </cell>
          <cell r="B4148" t="str">
            <v>HEMODIALISA SET BPJS LENGKAP</v>
          </cell>
          <cell r="C4148" t="str">
            <v>HD</v>
          </cell>
        </row>
        <row r="4149">
          <cell r="A4149" t="str">
            <v>HD SET BLJKT092</v>
          </cell>
          <cell r="B4149" t="str">
            <v>HEMODIALISA SET BPJS LENGKAP</v>
          </cell>
          <cell r="C4149" t="str">
            <v>HD</v>
          </cell>
        </row>
        <row r="4150">
          <cell r="A4150" t="str">
            <v>HD SET BLJKT092-NAVF</v>
          </cell>
          <cell r="B4150" t="str">
            <v>HEMODIALISA SET BPJS LENGKAP NON AVFISTULA</v>
          </cell>
          <cell r="C4150" t="str">
            <v>HD</v>
          </cell>
        </row>
        <row r="4151">
          <cell r="A4151" t="str">
            <v>HD SET BLJKT093</v>
          </cell>
          <cell r="B4151" t="str">
            <v>HEMODIALISA SET BPJS LENGKAP</v>
          </cell>
          <cell r="C4151" t="str">
            <v>HD</v>
          </cell>
        </row>
        <row r="4152">
          <cell r="A4152" t="str">
            <v>HD SET BLJKT093-1</v>
          </cell>
          <cell r="B4152" t="str">
            <v>HEMODIALISA SET BPJS LENGKAP + HD PACK</v>
          </cell>
          <cell r="C4152" t="str">
            <v>HD</v>
          </cell>
        </row>
        <row r="4153">
          <cell r="A4153" t="str">
            <v>HD SET BLJKT093-NAV1</v>
          </cell>
          <cell r="B4153" t="str">
            <v>HEMODIALISA SET BPJS LENGKAP NON AVFISTULA 1</v>
          </cell>
          <cell r="C4153" t="str">
            <v>HD</v>
          </cell>
        </row>
        <row r="4154">
          <cell r="A4154" t="str">
            <v>HD SET BLJKT093-NAVF</v>
          </cell>
          <cell r="B4154" t="str">
            <v>HEMODIALISA SET BPJS LENGKAP NON AVFISTULA</v>
          </cell>
          <cell r="C4154" t="str">
            <v>HD</v>
          </cell>
        </row>
        <row r="4155">
          <cell r="A4155" t="str">
            <v>HD SET BLJKT094</v>
          </cell>
          <cell r="B4155" t="str">
            <v>HEMODIALISA SET BPJS LENGKAP</v>
          </cell>
          <cell r="C4155" t="str">
            <v>HD</v>
          </cell>
        </row>
        <row r="4156">
          <cell r="A4156" t="str">
            <v>HD SET BLJKT094 B+AT</v>
          </cell>
          <cell r="B4156" t="str">
            <v>HEMODIALISA SET BPJS LENGKAP BL &amp; AT</v>
          </cell>
          <cell r="C4156" t="str">
            <v>HD</v>
          </cell>
        </row>
        <row r="4157">
          <cell r="A4157" t="str">
            <v>HD SET BLJKT094 NAK</v>
          </cell>
          <cell r="B4157" t="str">
            <v>HEMODIALISA SET BPJS LENGKAP</v>
          </cell>
          <cell r="C4157" t="str">
            <v>HD</v>
          </cell>
        </row>
        <row r="4158">
          <cell r="A4158" t="str">
            <v>HD SET BLJKT095</v>
          </cell>
          <cell r="B4158" t="str">
            <v>HEMODIALISA SET BPJS LENGKAP</v>
          </cell>
          <cell r="C4158" t="str">
            <v>HD</v>
          </cell>
        </row>
        <row r="4159">
          <cell r="A4159" t="str">
            <v>HD SET BLJKT095-NAVF</v>
          </cell>
          <cell r="B4159" t="str">
            <v>HEMODIALISA SET BPJS LENGKAP NON AVFISTULA</v>
          </cell>
          <cell r="C4159" t="str">
            <v>HD</v>
          </cell>
        </row>
        <row r="4160">
          <cell r="A4160" t="str">
            <v>HD SET BLJKT096</v>
          </cell>
          <cell r="B4160" t="str">
            <v>HEMODIALISA SET BPJS LENGKAP</v>
          </cell>
          <cell r="C4160" t="str">
            <v>HD</v>
          </cell>
        </row>
        <row r="4161">
          <cell r="A4161" t="str">
            <v>HD SET BLJKT096-NAVF</v>
          </cell>
          <cell r="B4161" t="str">
            <v>HEMODIALISA SET BPJS LENGKAP NON AVFISTULA</v>
          </cell>
          <cell r="C4161" t="str">
            <v>HD</v>
          </cell>
        </row>
        <row r="4162">
          <cell r="A4162" t="str">
            <v>HD SET BLJKT097</v>
          </cell>
          <cell r="B4162" t="str">
            <v>HEMODIALISA SET BPJS LENGKAP</v>
          </cell>
          <cell r="C4162" t="str">
            <v>HD</v>
          </cell>
        </row>
        <row r="4163">
          <cell r="A4163" t="str">
            <v>HD SET BLJKT098-ANAK</v>
          </cell>
          <cell r="B4163" t="str">
            <v>HEMODIALISA SET BPJS LENGKAP ANAK NON AVF</v>
          </cell>
          <cell r="C4163" t="str">
            <v>HD</v>
          </cell>
        </row>
        <row r="4164">
          <cell r="A4164" t="str">
            <v>HD SET BLJKT098-NAV</v>
          </cell>
          <cell r="B4164" t="str">
            <v>HEMODIALISA SET BPJS LENGKAP</v>
          </cell>
          <cell r="C4164" t="str">
            <v>HD</v>
          </cell>
        </row>
        <row r="4165">
          <cell r="A4165" t="str">
            <v>HD SET BLJKT099</v>
          </cell>
          <cell r="B4165" t="str">
            <v>HEMODIALISA SET BPJS LENGKAP</v>
          </cell>
          <cell r="C4165" t="str">
            <v>HD</v>
          </cell>
        </row>
        <row r="4166">
          <cell r="A4166" t="str">
            <v>HD SET BLJKT099BT+AT</v>
          </cell>
          <cell r="B4166" t="str">
            <v>HEMODIALISA SET BPJS BLOOD TUBING DAN AT10</v>
          </cell>
          <cell r="C4166" t="str">
            <v>HD</v>
          </cell>
        </row>
        <row r="4167">
          <cell r="A4167" t="str">
            <v>HD SET BLJKT099-NAK</v>
          </cell>
          <cell r="B4167" t="str">
            <v>HEMODIALISA SET BPJS LENGKAP NON AK</v>
          </cell>
          <cell r="C4167" t="str">
            <v>HD</v>
          </cell>
        </row>
        <row r="4168">
          <cell r="A4168" t="str">
            <v>HD SET BLJKT099-NAV</v>
          </cell>
          <cell r="B4168" t="str">
            <v>HEMODIALISA SET BPJS LENGKAP</v>
          </cell>
          <cell r="C4168" t="str">
            <v>HD</v>
          </cell>
        </row>
        <row r="4169">
          <cell r="A4169" t="str">
            <v>HD SET BLJKT099-NEAK</v>
          </cell>
          <cell r="B4169" t="str">
            <v>HEMODIALISA SET BPJS LENGKAP NON ELISIO &amp; AK</v>
          </cell>
          <cell r="C4169" t="str">
            <v>HD</v>
          </cell>
        </row>
        <row r="4170">
          <cell r="A4170" t="str">
            <v>HD SET BLJKT100</v>
          </cell>
          <cell r="B4170" t="str">
            <v>HEMODIALISA SET BPJS LENGKAP</v>
          </cell>
          <cell r="C4170" t="str">
            <v>HD</v>
          </cell>
        </row>
        <row r="4171">
          <cell r="A4171" t="str">
            <v>HD SET BLJKT100-NAV</v>
          </cell>
          <cell r="B4171" t="str">
            <v>HEMODIALISA SET BPJS LENGKAP NON AVFISTULA</v>
          </cell>
          <cell r="C4171" t="str">
            <v>HD</v>
          </cell>
        </row>
        <row r="4172">
          <cell r="A4172" t="str">
            <v>HD SET BLJKT101-ANAK</v>
          </cell>
          <cell r="B4172" t="str">
            <v>HEMODIALISA SET BPJS LENGKAP ANAK</v>
          </cell>
          <cell r="C4172" t="str">
            <v>HD</v>
          </cell>
        </row>
        <row r="4173">
          <cell r="A4173" t="str">
            <v>HD SET BLJKT101-NAVF</v>
          </cell>
          <cell r="B4173" t="str">
            <v>HD SET NON AVF</v>
          </cell>
          <cell r="C4173" t="str">
            <v>HD</v>
          </cell>
        </row>
        <row r="4174">
          <cell r="A4174" t="str">
            <v>HD SET BLJKT102</v>
          </cell>
          <cell r="B4174" t="str">
            <v>HEMODIALISA SET BPJS LENGKAP + HD PACK</v>
          </cell>
          <cell r="C4174" t="str">
            <v>HD</v>
          </cell>
        </row>
        <row r="4175">
          <cell r="A4175" t="str">
            <v>HD SET BLJKT102-NAVF</v>
          </cell>
          <cell r="B4175" t="str">
            <v>HEMODIALISA SET BPJS LENGKAP</v>
          </cell>
          <cell r="C4175" t="str">
            <v>HD</v>
          </cell>
        </row>
        <row r="4176">
          <cell r="A4176" t="str">
            <v>HD SET BLJKT103-NVAK</v>
          </cell>
          <cell r="B4176" t="str">
            <v>HEMODIALISA SET BPJS LENGKAP</v>
          </cell>
          <cell r="C4176" t="str">
            <v>HD</v>
          </cell>
        </row>
        <row r="4177">
          <cell r="A4177" t="str">
            <v>HD SET BLJKT104-NAVF</v>
          </cell>
          <cell r="B4177" t="str">
            <v>HEMODIALISA SET BPJS</v>
          </cell>
          <cell r="C4177" t="str">
            <v>HD</v>
          </cell>
        </row>
        <row r="4178">
          <cell r="A4178" t="str">
            <v>HD SET BLJKT105-NAVF</v>
          </cell>
          <cell r="B4178" t="str">
            <v>HEMODIALISA SET BPJS LENGKAP</v>
          </cell>
          <cell r="C4178" t="str">
            <v>HD</v>
          </cell>
        </row>
        <row r="4179">
          <cell r="A4179" t="str">
            <v>HD SET BLJKT106-NAVF</v>
          </cell>
          <cell r="B4179" t="str">
            <v>HEMODIALISA SET BPJS LENGKAP</v>
          </cell>
          <cell r="C4179" t="str">
            <v>HD</v>
          </cell>
        </row>
        <row r="4180">
          <cell r="A4180" t="str">
            <v>HD SET BLJKT107-NAVF</v>
          </cell>
          <cell r="B4180" t="str">
            <v>HEMODIALISA SET BPJS LENGKAP</v>
          </cell>
          <cell r="C4180" t="str">
            <v>HD</v>
          </cell>
        </row>
        <row r="4181">
          <cell r="A4181" t="str">
            <v>HD SET BLJKT108-NAVF</v>
          </cell>
          <cell r="B4181" t="str">
            <v>HEMODIALISA SET BPJS LENGKAP</v>
          </cell>
          <cell r="C4181" t="str">
            <v>HD</v>
          </cell>
        </row>
        <row r="4182">
          <cell r="A4182" t="str">
            <v>HD SET BLJKT108-NVTK</v>
          </cell>
          <cell r="B4182" t="str">
            <v>HEMODIALISA SET BPJS LENGKAP</v>
          </cell>
          <cell r="C4182" t="str">
            <v>HD</v>
          </cell>
        </row>
        <row r="4183">
          <cell r="A4183" t="str">
            <v>HD SET BLJKT109-NK</v>
          </cell>
          <cell r="B4183" t="str">
            <v>HD SET BPJS NON ACID</v>
          </cell>
          <cell r="C4183" t="str">
            <v>HD</v>
          </cell>
        </row>
        <row r="4184">
          <cell r="A4184" t="str">
            <v>HD SET BLJKT109-NTK</v>
          </cell>
          <cell r="B4184" t="str">
            <v>HD SET BPJS NON ACID DAN BICARBONATE</v>
          </cell>
          <cell r="C4184" t="str">
            <v>HD</v>
          </cell>
        </row>
        <row r="4185">
          <cell r="A4185" t="str">
            <v>HD SET BLJKT110-ANAK</v>
          </cell>
          <cell r="B4185" t="str">
            <v>HEMODIALISA SET BPJS LENGKAP ANAK</v>
          </cell>
          <cell r="C4185" t="str">
            <v>HD</v>
          </cell>
        </row>
        <row r="4186">
          <cell r="A4186" t="str">
            <v>HD SET BLJKT111-NAVF</v>
          </cell>
          <cell r="B4186" t="str">
            <v>HEMODIALISA SET BPJS LENGKAP NON AVF</v>
          </cell>
          <cell r="C4186" t="str">
            <v>HD</v>
          </cell>
        </row>
        <row r="4187">
          <cell r="A4187" t="str">
            <v>HD SET BLJKT112-NAVF</v>
          </cell>
          <cell r="B4187" t="str">
            <v>HEMODIALISA SET BPJS LENGKAP NON AVF</v>
          </cell>
          <cell r="C4187" t="str">
            <v>HD</v>
          </cell>
        </row>
        <row r="4188">
          <cell r="A4188" t="str">
            <v>HD SET BLJKT113-NAVF</v>
          </cell>
          <cell r="B4188" t="str">
            <v>HEMODIALISA SET BPJS LENGKAP NON AVF</v>
          </cell>
          <cell r="C4188" t="str">
            <v>HD</v>
          </cell>
        </row>
        <row r="4189">
          <cell r="A4189" t="str">
            <v>HD SET BLJKT114-NAVF</v>
          </cell>
          <cell r="B4189" t="str">
            <v>HEMODIALISA SET BPJS LENGKAP NON AVF</v>
          </cell>
          <cell r="C4189" t="str">
            <v>HD</v>
          </cell>
        </row>
        <row r="4190">
          <cell r="A4190" t="str">
            <v>HD SET BLJKT115-NAB</v>
          </cell>
          <cell r="B4190" t="str">
            <v>PAKET HD BPJS PAKET A</v>
          </cell>
          <cell r="C4190" t="str">
            <v>HD</v>
          </cell>
        </row>
        <row r="4191">
          <cell r="A4191" t="str">
            <v>HD SET BLJKT116</v>
          </cell>
          <cell r="B4191" t="str">
            <v>PAKET HD BPJS PAKET B</v>
          </cell>
          <cell r="C4191" t="str">
            <v>HD</v>
          </cell>
        </row>
        <row r="4192">
          <cell r="A4192" t="str">
            <v>HD SET BLJKT117-NAVF</v>
          </cell>
          <cell r="B4192" t="str">
            <v>HEMODIALISA SET BPJS LENGKAP NON AVF</v>
          </cell>
          <cell r="C4192" t="str">
            <v>HD</v>
          </cell>
        </row>
        <row r="4193">
          <cell r="A4193" t="str">
            <v>HD SET BLJKT118-NAK</v>
          </cell>
          <cell r="B4193" t="str">
            <v>HEMODIALISA SET BPJS LENGKAP NON ACID</v>
          </cell>
          <cell r="C4193" t="str">
            <v>HD</v>
          </cell>
        </row>
        <row r="4194">
          <cell r="A4194" t="str">
            <v>HD SET BLJKT119</v>
          </cell>
          <cell r="B4194" t="str">
            <v>HEMODIALISA SET BPJS LENGKAP ANAK</v>
          </cell>
          <cell r="C4194" t="str">
            <v>HD</v>
          </cell>
        </row>
        <row r="4195">
          <cell r="A4195" t="str">
            <v>HD SET BLJKT120-NAVF</v>
          </cell>
          <cell r="B4195" t="str">
            <v>HEMODIALISA SET BPJS LENGKAP NON AVF</v>
          </cell>
          <cell r="C4195" t="str">
            <v>HD</v>
          </cell>
        </row>
        <row r="4196">
          <cell r="A4196" t="str">
            <v>HD SET BLJKT121-NAT</v>
          </cell>
          <cell r="B4196" t="str">
            <v>HEMODIALISA SET BPJS LENGKAP</v>
          </cell>
          <cell r="C4196" t="str">
            <v>HD</v>
          </cell>
        </row>
        <row r="4197">
          <cell r="A4197" t="str">
            <v>HD SET BLLPG001</v>
          </cell>
          <cell r="B4197" t="str">
            <v>HEMODIALISA SET BPJS LENGKAP</v>
          </cell>
          <cell r="C4197" t="str">
            <v>HD</v>
          </cell>
        </row>
        <row r="4198">
          <cell r="A4198" t="str">
            <v>HD SET BLLPG001-NAVF</v>
          </cell>
          <cell r="B4198" t="str">
            <v>HEMODIALISA SET BPJS LENGKAP NON AVFISTULA</v>
          </cell>
          <cell r="C4198" t="str">
            <v>HD</v>
          </cell>
        </row>
        <row r="4199">
          <cell r="A4199" t="str">
            <v>HD SET BLLPG002</v>
          </cell>
          <cell r="B4199" t="str">
            <v>HEMODIALISA SET BPJS LENGKAP</v>
          </cell>
          <cell r="C4199" t="str">
            <v>HD</v>
          </cell>
        </row>
        <row r="4200">
          <cell r="A4200" t="str">
            <v>HD SET BLLPG002 E+BL</v>
          </cell>
          <cell r="B4200" t="str">
            <v>HEMODIALISA SET BPJS LENGKAP ELISIO + BLOOD TUBING</v>
          </cell>
          <cell r="C4200" t="str">
            <v>HD</v>
          </cell>
        </row>
        <row r="4201">
          <cell r="A4201" t="str">
            <v>HD SET BLLPG002-NAK</v>
          </cell>
          <cell r="B4201" t="str">
            <v>HEMODIALISA SET BPJS LENGKAP NON AK</v>
          </cell>
          <cell r="C4201" t="str">
            <v>HD</v>
          </cell>
        </row>
        <row r="4202">
          <cell r="A4202" t="str">
            <v>HD SET BLLPG002-NSEL</v>
          </cell>
          <cell r="B4202" t="str">
            <v>HEMODIALISA SET BPJS LENGKAP ELISIO</v>
          </cell>
          <cell r="C4202" t="str">
            <v>HD</v>
          </cell>
        </row>
        <row r="4203">
          <cell r="A4203" t="str">
            <v>HD SET BLLPG003</v>
          </cell>
          <cell r="B4203" t="str">
            <v>HEMODIALISA SET BPJS LENGKAP</v>
          </cell>
          <cell r="C4203" t="str">
            <v>HD</v>
          </cell>
        </row>
        <row r="4204">
          <cell r="A4204" t="str">
            <v>HD SET BLLPG004</v>
          </cell>
          <cell r="B4204" t="str">
            <v>HEMODIALISA SET BPJS LENGKAP</v>
          </cell>
          <cell r="C4204" t="str">
            <v>HD</v>
          </cell>
        </row>
        <row r="4205">
          <cell r="A4205" t="str">
            <v>HD SET BLLPG005</v>
          </cell>
          <cell r="B4205" t="str">
            <v>HEMODIALISA SET BPJS LENGKAP</v>
          </cell>
          <cell r="C4205" t="str">
            <v>HD</v>
          </cell>
        </row>
        <row r="4206">
          <cell r="A4206" t="str">
            <v>HD SET BLLPG005-NAVF</v>
          </cell>
          <cell r="B4206" t="str">
            <v>HEMODIALISA SET BPJS LENGKAP NON AVFISTULA</v>
          </cell>
          <cell r="C4206" t="str">
            <v>HD</v>
          </cell>
        </row>
        <row r="4207">
          <cell r="A4207" t="str">
            <v>HD SET BLLPG006</v>
          </cell>
          <cell r="B4207" t="str">
            <v>HEMODIALISA SET BPJS LENGKAP</v>
          </cell>
          <cell r="C4207" t="str">
            <v>HD</v>
          </cell>
        </row>
        <row r="4208">
          <cell r="A4208" t="str">
            <v>HD SET BLLPG006-NAVF</v>
          </cell>
          <cell r="B4208" t="str">
            <v>HEMODIALISA SET BPJS LENGKAP NON AVFISTULA</v>
          </cell>
          <cell r="C4208" t="str">
            <v>HD</v>
          </cell>
        </row>
        <row r="4209">
          <cell r="A4209" t="str">
            <v>HD SET BLLPG007</v>
          </cell>
          <cell r="B4209" t="str">
            <v>HEMODIALISA SET BPJS LENGKAP</v>
          </cell>
          <cell r="C4209" t="str">
            <v>HD</v>
          </cell>
        </row>
        <row r="4210">
          <cell r="A4210" t="str">
            <v>HD SET BLLPG008</v>
          </cell>
          <cell r="B4210" t="str">
            <v>HEMODIALISA SET BPJS LENGKAP</v>
          </cell>
          <cell r="C4210" t="str">
            <v>HD</v>
          </cell>
        </row>
        <row r="4211">
          <cell r="A4211" t="str">
            <v>HD SET BLLPG008 E+AK</v>
          </cell>
          <cell r="B4211" t="str">
            <v>HEMODIALISA SET BPJS LENGKAP ELISIO + AK</v>
          </cell>
          <cell r="C4211" t="str">
            <v>HD</v>
          </cell>
        </row>
        <row r="4212">
          <cell r="A4212" t="str">
            <v>HD SET BLLPG008-ELBL</v>
          </cell>
          <cell r="B4212" t="str">
            <v>HEMODIALISA SET BPJS LENGKAP ELISIO + BLOOD TUBING</v>
          </cell>
          <cell r="C4212" t="str">
            <v>HD</v>
          </cell>
        </row>
        <row r="4213">
          <cell r="A4213" t="str">
            <v>HD SET BLLPG008-NAT</v>
          </cell>
          <cell r="B4213" t="str">
            <v>HEMODIALISA SET BPJS LENGKAP NON AT</v>
          </cell>
          <cell r="C4213" t="str">
            <v>HD</v>
          </cell>
        </row>
        <row r="4214">
          <cell r="A4214" t="str">
            <v>HD SET BLLPG008NATAK</v>
          </cell>
          <cell r="B4214" t="str">
            <v>HEMODIALISA SET BPJS LENGKAP NON AT &amp; AK</v>
          </cell>
          <cell r="C4214" t="str">
            <v>HD</v>
          </cell>
        </row>
        <row r="4215">
          <cell r="A4215" t="str">
            <v>HD SET BLLPG008-NAV</v>
          </cell>
          <cell r="B4215" t="str">
            <v>HEMODIALISA SET BPJS LENGKAP NON AVFISTULA</v>
          </cell>
          <cell r="C4215" t="str">
            <v>HD</v>
          </cell>
        </row>
        <row r="4216">
          <cell r="A4216" t="str">
            <v>HD SET BLLPG008NAVAT</v>
          </cell>
          <cell r="B4216" t="str">
            <v>HEMODIALISA SET BPJS LENGKAP NON AVFISTULA &amp; AT</v>
          </cell>
          <cell r="C4216" t="str">
            <v>HD</v>
          </cell>
        </row>
        <row r="4217">
          <cell r="A4217" t="str">
            <v>HD SET BLLPG009</v>
          </cell>
          <cell r="B4217" t="str">
            <v>HEMODIALISA SET BPJS LENGKAP</v>
          </cell>
          <cell r="C4217" t="str">
            <v>HD</v>
          </cell>
        </row>
        <row r="4218">
          <cell r="A4218" t="str">
            <v>HD SET BLLPG009-NAVF</v>
          </cell>
          <cell r="B4218" t="str">
            <v>HEMODIALISA SET BPJS LENGKAP (1)</v>
          </cell>
          <cell r="C4218" t="str">
            <v>HD</v>
          </cell>
        </row>
        <row r="4219">
          <cell r="A4219" t="str">
            <v>HD SET BLLPG010</v>
          </cell>
          <cell r="B4219" t="str">
            <v>HEMODIALISA SET BPJS LENGKAP</v>
          </cell>
          <cell r="C4219" t="str">
            <v>HD</v>
          </cell>
        </row>
        <row r="4220">
          <cell r="A4220" t="str">
            <v>HD SET BLLPG011</v>
          </cell>
          <cell r="B4220" t="str">
            <v>HEMODIALISA SET BPJS LENGKAP</v>
          </cell>
          <cell r="C4220" t="str">
            <v>HD</v>
          </cell>
        </row>
        <row r="4221">
          <cell r="A4221" t="str">
            <v>HD SET BLLPG011-1</v>
          </cell>
          <cell r="B4221" t="str">
            <v>HEMODIALISA SET BPJS LENGKAP</v>
          </cell>
          <cell r="C4221" t="str">
            <v>HD</v>
          </cell>
        </row>
        <row r="4222">
          <cell r="A4222" t="str">
            <v>HD SET BLLPG012</v>
          </cell>
          <cell r="B4222" t="str">
            <v>HEMODIALISA SET BPJS LENGKAP</v>
          </cell>
          <cell r="C4222" t="str">
            <v>HD</v>
          </cell>
        </row>
        <row r="4223">
          <cell r="A4223" t="str">
            <v>HD SET BLLPG012 ANAK</v>
          </cell>
          <cell r="B4223" t="str">
            <v>HEMODIALISA SET BPJS LENGKAP ANAK</v>
          </cell>
          <cell r="C4223" t="str">
            <v>HD</v>
          </cell>
        </row>
        <row r="4224">
          <cell r="A4224" t="str">
            <v>HD SET BLLPG012-ANAK</v>
          </cell>
          <cell r="B4224" t="str">
            <v>HEMODIALISA SET BPJS LENGKAP ANAK</v>
          </cell>
          <cell r="C4224" t="str">
            <v>HD</v>
          </cell>
        </row>
        <row r="4225">
          <cell r="A4225" t="str">
            <v>HD SET BLLPG012-NAVF</v>
          </cell>
          <cell r="B4225" t="str">
            <v>HEMODIALISA SET BPJS LENGKAP NON AVFISTULA</v>
          </cell>
          <cell r="C4225" t="str">
            <v>HD</v>
          </cell>
        </row>
        <row r="4226">
          <cell r="A4226" t="str">
            <v>HD SET BLLPG013</v>
          </cell>
          <cell r="B4226" t="str">
            <v>HEMODIALISA SET BPJS LENGKAP</v>
          </cell>
          <cell r="C4226" t="str">
            <v>HD</v>
          </cell>
        </row>
        <row r="4227">
          <cell r="A4227" t="str">
            <v>HD SET BLLPG013NATAK</v>
          </cell>
          <cell r="B4227" t="str">
            <v>HEMODIALISA SET BPJS LENGKAP NON AT &amp; AK</v>
          </cell>
          <cell r="C4227" t="str">
            <v>HD</v>
          </cell>
        </row>
        <row r="4228">
          <cell r="A4228" t="str">
            <v>HD SET BLLPG013NAVAT</v>
          </cell>
          <cell r="B4228" t="str">
            <v>HEMODIALISA SET BPJS LENGKAP NON AVF &amp; AT</v>
          </cell>
          <cell r="C4228" t="str">
            <v>HD</v>
          </cell>
        </row>
        <row r="4229">
          <cell r="A4229" t="str">
            <v>HD SET BLLPG013-NAVF</v>
          </cell>
          <cell r="B4229" t="str">
            <v>HEMODIALISA SET BPJS LENGKAP NON AV FISTULA</v>
          </cell>
          <cell r="C4229" t="str">
            <v>HD</v>
          </cell>
        </row>
        <row r="4230">
          <cell r="A4230" t="str">
            <v>HD SET BLLPG014</v>
          </cell>
          <cell r="B4230" t="str">
            <v>HEMODIALISA SET BPJS LENGKAP</v>
          </cell>
          <cell r="C4230" t="str">
            <v>HD</v>
          </cell>
        </row>
        <row r="4231">
          <cell r="A4231" t="str">
            <v>HD SET BLLPG014-A</v>
          </cell>
          <cell r="B4231" t="str">
            <v>HEMODIALISA SET BPJS LENGKAP UNTUK ANAK</v>
          </cell>
          <cell r="C4231" t="str">
            <v>HD</v>
          </cell>
        </row>
        <row r="4232">
          <cell r="A4232" t="str">
            <v>HD SET BLLPG014EL+AT</v>
          </cell>
          <cell r="B4232" t="str">
            <v>HEMODIALISA SET BPJS LENGKAP ELISIO + AT</v>
          </cell>
          <cell r="C4232" t="str">
            <v>HD</v>
          </cell>
        </row>
        <row r="4233">
          <cell r="A4233" t="str">
            <v>HD SET BLLPG014-NAVA</v>
          </cell>
          <cell r="B4233" t="str">
            <v>HEMODIALISA SET BPJS LENGKAP UNTUK ANAK NON AVF</v>
          </cell>
          <cell r="C4233" t="str">
            <v>HD</v>
          </cell>
        </row>
        <row r="4234">
          <cell r="A4234" t="str">
            <v>HD SET BLLPG014NAVAK</v>
          </cell>
          <cell r="B4234" t="str">
            <v>HEMODIALISA SET BPJS LENGKAP TANPA AVF DAN AK</v>
          </cell>
          <cell r="C4234" t="str">
            <v>HD</v>
          </cell>
        </row>
        <row r="4235">
          <cell r="A4235" t="str">
            <v>HD SET BLLPG014-NAVF</v>
          </cell>
          <cell r="B4235" t="str">
            <v>HEMODIALISA SET BPJS LENGKAP</v>
          </cell>
          <cell r="C4235" t="str">
            <v>HD</v>
          </cell>
        </row>
        <row r="4236">
          <cell r="A4236" t="str">
            <v>HD SET BLLPG015</v>
          </cell>
          <cell r="B4236" t="str">
            <v>HEMODIALISA SET BPJS LENGKAP</v>
          </cell>
          <cell r="C4236" t="str">
            <v>HD</v>
          </cell>
        </row>
        <row r="4237">
          <cell r="A4237" t="str">
            <v>HD SET BLLPG015-NAVF</v>
          </cell>
          <cell r="B4237" t="str">
            <v>HEMODIALISA SET BPJS LENGKAP NON AVFISTULA</v>
          </cell>
          <cell r="C4237" t="str">
            <v>HD</v>
          </cell>
        </row>
        <row r="4238">
          <cell r="A4238" t="str">
            <v>HD SET BLLPG016-NAVF</v>
          </cell>
          <cell r="B4238" t="str">
            <v>HEMODIALISA SET BPJS LENGKAP NON AVFISTULA</v>
          </cell>
          <cell r="C4238" t="str">
            <v>HD</v>
          </cell>
        </row>
        <row r="4239">
          <cell r="A4239" t="str">
            <v>HD SET BLLPG017</v>
          </cell>
          <cell r="B4239" t="str">
            <v>HEMODIALISA SET LENGKAP BPJS</v>
          </cell>
          <cell r="C4239" t="str">
            <v>HD</v>
          </cell>
        </row>
        <row r="4240">
          <cell r="A4240" t="str">
            <v>HD SET BLLPG018</v>
          </cell>
          <cell r="B4240" t="str">
            <v>HEMODIALISA SET BPJS LENGKAP</v>
          </cell>
          <cell r="C4240" t="str">
            <v>HD</v>
          </cell>
        </row>
        <row r="4241">
          <cell r="A4241" t="str">
            <v>HD SET BLLPG019</v>
          </cell>
          <cell r="B4241" t="str">
            <v>HEMODIALISA SET BPJS LENGKAP</v>
          </cell>
          <cell r="C4241" t="str">
            <v>HD</v>
          </cell>
        </row>
        <row r="4242">
          <cell r="A4242" t="str">
            <v>HD SET BLLPG019 ANAK</v>
          </cell>
          <cell r="B4242" t="str">
            <v>HEMODIALISA SET BPJS LENGKAP ANAK</v>
          </cell>
          <cell r="C4242" t="str">
            <v>HD</v>
          </cell>
        </row>
        <row r="4243">
          <cell r="A4243" t="str">
            <v>HD SET BLLPG019-HDP</v>
          </cell>
          <cell r="B4243" t="str">
            <v>HEMODIALISA SET BPJS LENGKAP DENGAN HD PACK</v>
          </cell>
          <cell r="C4243" t="str">
            <v>HD</v>
          </cell>
        </row>
        <row r="4244">
          <cell r="A4244" t="str">
            <v>HD SET BLLPG019-NAVF</v>
          </cell>
          <cell r="B4244" t="str">
            <v>HEMODIALISA SET BPJS LENGKAP NON AVFISTULA</v>
          </cell>
          <cell r="C4244" t="str">
            <v>HD</v>
          </cell>
        </row>
        <row r="4245">
          <cell r="A4245" t="str">
            <v>HD SET BLLPG021</v>
          </cell>
          <cell r="B4245" t="str">
            <v>HEMODIALISA SET BPJS LENGKAP</v>
          </cell>
          <cell r="C4245" t="str">
            <v>HD</v>
          </cell>
        </row>
        <row r="4246">
          <cell r="A4246" t="str">
            <v>HD SET BLLPG023</v>
          </cell>
          <cell r="B4246" t="str">
            <v>HEMODIALISA SET BPJS LENGKAP</v>
          </cell>
          <cell r="C4246" t="str">
            <v>HD</v>
          </cell>
        </row>
        <row r="4247">
          <cell r="A4247" t="str">
            <v>HD SET BLLPG023 ANAK</v>
          </cell>
          <cell r="B4247" t="str">
            <v>HEMODIALISA SET BPJS LENGKAP ANAK</v>
          </cell>
          <cell r="C4247" t="str">
            <v>HD</v>
          </cell>
        </row>
        <row r="4248">
          <cell r="A4248" t="str">
            <v>HD SET BLLPG023NAVAK</v>
          </cell>
          <cell r="B4248" t="str">
            <v>HEMODIALISA SET BPJS LENGKAP NON AV FISTULA &amp; AK</v>
          </cell>
          <cell r="C4248" t="str">
            <v>HD</v>
          </cell>
        </row>
        <row r="4249">
          <cell r="A4249" t="str">
            <v>HD SET BLLPG023-NAVF</v>
          </cell>
          <cell r="B4249" t="str">
            <v>HEMODIALISA SET BPJS LENGKAP NON AVFISTULA</v>
          </cell>
          <cell r="C4249" t="str">
            <v>HD</v>
          </cell>
        </row>
        <row r="4250">
          <cell r="A4250" t="str">
            <v>HD SET BLLPG024</v>
          </cell>
          <cell r="B4250" t="str">
            <v>HEMODIALISA SET BPJS LENGKAP</v>
          </cell>
          <cell r="C4250" t="str">
            <v>HD</v>
          </cell>
        </row>
        <row r="4251">
          <cell r="A4251" t="str">
            <v>HD SET BLLPG025</v>
          </cell>
          <cell r="B4251" t="str">
            <v>HEMODIALISA SET BPJS LENGKAP</v>
          </cell>
          <cell r="C4251" t="str">
            <v>HD</v>
          </cell>
        </row>
        <row r="4252">
          <cell r="A4252" t="str">
            <v>HD SET BLLPG025-NAVF</v>
          </cell>
          <cell r="B4252" t="str">
            <v>HEMODIALISA SET BPJS LENGKAP NON AVFISTULA</v>
          </cell>
          <cell r="C4252" t="str">
            <v>HD</v>
          </cell>
        </row>
        <row r="4253">
          <cell r="A4253" t="str">
            <v>HD SET BLLPG027</v>
          </cell>
          <cell r="B4253" t="str">
            <v>HEMODIALISA SET BPJS LENGKAP</v>
          </cell>
          <cell r="C4253" t="str">
            <v>HD</v>
          </cell>
        </row>
        <row r="4254">
          <cell r="A4254" t="str">
            <v>HD SET BLLPG027BT+AT</v>
          </cell>
          <cell r="B4254" t="str">
            <v>HEMODIALISA SET BPJS BLOOD TUBING DAN AT10</v>
          </cell>
          <cell r="C4254" t="str">
            <v>HD</v>
          </cell>
        </row>
        <row r="4255">
          <cell r="A4255" t="str">
            <v>HD SET BLLPG027NAVAK</v>
          </cell>
          <cell r="B4255" t="str">
            <v>HEMODIALISA SET BPJS LENGKOP NON AVF &amp; AK</v>
          </cell>
          <cell r="C4255" t="str">
            <v>HD</v>
          </cell>
        </row>
        <row r="4256">
          <cell r="A4256" t="str">
            <v>HD SET BLLPG027-NAVF</v>
          </cell>
          <cell r="B4256" t="str">
            <v>HEMODIALISA SET BPJS LENGKAP NON AVFISTULA</v>
          </cell>
          <cell r="C4256" t="str">
            <v>HD</v>
          </cell>
        </row>
        <row r="4257">
          <cell r="A4257" t="str">
            <v>HD SET BLLPG028</v>
          </cell>
          <cell r="B4257" t="str">
            <v>HEMODIALISA SET BPJS LENGKAP</v>
          </cell>
          <cell r="C4257" t="str">
            <v>HD</v>
          </cell>
        </row>
        <row r="4258">
          <cell r="A4258" t="str">
            <v>HD SET BLLPG028-NAVF</v>
          </cell>
          <cell r="B4258" t="str">
            <v>HEMODIALISA SET BPJS LENGKAP TANPA AVFISTULA</v>
          </cell>
          <cell r="C4258" t="str">
            <v>HD</v>
          </cell>
        </row>
        <row r="4259">
          <cell r="A4259" t="str">
            <v>HD SET BLLPG029</v>
          </cell>
          <cell r="B4259" t="str">
            <v>HEMODIALISA SET BPJS LENGKAP</v>
          </cell>
          <cell r="C4259" t="str">
            <v>HD</v>
          </cell>
        </row>
        <row r="4260">
          <cell r="A4260" t="str">
            <v>HD SET BLLPG029 A</v>
          </cell>
          <cell r="B4260" t="str">
            <v>HEMODIALISA SET BPJS LENGKAP	untuk ANAK</v>
          </cell>
          <cell r="C4260" t="str">
            <v>HD</v>
          </cell>
        </row>
        <row r="4261">
          <cell r="A4261" t="str">
            <v>HD SET BLLPG029-NAVF</v>
          </cell>
          <cell r="B4261" t="str">
            <v>HEMODIALISA SET BPJS LENGKAP NON AVFISTULA</v>
          </cell>
          <cell r="C4261" t="str">
            <v>HD</v>
          </cell>
        </row>
        <row r="4262">
          <cell r="A4262" t="str">
            <v>HD SET BLLPG030</v>
          </cell>
          <cell r="B4262" t="str">
            <v>HEMODIALISA SET BPJS LENGKAP</v>
          </cell>
          <cell r="C4262" t="str">
            <v>HD</v>
          </cell>
        </row>
        <row r="4263">
          <cell r="A4263" t="str">
            <v>HD SET BLLPG030NAVAK</v>
          </cell>
          <cell r="B4263" t="str">
            <v>HEMODIALISA SET BPJS LENGKAP NON AV FISTULA &amp; AK</v>
          </cell>
          <cell r="C4263" t="str">
            <v>HD</v>
          </cell>
        </row>
        <row r="4264">
          <cell r="A4264" t="str">
            <v>HD SET BLLPG030-NAVF</v>
          </cell>
          <cell r="B4264" t="str">
            <v>HEMODIALISA SET BPJS LENGKAP NON AVFISTULA</v>
          </cell>
          <cell r="C4264" t="str">
            <v>HD</v>
          </cell>
        </row>
        <row r="4265">
          <cell r="A4265" t="str">
            <v>HD SET BLLPG031</v>
          </cell>
          <cell r="B4265" t="str">
            <v>HEMODIALISA SET BPJS LENGKAP</v>
          </cell>
          <cell r="C4265" t="str">
            <v>HD</v>
          </cell>
        </row>
        <row r="4266">
          <cell r="A4266" t="str">
            <v>HD SET BLLPG031-NAVF</v>
          </cell>
          <cell r="B4266" t="str">
            <v>HEMODIALISA SET BPJS LENGKAP NON AVFISTULA</v>
          </cell>
          <cell r="C4266" t="str">
            <v>HD</v>
          </cell>
        </row>
        <row r="4267">
          <cell r="A4267" t="str">
            <v>HD SET BLLPG032</v>
          </cell>
          <cell r="B4267" t="str">
            <v>HEMODIALISA SET BPJS LENGKAP</v>
          </cell>
          <cell r="C4267" t="str">
            <v>HD</v>
          </cell>
        </row>
        <row r="4268">
          <cell r="A4268" t="str">
            <v>HD SET BLLPG033</v>
          </cell>
          <cell r="B4268" t="str">
            <v>HEMODIALISA SET BPJS LENGKAP</v>
          </cell>
          <cell r="C4268" t="str">
            <v>HD</v>
          </cell>
        </row>
        <row r="4269">
          <cell r="A4269" t="str">
            <v>HD SET BLLPG034</v>
          </cell>
          <cell r="B4269" t="str">
            <v>HEMODIALISA SET BPJS LENGKAP</v>
          </cell>
          <cell r="C4269" t="str">
            <v>HD</v>
          </cell>
        </row>
        <row r="4270">
          <cell r="A4270" t="str">
            <v>HD SET BLLPG035</v>
          </cell>
          <cell r="B4270" t="str">
            <v>HEMODIALISA SET BPJS LENGKAP</v>
          </cell>
          <cell r="C4270" t="str">
            <v>HD</v>
          </cell>
        </row>
        <row r="4271">
          <cell r="A4271" t="str">
            <v>HD SET BLMDN001</v>
          </cell>
          <cell r="B4271" t="str">
            <v>HEMODIALISA SET BPJS LENGKAP</v>
          </cell>
          <cell r="C4271" t="str">
            <v>HD</v>
          </cell>
        </row>
        <row r="4272">
          <cell r="A4272" t="str">
            <v>HD SET BLMDN002</v>
          </cell>
          <cell r="B4272" t="str">
            <v>HEMODIALISA SET BPJS LENGKAP</v>
          </cell>
          <cell r="C4272" t="str">
            <v>HD</v>
          </cell>
        </row>
        <row r="4273">
          <cell r="A4273" t="str">
            <v>HD SET BLMDN002-NAVF</v>
          </cell>
          <cell r="B4273" t="str">
            <v>HEMODIALISA SET BPJS LENGKAP NON AVFISTULA</v>
          </cell>
          <cell r="C4273" t="str">
            <v>HD</v>
          </cell>
        </row>
        <row r="4274">
          <cell r="A4274" t="str">
            <v>HD SET BLMDN003</v>
          </cell>
          <cell r="B4274" t="str">
            <v>HEMODIALISA SET BPJS LENGKAP</v>
          </cell>
          <cell r="C4274" t="str">
            <v>HD</v>
          </cell>
        </row>
        <row r="4275">
          <cell r="A4275" t="str">
            <v>HD SET BLMDN004</v>
          </cell>
          <cell r="B4275" t="str">
            <v>HEMODIALISA SET BPJS LENGKAP</v>
          </cell>
          <cell r="C4275" t="str">
            <v>HD</v>
          </cell>
        </row>
        <row r="4276">
          <cell r="A4276" t="str">
            <v>HD SET BLMDN004NAVAT</v>
          </cell>
          <cell r="B4276" t="str">
            <v>HEMODIALISA SET BPJS LENGKAP NON AVFISTULA &amp; AT</v>
          </cell>
          <cell r="C4276" t="str">
            <v>HD</v>
          </cell>
        </row>
        <row r="4277">
          <cell r="A4277" t="str">
            <v>HD SET BLMDN004-NAVF</v>
          </cell>
          <cell r="B4277" t="str">
            <v>HEMODIALISA SET BPJS LENGKAP NON AVFISTULA</v>
          </cell>
          <cell r="C4277" t="str">
            <v>HD</v>
          </cell>
        </row>
        <row r="4278">
          <cell r="A4278" t="str">
            <v>HD SET BLMDN005</v>
          </cell>
          <cell r="B4278" t="str">
            <v>HEMODIALISA SET BPJS LENGKAP</v>
          </cell>
          <cell r="C4278" t="str">
            <v>HD</v>
          </cell>
        </row>
        <row r="4279">
          <cell r="A4279" t="str">
            <v>HD SET BLMDN005-ELBL</v>
          </cell>
          <cell r="B4279" t="str">
            <v>HEMODIALISA SET BPJS LENGKAP ELISIO + BLOOD TUBING</v>
          </cell>
          <cell r="C4279" t="str">
            <v>HD</v>
          </cell>
        </row>
        <row r="4280">
          <cell r="A4280" t="str">
            <v>HD SET BLMDN005-NAKT</v>
          </cell>
          <cell r="B4280" t="str">
            <v>HEMODIALISA SET BPJS LENGKAP NON AK AT</v>
          </cell>
          <cell r="C4280" t="str">
            <v>HD</v>
          </cell>
        </row>
        <row r="4281">
          <cell r="A4281" t="str">
            <v>HD SET BLMDN005-NAV</v>
          </cell>
          <cell r="B4281" t="str">
            <v>HEMODIALISA SET BPJS LENGKAP NON AVFISTULA</v>
          </cell>
          <cell r="C4281" t="str">
            <v>HD</v>
          </cell>
        </row>
        <row r="4282">
          <cell r="A4282" t="str">
            <v>HD SET BLMDN006</v>
          </cell>
          <cell r="B4282" t="str">
            <v>HEMODIALISA SET BPJS LENGKAP</v>
          </cell>
          <cell r="C4282" t="str">
            <v>HD</v>
          </cell>
        </row>
        <row r="4283">
          <cell r="A4283" t="str">
            <v>HD SET BLMDN007</v>
          </cell>
          <cell r="B4283" t="str">
            <v>HEMODIALISA SET BPJS LENGKAP</v>
          </cell>
          <cell r="C4283" t="str">
            <v>HD</v>
          </cell>
        </row>
        <row r="4284">
          <cell r="A4284" t="str">
            <v>HD SET BLMDN007-ANAK</v>
          </cell>
          <cell r="B4284" t="str">
            <v>HEMODIALISA SET BPJS LENGKAP ANAK</v>
          </cell>
          <cell r="C4284" t="str">
            <v>HD</v>
          </cell>
        </row>
        <row r="4285">
          <cell r="A4285" t="str">
            <v>HD SET BLMDN008</v>
          </cell>
          <cell r="B4285" t="str">
            <v>HEMODIALISA SET BPJS LENGKAP</v>
          </cell>
          <cell r="C4285" t="str">
            <v>HD</v>
          </cell>
        </row>
        <row r="4286">
          <cell r="A4286" t="str">
            <v>HD SET BLMDN009</v>
          </cell>
          <cell r="B4286" t="str">
            <v>HEMODIALISA SET BPJS LENGKAP</v>
          </cell>
          <cell r="C4286" t="str">
            <v>HD</v>
          </cell>
        </row>
        <row r="4287">
          <cell r="A4287" t="str">
            <v>HD SET BLMDN009NAVBL</v>
          </cell>
          <cell r="B4287" t="str">
            <v>HEMODIALISA SET BPJS REUSE NON AV FISTULA &amp; BL</v>
          </cell>
          <cell r="C4287" t="str">
            <v>HD</v>
          </cell>
        </row>
        <row r="4288">
          <cell r="A4288" t="str">
            <v>HD SET BLMDN009-NAVF</v>
          </cell>
          <cell r="B4288" t="str">
            <v>HEMODIALISA SET BPJS LENGKAP NON AVFISTULA</v>
          </cell>
          <cell r="C4288" t="str">
            <v>HD</v>
          </cell>
        </row>
        <row r="4289">
          <cell r="A4289" t="str">
            <v>HD SET BLMDN010</v>
          </cell>
          <cell r="B4289" t="str">
            <v>HEMODIALISA SET BPJS LENGKAP</v>
          </cell>
          <cell r="C4289" t="str">
            <v>HD</v>
          </cell>
        </row>
        <row r="4290">
          <cell r="A4290" t="str">
            <v>HD SET BLMDN011</v>
          </cell>
          <cell r="B4290" t="str">
            <v>HEMODIALISA SET BPJS LENGKAP</v>
          </cell>
          <cell r="C4290" t="str">
            <v>HD</v>
          </cell>
        </row>
        <row r="4291">
          <cell r="A4291" t="str">
            <v>HD SET BLMDN012</v>
          </cell>
          <cell r="B4291" t="str">
            <v>HEMODIALISA SET BPJS LENGKAP</v>
          </cell>
          <cell r="C4291" t="str">
            <v>HD</v>
          </cell>
        </row>
        <row r="4292">
          <cell r="A4292" t="str">
            <v>HD SET BLMDN012-NAV</v>
          </cell>
          <cell r="B4292" t="str">
            <v>HEMODIALISA SET BPJS LENGKAP NAV</v>
          </cell>
          <cell r="C4292" t="str">
            <v>HD</v>
          </cell>
        </row>
        <row r="4293">
          <cell r="A4293" t="str">
            <v>HD SET BLMDN013</v>
          </cell>
          <cell r="B4293" t="str">
            <v>HEMODIALISA SET BPJS LENGKAP</v>
          </cell>
          <cell r="C4293" t="str">
            <v>HD</v>
          </cell>
        </row>
        <row r="4294">
          <cell r="A4294" t="str">
            <v>HD SET BLMDN013-NAK</v>
          </cell>
          <cell r="B4294" t="str">
            <v>HEMODIALISA SET BPJS LENGKAP non AK</v>
          </cell>
          <cell r="C4294" t="str">
            <v>HD</v>
          </cell>
        </row>
        <row r="4295">
          <cell r="A4295" t="str">
            <v>HD SET BLMDN013-NAT</v>
          </cell>
          <cell r="B4295" t="str">
            <v>HEMODIALISA SET BPJS LENGKAP NON AT</v>
          </cell>
          <cell r="C4295" t="str">
            <v>HD</v>
          </cell>
        </row>
        <row r="4296">
          <cell r="A4296" t="str">
            <v>HD SET BLMDN013-NAVF</v>
          </cell>
          <cell r="B4296" t="str">
            <v>HEMODIALISA SET BPJS LENGKAP tanpa AV-FISTULA</v>
          </cell>
          <cell r="C4296" t="str">
            <v>HD</v>
          </cell>
        </row>
        <row r="4297">
          <cell r="A4297" t="str">
            <v>HD SET BLMDN014</v>
          </cell>
          <cell r="B4297" t="str">
            <v>HEMODIALISA SET BPJS LENGKAP</v>
          </cell>
          <cell r="C4297" t="str">
            <v>HD</v>
          </cell>
        </row>
        <row r="4298">
          <cell r="A4298" t="str">
            <v>HD SET BLMDN014-NAE</v>
          </cell>
          <cell r="B4298" t="str">
            <v>HEMODIALISA SET BPJS LENGKAP NPRCT &amp; BTS</v>
          </cell>
          <cell r="C4298" t="str">
            <v>HD</v>
          </cell>
        </row>
        <row r="4299">
          <cell r="A4299" t="str">
            <v>HD SET BLMDN014-NAK</v>
          </cell>
          <cell r="B4299" t="str">
            <v>HEMODIALISA SET BPJS LENGKAP NON AK10L</v>
          </cell>
          <cell r="C4299" t="str">
            <v>HD</v>
          </cell>
        </row>
        <row r="4300">
          <cell r="A4300" t="str">
            <v>HD SET BLMDN014-NAKT</v>
          </cell>
          <cell r="B4300" t="str">
            <v>HEMODIALISA SET BPJS LENGKAP ELISIO &amp; BTS</v>
          </cell>
          <cell r="C4300" t="str">
            <v>HD</v>
          </cell>
        </row>
        <row r="4301">
          <cell r="A4301" t="str">
            <v>HD SET BLMDN014-NAV</v>
          </cell>
          <cell r="B4301" t="str">
            <v>HEMODIALISA SET BPJS LENGKAP NON AVISTULA</v>
          </cell>
          <cell r="C4301" t="str">
            <v>HD</v>
          </cell>
        </row>
        <row r="4302">
          <cell r="A4302" t="str">
            <v>HD SET BLMDN014NAVAK</v>
          </cell>
          <cell r="B4302" t="str">
            <v>HEMODIALISA SET BPJS LENGKAP NON AV FISTULA &amp; AK</v>
          </cell>
          <cell r="C4302" t="str">
            <v>HD</v>
          </cell>
        </row>
        <row r="4303">
          <cell r="A4303" t="str">
            <v>HD SET BLMDN015</v>
          </cell>
          <cell r="B4303" t="str">
            <v>HEMODIALISA SET BPJS LENGKAP</v>
          </cell>
          <cell r="C4303" t="str">
            <v>HD</v>
          </cell>
        </row>
        <row r="4304">
          <cell r="A4304" t="str">
            <v>HD SET BLMDN015-NAVF</v>
          </cell>
          <cell r="B4304" t="str">
            <v>HEMODIALISA SET BPJS LENGKAP NON AVFISTULA</v>
          </cell>
          <cell r="C4304" t="str">
            <v>HD</v>
          </cell>
        </row>
        <row r="4305">
          <cell r="A4305" t="str">
            <v>HD SET BLMDN016</v>
          </cell>
          <cell r="B4305" t="str">
            <v>HEMODIALISA SET BPJS LENGKAP</v>
          </cell>
          <cell r="C4305" t="str">
            <v>HD</v>
          </cell>
        </row>
        <row r="4306">
          <cell r="A4306" t="str">
            <v>HD SET BLMDN016-NAK</v>
          </cell>
          <cell r="B4306" t="str">
            <v>HEMODIALISA SET BPJS LENGKAP NON AK10L</v>
          </cell>
          <cell r="C4306" t="str">
            <v>HD</v>
          </cell>
        </row>
        <row r="4307">
          <cell r="A4307" t="str">
            <v>HD SET BLMDN017-NAK</v>
          </cell>
          <cell r="B4307" t="str">
            <v>HEMODIALISA SET BPJS LENGKAP NON ACID</v>
          </cell>
          <cell r="C4307" t="str">
            <v>HD</v>
          </cell>
        </row>
        <row r="4308">
          <cell r="A4308" t="str">
            <v>HD SET BLMDN017-NAT</v>
          </cell>
          <cell r="B4308" t="str">
            <v>HEMODIALISA SET BPJS LENGKAP NON CNCRT</v>
          </cell>
          <cell r="C4308" t="str">
            <v>HD</v>
          </cell>
        </row>
        <row r="4309">
          <cell r="A4309" t="str">
            <v>HD SET BLMDN017-NAVF</v>
          </cell>
          <cell r="B4309" t="str">
            <v>HEMODIALISA SET BPJS LENGKAP NON AVISTULA</v>
          </cell>
          <cell r="C4309" t="str">
            <v>HD</v>
          </cell>
        </row>
        <row r="4310">
          <cell r="A4310" t="str">
            <v>HD SET BLMDN021</v>
          </cell>
          <cell r="B4310" t="str">
            <v>HEMODIALISA SET BPJS LENGKAP</v>
          </cell>
          <cell r="C4310" t="str">
            <v>HD</v>
          </cell>
        </row>
        <row r="4311">
          <cell r="A4311" t="str">
            <v>HD SET BLMDN021-NAVF</v>
          </cell>
          <cell r="B4311" t="str">
            <v>HEMODIALISA SET BPJS LENGKAP NON AVISTULA</v>
          </cell>
          <cell r="C4311" t="str">
            <v>HD</v>
          </cell>
        </row>
        <row r="4312">
          <cell r="A4312" t="str">
            <v>HD SET BLMDN022</v>
          </cell>
          <cell r="B4312" t="str">
            <v>HEMODIALISA SET BPJS LENGKAP</v>
          </cell>
          <cell r="C4312" t="str">
            <v>HD</v>
          </cell>
        </row>
        <row r="4313">
          <cell r="A4313" t="str">
            <v>HD SET BLMDN022BL+AK</v>
          </cell>
          <cell r="B4313" t="str">
            <v>HEMODIALISA SET BPJS LENGKAP BL &amp; AK</v>
          </cell>
          <cell r="C4313" t="str">
            <v>HD</v>
          </cell>
        </row>
        <row r="4314">
          <cell r="A4314" t="str">
            <v>HD SET BLMDN022-NAK</v>
          </cell>
          <cell r="B4314" t="str">
            <v>HEMODIALISA SET BPJS LENGKAP NON AK10L</v>
          </cell>
          <cell r="C4314" t="str">
            <v>HD</v>
          </cell>
        </row>
        <row r="4315">
          <cell r="A4315" t="str">
            <v>HD SET BLMDN022-NAKT</v>
          </cell>
          <cell r="B4315" t="str">
            <v>HEMODIALISA SET BPJS LENGKAP ELISIO &amp; BTS</v>
          </cell>
          <cell r="C4315" t="str">
            <v>HD</v>
          </cell>
        </row>
        <row r="4316">
          <cell r="A4316" t="str">
            <v>HD SET BLMDN022NAVAK</v>
          </cell>
          <cell r="B4316" t="str">
            <v>HEMODIALISA SET BPJS LENGKAP NON AV FISTULA &amp; AK</v>
          </cell>
          <cell r="C4316" t="str">
            <v>HD</v>
          </cell>
        </row>
        <row r="4317">
          <cell r="A4317" t="str">
            <v>HD SET BLMDN022-NAVF</v>
          </cell>
          <cell r="B4317" t="str">
            <v>HEMODIALISA SET BPJS LENGKAP NON AVISTULA</v>
          </cell>
          <cell r="C4317" t="str">
            <v>HD</v>
          </cell>
        </row>
        <row r="4318">
          <cell r="A4318" t="str">
            <v>HD SET BLMDN023</v>
          </cell>
          <cell r="B4318" t="str">
            <v>HEMODIALISA SET BPJS LENGKAP</v>
          </cell>
          <cell r="C4318" t="str">
            <v>HD</v>
          </cell>
        </row>
        <row r="4319">
          <cell r="A4319" t="str">
            <v>HD SET BLMDN025</v>
          </cell>
          <cell r="B4319" t="str">
            <v>HEMODIALISA SET BPJS LENGKAP</v>
          </cell>
          <cell r="C4319" t="str">
            <v>HD</v>
          </cell>
        </row>
        <row r="4320">
          <cell r="A4320" t="str">
            <v>HD SET BLMDN025NAVAK</v>
          </cell>
          <cell r="B4320" t="str">
            <v>HEMODIALISA SET BPJS LENGKAP NON AV FISTULA &amp; AK</v>
          </cell>
          <cell r="C4320" t="str">
            <v>HD</v>
          </cell>
        </row>
        <row r="4321">
          <cell r="A4321" t="str">
            <v>HD SET BLMDN026</v>
          </cell>
          <cell r="B4321" t="str">
            <v>HEMODIALISA SET BPJS LENGKAP</v>
          </cell>
          <cell r="C4321" t="str">
            <v>HD</v>
          </cell>
        </row>
        <row r="4322">
          <cell r="A4322" t="str">
            <v>HD SET BLMDN026 ANAK</v>
          </cell>
          <cell r="B4322" t="str">
            <v>HEMODIALISA SET BPJS LENGKAP ANAK</v>
          </cell>
          <cell r="C4322" t="str">
            <v>HD</v>
          </cell>
        </row>
        <row r="4323">
          <cell r="A4323" t="str">
            <v>HD SET BLMDN028</v>
          </cell>
          <cell r="B4323" t="str">
            <v>HEMODIALISA SET BPJS LENGKAP</v>
          </cell>
          <cell r="C4323" t="str">
            <v>HD</v>
          </cell>
        </row>
        <row r="4324">
          <cell r="A4324" t="str">
            <v>HD SET BLMDN028-NAK</v>
          </cell>
          <cell r="B4324" t="str">
            <v>HEMODIALISA SET BPJS LENGKAP NON AK</v>
          </cell>
          <cell r="C4324" t="str">
            <v>HD</v>
          </cell>
        </row>
        <row r="4325">
          <cell r="A4325" t="str">
            <v>HD SET BLMDN028NAVAK</v>
          </cell>
          <cell r="B4325" t="str">
            <v>HEMODIALISA SET BPJS LENGKAP NON AV FISTULA &amp; AK</v>
          </cell>
          <cell r="C4325" t="str">
            <v>HD</v>
          </cell>
        </row>
        <row r="4326">
          <cell r="A4326" t="str">
            <v>HD SET BLMDN029</v>
          </cell>
          <cell r="B4326" t="str">
            <v>HEMODIALISA SET BPJS LENGKAP</v>
          </cell>
          <cell r="C4326" t="str">
            <v>HD</v>
          </cell>
        </row>
        <row r="4327">
          <cell r="A4327" t="str">
            <v>HD SET BLMDN029-NAK</v>
          </cell>
          <cell r="B4327" t="str">
            <v>HEMODIALISA SET BPJS LENGKAP NON AK</v>
          </cell>
          <cell r="C4327" t="str">
            <v>HD</v>
          </cell>
        </row>
        <row r="4328">
          <cell r="A4328" t="str">
            <v>HD SET BLMDN029NATAK</v>
          </cell>
          <cell r="B4328" t="str">
            <v>HEMODIALISA SET BPJS LENGKAP NON AT &amp; AK</v>
          </cell>
          <cell r="C4328" t="str">
            <v>HD</v>
          </cell>
        </row>
        <row r="4329">
          <cell r="A4329" t="str">
            <v>HD SET BLMDN030</v>
          </cell>
          <cell r="B4329" t="str">
            <v>HEMODIALISA SET BPJS LENGKAP</v>
          </cell>
          <cell r="C4329" t="str">
            <v>HD</v>
          </cell>
        </row>
        <row r="4330">
          <cell r="A4330" t="str">
            <v>HD SET BLMDN030-ELAT</v>
          </cell>
          <cell r="B4330" t="str">
            <v>HEMODIALISA SET BPJS LENGKAP ELISIO + AT</v>
          </cell>
          <cell r="C4330" t="str">
            <v>HD</v>
          </cell>
        </row>
        <row r="4331">
          <cell r="A4331" t="str">
            <v>HD SET BLMDN030-NAK</v>
          </cell>
          <cell r="B4331" t="str">
            <v>HEMODIALISA SET BPJS LENGKAP NON AK10L</v>
          </cell>
          <cell r="C4331" t="str">
            <v>HD</v>
          </cell>
        </row>
        <row r="4332">
          <cell r="A4332" t="str">
            <v>HD SET BLMDN030NATAK</v>
          </cell>
          <cell r="B4332" t="str">
            <v>HEMODIALISA SET BPJS LENGKAP NON AT &amp; AK</v>
          </cell>
          <cell r="C4332" t="str">
            <v>HD</v>
          </cell>
        </row>
        <row r="4333">
          <cell r="A4333" t="str">
            <v>HD SET BLMDN030NAVAK</v>
          </cell>
          <cell r="B4333" t="str">
            <v>HEMODIALISA SET BPJS LENGKAP NON AV FISTULA &amp; AK</v>
          </cell>
          <cell r="C4333" t="str">
            <v>HD</v>
          </cell>
        </row>
        <row r="4334">
          <cell r="A4334" t="str">
            <v>HD SET BLMDN031</v>
          </cell>
          <cell r="B4334" t="str">
            <v>HEMODIALISA SET BPJS LENGKAP</v>
          </cell>
          <cell r="C4334" t="str">
            <v>HD</v>
          </cell>
        </row>
        <row r="4335">
          <cell r="A4335" t="str">
            <v>HD SET BLMDN031NAVAK</v>
          </cell>
          <cell r="B4335" t="str">
            <v>HEMODIALISA SET BPJS LENGKAP NON AV FISTULA &amp; AK</v>
          </cell>
          <cell r="C4335" t="str">
            <v>HD</v>
          </cell>
        </row>
        <row r="4336">
          <cell r="A4336" t="str">
            <v>HD SET BLMDN032</v>
          </cell>
          <cell r="B4336" t="str">
            <v>HEMODIALISA SET BPJS LENGKAP</v>
          </cell>
          <cell r="C4336" t="str">
            <v>HD</v>
          </cell>
        </row>
        <row r="4337">
          <cell r="A4337" t="str">
            <v>HD SET BLMDN033</v>
          </cell>
          <cell r="B4337" t="str">
            <v>HEMODIALISA SET BPJS LENGKAP</v>
          </cell>
          <cell r="C4337" t="str">
            <v>HD</v>
          </cell>
        </row>
        <row r="4338">
          <cell r="A4338" t="str">
            <v>HD SET BLMDN034</v>
          </cell>
          <cell r="B4338" t="str">
            <v>HEMODIALISA SET BPJS LENGKAP</v>
          </cell>
          <cell r="C4338" t="str">
            <v>HD</v>
          </cell>
        </row>
        <row r="4339">
          <cell r="A4339" t="str">
            <v>HD SET BLMDN034NAVAK</v>
          </cell>
          <cell r="B4339" t="str">
            <v>HEMODIALISA SET BPJS LENGKAP NON AV FISTULA &amp; AK</v>
          </cell>
          <cell r="C4339" t="str">
            <v>HD</v>
          </cell>
        </row>
        <row r="4340">
          <cell r="A4340" t="str">
            <v>HD SET BLMDN035</v>
          </cell>
          <cell r="B4340" t="str">
            <v>HEMODIALISA SET BPJS LENGKAP</v>
          </cell>
          <cell r="C4340" t="str">
            <v>HD</v>
          </cell>
        </row>
        <row r="4341">
          <cell r="A4341" t="str">
            <v>HD SET BLMDN035-NAVF</v>
          </cell>
          <cell r="B4341" t="str">
            <v>HEMODIALISA SET BPJS LENGKAP NON AV FISTULA</v>
          </cell>
          <cell r="C4341" t="str">
            <v>HD</v>
          </cell>
        </row>
        <row r="4342">
          <cell r="A4342" t="str">
            <v>HD SET BLMKS001</v>
          </cell>
          <cell r="B4342" t="str">
            <v>HEMODIALISA SET BPJS LENGKAP</v>
          </cell>
          <cell r="C4342" t="str">
            <v>HD</v>
          </cell>
        </row>
        <row r="4343">
          <cell r="A4343" t="str">
            <v>HD SET BLMKS001-NAVF</v>
          </cell>
          <cell r="B4343" t="str">
            <v>HEMODIALISA SET BPJS LENGKAP NON AVFISTULA</v>
          </cell>
          <cell r="C4343" t="str">
            <v>HD</v>
          </cell>
        </row>
        <row r="4344">
          <cell r="A4344" t="str">
            <v>HD SET BLMKS002</v>
          </cell>
          <cell r="B4344" t="str">
            <v>HEMODIALISA SET BPJS LENGKAP</v>
          </cell>
          <cell r="C4344" t="str">
            <v>HD</v>
          </cell>
        </row>
        <row r="4345">
          <cell r="A4345" t="str">
            <v>HD SET BLMKS003</v>
          </cell>
          <cell r="B4345" t="str">
            <v>HEMODIALISA SET BPJS LENGKAP</v>
          </cell>
          <cell r="C4345" t="str">
            <v>HD</v>
          </cell>
        </row>
        <row r="4346">
          <cell r="A4346" t="str">
            <v>HD SET BLMKS004</v>
          </cell>
          <cell r="B4346" t="str">
            <v>HEMODIALISA SET BPJS LENGKAP</v>
          </cell>
          <cell r="C4346" t="str">
            <v>HD</v>
          </cell>
        </row>
        <row r="4347">
          <cell r="A4347" t="str">
            <v>HD SET BLMKS005</v>
          </cell>
          <cell r="B4347" t="str">
            <v>HEMODIALISA SET BPJS LENGKAP</v>
          </cell>
          <cell r="C4347" t="str">
            <v>HD</v>
          </cell>
        </row>
        <row r="4348">
          <cell r="A4348" t="str">
            <v>HD SET BLMKS005-NAVF</v>
          </cell>
          <cell r="B4348" t="str">
            <v>HEMODIALISA SET BPJS LENGKAP TANPA AVFISTULA</v>
          </cell>
          <cell r="C4348" t="str">
            <v>HD</v>
          </cell>
        </row>
        <row r="4349">
          <cell r="A4349" t="str">
            <v>HD SET BLMKS006</v>
          </cell>
          <cell r="B4349" t="str">
            <v>HEMODIALISA SET BPJS LENGKAP</v>
          </cell>
          <cell r="C4349" t="str">
            <v>HD</v>
          </cell>
        </row>
        <row r="4350">
          <cell r="A4350" t="str">
            <v>HD SET BLMKS007</v>
          </cell>
          <cell r="B4350" t="str">
            <v>HEMODIALISA SET BPJS LENGKAP</v>
          </cell>
          <cell r="C4350" t="str">
            <v>HD</v>
          </cell>
        </row>
        <row r="4351">
          <cell r="A4351" t="str">
            <v>HD SET BLMKS008</v>
          </cell>
          <cell r="B4351" t="str">
            <v>HEMODIALISA SET BPJS LENGKAP</v>
          </cell>
          <cell r="C4351" t="str">
            <v>HD</v>
          </cell>
        </row>
        <row r="4352">
          <cell r="A4352" t="str">
            <v>HD SET BLMKS008-NAVF</v>
          </cell>
          <cell r="B4352" t="str">
            <v>HEMODIALISA SET BPJS LENGKAP NON AVFISTULA</v>
          </cell>
          <cell r="C4352" t="str">
            <v>HD</v>
          </cell>
        </row>
        <row r="4353">
          <cell r="A4353" t="str">
            <v>HD SET BLMKS009</v>
          </cell>
          <cell r="B4353" t="str">
            <v>HEMODIALISA SET BPJS LENGKAP</v>
          </cell>
          <cell r="C4353" t="str">
            <v>HD</v>
          </cell>
        </row>
        <row r="4354">
          <cell r="A4354" t="str">
            <v>HD SET BLMKS010</v>
          </cell>
          <cell r="B4354" t="str">
            <v>HEMODIALISA SET BPJS LENGKAP</v>
          </cell>
          <cell r="C4354" t="str">
            <v>HD</v>
          </cell>
        </row>
        <row r="4355">
          <cell r="A4355" t="str">
            <v>HD SET BLMKS010-NAVF</v>
          </cell>
          <cell r="B4355" t="str">
            <v>HEMODIALISA SET BPJS LENGKAP NON AVFISTULA</v>
          </cell>
          <cell r="C4355" t="str">
            <v>HD</v>
          </cell>
        </row>
        <row r="4356">
          <cell r="A4356" t="str">
            <v>HD SET BLMKS011</v>
          </cell>
          <cell r="B4356" t="str">
            <v>HEMODIALISA SET BPJS LENGKAP</v>
          </cell>
          <cell r="C4356" t="str">
            <v>HD</v>
          </cell>
        </row>
        <row r="4357">
          <cell r="A4357" t="str">
            <v>HD SET BLMKS011-P</v>
          </cell>
          <cell r="B4357" t="str">
            <v>HEMODIALISA SET BPJS LENGKAP</v>
          </cell>
          <cell r="C4357" t="str">
            <v>HD</v>
          </cell>
        </row>
        <row r="4358">
          <cell r="A4358" t="str">
            <v>HD SET BLMKS012</v>
          </cell>
          <cell r="B4358" t="str">
            <v>HEMODIALISA SET BPJS LENGKAP</v>
          </cell>
          <cell r="C4358" t="str">
            <v>HD</v>
          </cell>
        </row>
        <row r="4359">
          <cell r="A4359" t="str">
            <v>HD SET BLMKS012 ANAK</v>
          </cell>
          <cell r="B4359" t="str">
            <v>HEMODIALISA SET BPJS LENGKAP ANAK</v>
          </cell>
          <cell r="C4359" t="str">
            <v>HD</v>
          </cell>
        </row>
        <row r="4360">
          <cell r="A4360" t="str">
            <v>HD SET BLMKS012-AKAV</v>
          </cell>
          <cell r="B4360" t="str">
            <v>HEMODIALISA SET TIDAK LENGKAP ELISIO, AV &amp; AK</v>
          </cell>
          <cell r="C4360" t="str">
            <v>HD</v>
          </cell>
        </row>
        <row r="4361">
          <cell r="A4361" t="str">
            <v>HD SET BLMKS012-AT</v>
          </cell>
          <cell r="B4361" t="str">
            <v>HEMODIALISA SET TIDAK LENGKAP ELISIO &amp; AT</v>
          </cell>
          <cell r="C4361" t="str">
            <v>HD</v>
          </cell>
        </row>
        <row r="4362">
          <cell r="A4362" t="str">
            <v>HD SET BLMKS012-NAV2</v>
          </cell>
          <cell r="B4362" t="str">
            <v>HEMODIALISA SET BPJS LENGKAP NON AVFISTULA ANAK</v>
          </cell>
          <cell r="C4362" t="str">
            <v>HD</v>
          </cell>
        </row>
        <row r="4363">
          <cell r="A4363" t="str">
            <v>HD SET BLMKS012NAVAK</v>
          </cell>
          <cell r="B4363" t="str">
            <v>HEMODIALISA SET DEWASA SINGLE USE TANPA AV FISTULA</v>
          </cell>
          <cell r="C4363" t="str">
            <v>HD</v>
          </cell>
        </row>
        <row r="4364">
          <cell r="A4364" t="str">
            <v>HD SET BLMKS012NAVAT</v>
          </cell>
          <cell r="B4364" t="str">
            <v>HEMODIALISA SET BPJS LENGKAP Non AT &amp; AVFISTULA</v>
          </cell>
          <cell r="C4364" t="str">
            <v>HD</v>
          </cell>
        </row>
        <row r="4365">
          <cell r="A4365" t="str">
            <v>HD SET BLMKS012-NAVF</v>
          </cell>
          <cell r="B4365" t="str">
            <v>HEMODIALISA SET BPJS LENGKAP Non AVFISTULA</v>
          </cell>
          <cell r="C4365" t="str">
            <v>HD</v>
          </cell>
        </row>
        <row r="4366">
          <cell r="A4366" t="str">
            <v>HD SET BLMKS013</v>
          </cell>
          <cell r="B4366" t="str">
            <v>HEMODIALISA SET BPJS LENGKAP</v>
          </cell>
          <cell r="C4366" t="str">
            <v>HD</v>
          </cell>
        </row>
        <row r="4367">
          <cell r="A4367" t="str">
            <v>HD SET BLMKS013NAVAK</v>
          </cell>
          <cell r="B4367" t="str">
            <v>HEMODIALISA SET BPJS NON AVFISTULA &amp; AK</v>
          </cell>
          <cell r="C4367" t="str">
            <v>HD</v>
          </cell>
        </row>
        <row r="4368">
          <cell r="A4368" t="str">
            <v>HD SET BLMKS014</v>
          </cell>
          <cell r="B4368" t="str">
            <v>HEMODIALISA SET BPJS LENGKAP</v>
          </cell>
          <cell r="C4368" t="str">
            <v>HD</v>
          </cell>
        </row>
        <row r="4369">
          <cell r="A4369" t="str">
            <v>HD SET BLMKS015</v>
          </cell>
          <cell r="B4369" t="str">
            <v>HEMODIALISA SET BPJS LENGKAP</v>
          </cell>
          <cell r="C4369" t="str">
            <v>HD</v>
          </cell>
        </row>
        <row r="4370">
          <cell r="A4370" t="str">
            <v>HD SET BLMKS016</v>
          </cell>
          <cell r="B4370" t="str">
            <v>HEMODIALISA SET BPJS LENGKAP</v>
          </cell>
          <cell r="C4370" t="str">
            <v>HD</v>
          </cell>
        </row>
        <row r="4371">
          <cell r="A4371" t="str">
            <v>HD SET BLMKS017</v>
          </cell>
          <cell r="B4371" t="str">
            <v>HEMODIALISA SET BPJS LENGKAP</v>
          </cell>
          <cell r="C4371" t="str">
            <v>HD</v>
          </cell>
        </row>
        <row r="4372">
          <cell r="A4372" t="str">
            <v>HD SET BLMKS017-ANAK</v>
          </cell>
          <cell r="B4372" t="str">
            <v>HEMODIALISA SET BPJS LENGKAP ANAK</v>
          </cell>
          <cell r="C4372" t="str">
            <v>HD</v>
          </cell>
        </row>
        <row r="4373">
          <cell r="A4373" t="str">
            <v>HD SET BLMKS018</v>
          </cell>
          <cell r="B4373" t="str">
            <v>HEMODIALISA SET BPJS LENGKAP</v>
          </cell>
          <cell r="C4373" t="str">
            <v>HD</v>
          </cell>
        </row>
        <row r="4374">
          <cell r="A4374" t="str">
            <v>HD SET BLMKS018-NAVF</v>
          </cell>
          <cell r="B4374" t="str">
            <v>HEMODIALISA SET BPJS LENGKAP NON AVFISTULA</v>
          </cell>
          <cell r="C4374" t="str">
            <v>HD</v>
          </cell>
        </row>
        <row r="4375">
          <cell r="A4375" t="str">
            <v>HD SET BLMKS019</v>
          </cell>
          <cell r="B4375" t="str">
            <v>HEMODIALISA SET BPJS LENGKAP</v>
          </cell>
          <cell r="C4375" t="str">
            <v>HD</v>
          </cell>
        </row>
        <row r="4376">
          <cell r="A4376" t="str">
            <v>HD SET BLMKS019 NAVF</v>
          </cell>
          <cell r="B4376" t="str">
            <v>HEMODIALISA SET BPJS LENGKAP NON AVFISTULA &amp; ACID</v>
          </cell>
          <cell r="C4376" t="str">
            <v>HD</v>
          </cell>
        </row>
        <row r="4377">
          <cell r="A4377" t="str">
            <v>HD SET BLMKS019-NAV</v>
          </cell>
          <cell r="B4377" t="str">
            <v>HEMODIALISA SET BPJS LENGKAP NON AVFISTULA</v>
          </cell>
          <cell r="C4377" t="str">
            <v>HD</v>
          </cell>
        </row>
        <row r="4378">
          <cell r="A4378" t="str">
            <v>HD SET BLMKS020 NACD</v>
          </cell>
          <cell r="B4378" t="str">
            <v>HEMODIALISA SET BPJS LENGKAP</v>
          </cell>
          <cell r="C4378" t="str">
            <v>HD</v>
          </cell>
        </row>
        <row r="4379">
          <cell r="A4379" t="str">
            <v>HD SET BLMKS020-NAC</v>
          </cell>
          <cell r="B4379" t="str">
            <v>HEMODIALISA SET BPJS LENGKAP</v>
          </cell>
          <cell r="C4379" t="str">
            <v>HD</v>
          </cell>
        </row>
        <row r="4380">
          <cell r="A4380" t="str">
            <v>HD SET BLMKS021</v>
          </cell>
          <cell r="B4380" t="str">
            <v>HEMODIALISA SET BPJS LENGKAP</v>
          </cell>
          <cell r="C4380" t="str">
            <v>HD</v>
          </cell>
        </row>
        <row r="4381">
          <cell r="A4381" t="str">
            <v>HD SET BLMKS021 NAVF</v>
          </cell>
          <cell r="B4381" t="str">
            <v>HEMODIALISA SET BPJS LENGKAP NON AVFISTULA (E17)</v>
          </cell>
          <cell r="C4381" t="str">
            <v>HD</v>
          </cell>
        </row>
        <row r="4382">
          <cell r="A4382" t="str">
            <v>HD SET BLMKS021-NAV</v>
          </cell>
          <cell r="B4382" t="str">
            <v>HEMODIALISA SET BPJS LENGKAP NON AVFISTULA</v>
          </cell>
          <cell r="C4382" t="str">
            <v>HD</v>
          </cell>
        </row>
        <row r="4383">
          <cell r="A4383" t="str">
            <v>HD SET BLMKS022</v>
          </cell>
          <cell r="B4383" t="str">
            <v>HEMODIALISA SET BPJS LENGKAP</v>
          </cell>
          <cell r="C4383" t="str">
            <v>HD</v>
          </cell>
        </row>
        <row r="4384">
          <cell r="A4384" t="str">
            <v>HD SET BLMKS022 NACD</v>
          </cell>
          <cell r="B4384" t="str">
            <v>HEMODIALISA SET BPJS LENGKAP</v>
          </cell>
          <cell r="C4384" t="str">
            <v>HD</v>
          </cell>
        </row>
        <row r="4385">
          <cell r="A4385" t="str">
            <v>HD SET BLMKS023</v>
          </cell>
          <cell r="B4385" t="str">
            <v>HEMODIALISA SET BPJS LENGKAP</v>
          </cell>
          <cell r="C4385" t="str">
            <v>HD</v>
          </cell>
        </row>
        <row r="4386">
          <cell r="A4386" t="str">
            <v>HD SET BLMKS023 NAVF</v>
          </cell>
          <cell r="B4386" t="str">
            <v>HEMODIALISA SET BPJS LENGKAP</v>
          </cell>
          <cell r="C4386" t="str">
            <v>HD</v>
          </cell>
        </row>
        <row r="4387">
          <cell r="A4387" t="str">
            <v>HD SET BLMKS023-NAV</v>
          </cell>
          <cell r="B4387" t="str">
            <v>HEMODIALISA SET BPJS LENGKAP</v>
          </cell>
          <cell r="C4387" t="str">
            <v>HD</v>
          </cell>
        </row>
        <row r="4388">
          <cell r="A4388" t="str">
            <v>HD SET BLMKS024</v>
          </cell>
          <cell r="B4388" t="str">
            <v>HEMODIALISA SET BPJS LENGKAP</v>
          </cell>
          <cell r="C4388" t="str">
            <v>HD</v>
          </cell>
        </row>
        <row r="4389">
          <cell r="A4389" t="str">
            <v>HD SET BLMKS025</v>
          </cell>
          <cell r="B4389" t="str">
            <v>HEMODIALISA SET BPJS LENGKAP</v>
          </cell>
          <cell r="C4389" t="str">
            <v>HD</v>
          </cell>
        </row>
        <row r="4390">
          <cell r="A4390" t="str">
            <v>HD SET BLMKS028</v>
          </cell>
          <cell r="B4390" t="str">
            <v>HEMODIALISA SET BPJS LENGKAP</v>
          </cell>
          <cell r="C4390" t="str">
            <v>HD</v>
          </cell>
        </row>
        <row r="4391">
          <cell r="A4391" t="str">
            <v>HD SET BLMKS028-NAK</v>
          </cell>
          <cell r="B4391" t="str">
            <v>HEMODIALISA SET BPJS LENGKAP NON AK</v>
          </cell>
          <cell r="C4391" t="str">
            <v>HD</v>
          </cell>
        </row>
        <row r="4392">
          <cell r="A4392" t="str">
            <v>HD SET BLMKS028NAVAK</v>
          </cell>
          <cell r="B4392" t="str">
            <v>HEMODIALISA SET BPJS LENGKAP NON AV FISTULA &amp; AK</v>
          </cell>
          <cell r="C4392" t="str">
            <v>HD</v>
          </cell>
        </row>
        <row r="4393">
          <cell r="A4393" t="str">
            <v>HD SET BLMKS030</v>
          </cell>
          <cell r="B4393" t="str">
            <v>HEMODIALISA SET BPJS LENGKAP</v>
          </cell>
          <cell r="C4393" t="str">
            <v>HD</v>
          </cell>
        </row>
        <row r="4394">
          <cell r="A4394" t="str">
            <v>HD SET BLPWK001</v>
          </cell>
          <cell r="B4394" t="str">
            <v>HEMODIALISA SET BPJS LENGKAP</v>
          </cell>
          <cell r="C4394" t="str">
            <v>HD</v>
          </cell>
        </row>
        <row r="4395">
          <cell r="A4395" t="str">
            <v>HD SET BLPWK0016</v>
          </cell>
          <cell r="B4395" t="str">
            <v>HEMODIALISA SET BPJS LENGKAP</v>
          </cell>
          <cell r="C4395" t="str">
            <v>HD</v>
          </cell>
        </row>
        <row r="4396">
          <cell r="A4396" t="str">
            <v>HD SET BLPWK002</v>
          </cell>
          <cell r="B4396" t="str">
            <v>HEMODIALISA SET BPJS LENGKAP</v>
          </cell>
          <cell r="C4396" t="str">
            <v>HD</v>
          </cell>
        </row>
        <row r="4397">
          <cell r="A4397" t="str">
            <v>HD SET BLPWK002-ELBL</v>
          </cell>
          <cell r="B4397" t="str">
            <v>HEMODIALISA SET BPJS LENGKAP ELISIO + BLOOD TUBING</v>
          </cell>
          <cell r="C4397" t="str">
            <v>HD</v>
          </cell>
        </row>
        <row r="4398">
          <cell r="A4398" t="str">
            <v>HD SET BLPWK002-NAK</v>
          </cell>
          <cell r="B4398" t="str">
            <v>HEMODIALISA SET BPJS LENGKAP NON AK</v>
          </cell>
          <cell r="C4398" t="str">
            <v>HD</v>
          </cell>
        </row>
        <row r="4399">
          <cell r="A4399" t="str">
            <v>HD SET BLPWK002NAVAK</v>
          </cell>
          <cell r="B4399" t="str">
            <v>HEMODIALISA SET BPJS LENGKAP NON AV FISTULA &amp; AK</v>
          </cell>
          <cell r="C4399" t="str">
            <v>HD</v>
          </cell>
        </row>
        <row r="4400">
          <cell r="A4400" t="str">
            <v>HD SET BLPWK003</v>
          </cell>
          <cell r="B4400" t="str">
            <v>HEMODIALISA SET BPJS LENGKAP</v>
          </cell>
          <cell r="C4400" t="str">
            <v>HD</v>
          </cell>
        </row>
        <row r="4401">
          <cell r="A4401" t="str">
            <v>HD SET BLPWK003-HDP</v>
          </cell>
          <cell r="B4401" t="str">
            <v>HEMODIALISA SET BPJS LENGKAP DENGAN HD PACK</v>
          </cell>
          <cell r="C4401" t="str">
            <v>HD</v>
          </cell>
        </row>
        <row r="4402">
          <cell r="A4402" t="str">
            <v>HD SET BLPWK003-HDP2</v>
          </cell>
          <cell r="B4402" t="str">
            <v>HEMODIALISA SET BPJS LENGKAP DENGAN HD PACK NON AV</v>
          </cell>
          <cell r="C4402" t="str">
            <v>HD</v>
          </cell>
        </row>
        <row r="4403">
          <cell r="A4403" t="str">
            <v>HD SET BLPWK004</v>
          </cell>
          <cell r="B4403" t="str">
            <v>HEMODIALISA SET BPJS LENGKAP</v>
          </cell>
          <cell r="C4403" t="str">
            <v>HD</v>
          </cell>
        </row>
        <row r="4404">
          <cell r="A4404" t="str">
            <v>HD SET BLPWK005</v>
          </cell>
          <cell r="B4404" t="str">
            <v>HEMODIALISA SET BPJS LENGKAP</v>
          </cell>
          <cell r="C4404" t="str">
            <v>HD</v>
          </cell>
        </row>
        <row r="4405">
          <cell r="A4405" t="str">
            <v>HD SET BLPWK006</v>
          </cell>
          <cell r="B4405" t="str">
            <v>HEMODIALISA SET BPJS LENGKAP</v>
          </cell>
          <cell r="C4405" t="str">
            <v>HD</v>
          </cell>
        </row>
        <row r="4406">
          <cell r="A4406" t="str">
            <v>HD SET BLPWK007</v>
          </cell>
          <cell r="B4406" t="str">
            <v>HEMODIALISA SET BPJS LENGKAP</v>
          </cell>
          <cell r="C4406" t="str">
            <v>HD</v>
          </cell>
        </row>
        <row r="4407">
          <cell r="A4407" t="str">
            <v>HD SET BLPWK008</v>
          </cell>
          <cell r="B4407" t="str">
            <v>HEMODIALISA SET BPJS LENGKAP</v>
          </cell>
          <cell r="C4407" t="str">
            <v>HD</v>
          </cell>
        </row>
        <row r="4408">
          <cell r="A4408" t="str">
            <v>HD SET BLPWK008-NAK</v>
          </cell>
          <cell r="B4408" t="str">
            <v>HEMODIALISA SET BPJS LENGKAP NON ACID</v>
          </cell>
          <cell r="C4408" t="str">
            <v>HD</v>
          </cell>
        </row>
        <row r="4409">
          <cell r="A4409" t="str">
            <v>HD SET BLPWK009</v>
          </cell>
          <cell r="B4409" t="str">
            <v>HEMODIALISA SET BPJS LENGKAP</v>
          </cell>
          <cell r="C4409" t="str">
            <v>HD</v>
          </cell>
        </row>
        <row r="4410">
          <cell r="A4410" t="str">
            <v>HD SET BLPWK009-NAK</v>
          </cell>
          <cell r="B4410" t="str">
            <v>HEMODIALISA SET BPJS LENGKAP NON AK</v>
          </cell>
          <cell r="C4410" t="str">
            <v>HD</v>
          </cell>
        </row>
        <row r="4411">
          <cell r="A4411" t="str">
            <v>HD SET BLPWK012</v>
          </cell>
          <cell r="B4411" t="str">
            <v>HEMODIALISA SET BPJS LENGKAP</v>
          </cell>
          <cell r="C4411" t="str">
            <v>HD</v>
          </cell>
        </row>
        <row r="4412">
          <cell r="A4412" t="str">
            <v>HD SET BLPWK012-1</v>
          </cell>
          <cell r="B4412" t="str">
            <v>HEMODIALISA SET BPJS LENGKAP MEDIUM FLUX</v>
          </cell>
          <cell r="C4412" t="str">
            <v>HD</v>
          </cell>
        </row>
        <row r="4413">
          <cell r="A4413" t="str">
            <v>HD SET BLPWK013</v>
          </cell>
          <cell r="B4413" t="str">
            <v>HEMODIALISA SET BPJS LENGKAP</v>
          </cell>
          <cell r="C4413" t="str">
            <v>HD</v>
          </cell>
        </row>
        <row r="4414">
          <cell r="A4414" t="str">
            <v>HD SET BLPWK013NAVAK</v>
          </cell>
          <cell r="B4414" t="str">
            <v>HEMODIALISA SET BPJS LENGKAP NON AVFISTULA &amp; AK</v>
          </cell>
          <cell r="C4414" t="str">
            <v>HD</v>
          </cell>
        </row>
        <row r="4415">
          <cell r="A4415" t="str">
            <v>HD SET BLPWK013-NAVF</v>
          </cell>
          <cell r="B4415" t="str">
            <v>HEMODIALISA SET BPJS LENGKAP NON AVFISTULA</v>
          </cell>
          <cell r="C4415" t="str">
            <v>HD</v>
          </cell>
        </row>
        <row r="4416">
          <cell r="A4416" t="str">
            <v>HD SET BLPWK014</v>
          </cell>
          <cell r="B4416" t="str">
            <v>HEMODIALISA SET BPJS LENGKAP</v>
          </cell>
          <cell r="C4416" t="str">
            <v>HD</v>
          </cell>
        </row>
        <row r="4417">
          <cell r="A4417" t="str">
            <v>HD SET BLPWK014 HDF</v>
          </cell>
          <cell r="B4417" t="str">
            <v>HEMODIALISA SET BPJS LENGKAP HDF</v>
          </cell>
          <cell r="C4417" t="str">
            <v>HD</v>
          </cell>
        </row>
        <row r="4418">
          <cell r="A4418" t="str">
            <v>HD SET BLPWK014-ANAK</v>
          </cell>
          <cell r="B4418" t="str">
            <v>HEMODIALISA SET BPJS LENGKAP ANAK</v>
          </cell>
          <cell r="C4418" t="str">
            <v>HD</v>
          </cell>
        </row>
        <row r="4419">
          <cell r="A4419" t="str">
            <v>HD SET BLPWK014-ELBL</v>
          </cell>
          <cell r="B4419" t="str">
            <v>HEMODIALISA SET BPJS LENGKAP ELISIO + BLOOD TUBING</v>
          </cell>
          <cell r="C4419" t="str">
            <v>HD</v>
          </cell>
        </row>
        <row r="4420">
          <cell r="A4420" t="str">
            <v>HD SET BLPWK014-NAK</v>
          </cell>
          <cell r="B4420" t="str">
            <v>HEMODIALISA SET BPJS LENGKAP NON AK</v>
          </cell>
          <cell r="C4420" t="str">
            <v>HD</v>
          </cell>
        </row>
        <row r="4421">
          <cell r="A4421" t="str">
            <v>HD SET BLPWK014-NAVF</v>
          </cell>
          <cell r="B4421" t="str">
            <v>HEMODIALISA SET BPJS LENGKAP NON AVFISTULA</v>
          </cell>
          <cell r="C4421" t="str">
            <v>HD</v>
          </cell>
        </row>
        <row r="4422">
          <cell r="A4422" t="str">
            <v>HD SET BLPWK015</v>
          </cell>
          <cell r="B4422" t="str">
            <v>HEMODIALISA SET BPJS LENGKAP</v>
          </cell>
          <cell r="C4422" t="str">
            <v>HD</v>
          </cell>
        </row>
        <row r="4423">
          <cell r="A4423" t="str">
            <v>HD SET BLPWK016</v>
          </cell>
          <cell r="B4423" t="str">
            <v>HEMODIALISA SET BPJS LENGKAP</v>
          </cell>
          <cell r="C4423" t="str">
            <v>HD</v>
          </cell>
        </row>
        <row r="4424">
          <cell r="A4424" t="str">
            <v>HD SET BLPWK016 HDF</v>
          </cell>
          <cell r="B4424" t="str">
            <v>HEMODIALISA SET BPJS LENGKAP HDF ONLINE</v>
          </cell>
          <cell r="C4424" t="str">
            <v>HD</v>
          </cell>
        </row>
        <row r="4425">
          <cell r="A4425" t="str">
            <v>HD SET BLPWK016-ANAK</v>
          </cell>
          <cell r="B4425" t="str">
            <v>HEMODIALISA SET BPJS LENGKAP ANAK</v>
          </cell>
          <cell r="C4425" t="str">
            <v>HD</v>
          </cell>
        </row>
        <row r="4426">
          <cell r="A4426" t="str">
            <v>HD SET BLPWK016-NAVF</v>
          </cell>
          <cell r="B4426" t="str">
            <v>HEMODIALISA SET BPJS LENGKAP NON AVFISTULA</v>
          </cell>
          <cell r="C4426" t="str">
            <v>HD</v>
          </cell>
        </row>
        <row r="4427">
          <cell r="A4427" t="str">
            <v>HD SET BLPWK017</v>
          </cell>
          <cell r="B4427" t="str">
            <v>HEMODIALISA SET BPJS LENGKAP</v>
          </cell>
          <cell r="C4427" t="str">
            <v>HD</v>
          </cell>
        </row>
        <row r="4428">
          <cell r="A4428" t="str">
            <v>HD SET BLSBY001</v>
          </cell>
          <cell r="B4428" t="str">
            <v>HEMODIALISA SET BPJS LENGKAP</v>
          </cell>
          <cell r="C4428" t="str">
            <v>HD</v>
          </cell>
        </row>
        <row r="4429">
          <cell r="A4429" t="str">
            <v>HD SET BLSBY001-17H</v>
          </cell>
          <cell r="B4429" t="str">
            <v>HEMODIALIASA SET BPJS LENGKAP</v>
          </cell>
          <cell r="C4429" t="str">
            <v>HD</v>
          </cell>
        </row>
        <row r="4430">
          <cell r="A4430" t="str">
            <v>HD SET BLSBY002</v>
          </cell>
          <cell r="B4430" t="str">
            <v>HEMODIALISA SET BPJS LENGKAP</v>
          </cell>
          <cell r="C4430" t="str">
            <v>HD</v>
          </cell>
        </row>
        <row r="4431">
          <cell r="A4431" t="str">
            <v>HD SET BLSBY003</v>
          </cell>
          <cell r="B4431" t="str">
            <v>HEMODIALISA SET BPJS LENGKAP</v>
          </cell>
          <cell r="C4431" t="str">
            <v>HD</v>
          </cell>
        </row>
        <row r="4432">
          <cell r="A4432" t="str">
            <v>HD SET BLSBY003 HDF</v>
          </cell>
          <cell r="B4432" t="str">
            <v>HEMODIALISA SET BPJS LENGKAP (HDF BHP PACK)</v>
          </cell>
          <cell r="C4432" t="str">
            <v>HD</v>
          </cell>
        </row>
        <row r="4433">
          <cell r="A4433" t="str">
            <v>HD SET BLSBY003-NAVF</v>
          </cell>
          <cell r="B4433" t="str">
            <v>HEMODIALISA SET BPJS LENGKAP NON AVFISTULA</v>
          </cell>
          <cell r="C4433" t="str">
            <v>HD</v>
          </cell>
        </row>
        <row r="4434">
          <cell r="A4434" t="str">
            <v>HD SET BLSBY004</v>
          </cell>
          <cell r="B4434" t="str">
            <v>HEMODIALISA SET BPJS LENGKAP</v>
          </cell>
          <cell r="C4434" t="str">
            <v>HD</v>
          </cell>
        </row>
        <row r="4435">
          <cell r="A4435" t="str">
            <v>HD SET BLSBY004-ANAK</v>
          </cell>
          <cell r="B4435" t="str">
            <v>HEMODIALISA SET BPJS LENGKAP ANAK</v>
          </cell>
          <cell r="C4435" t="str">
            <v>HD</v>
          </cell>
        </row>
        <row r="4436">
          <cell r="A4436" t="str">
            <v>HD SET BLSBY004-NAVF</v>
          </cell>
          <cell r="B4436" t="str">
            <v>HEMODIALISA SET BPJS LENGKAP NON AVFISTULA</v>
          </cell>
          <cell r="C4436" t="str">
            <v>HD</v>
          </cell>
        </row>
        <row r="4437">
          <cell r="A4437" t="str">
            <v>HD SET BLSBY005</v>
          </cell>
          <cell r="B4437" t="str">
            <v>HEMODIALISA SET BPJS LENGKAP</v>
          </cell>
          <cell r="C4437" t="str">
            <v>HD</v>
          </cell>
        </row>
        <row r="4438">
          <cell r="A4438" t="str">
            <v>HD SET BLSBY006</v>
          </cell>
          <cell r="B4438" t="str">
            <v>HEMODIALISA SET BPJS LENGKAP</v>
          </cell>
          <cell r="C4438" t="str">
            <v>HD</v>
          </cell>
        </row>
        <row r="4439">
          <cell r="A4439" t="str">
            <v>HD SET BLSBY006-ELAT</v>
          </cell>
          <cell r="B4439" t="str">
            <v>HEMODIALISA SET BPJS LENGKAP ELISIO + AT</v>
          </cell>
          <cell r="C4439" t="str">
            <v>HD</v>
          </cell>
        </row>
        <row r="4440">
          <cell r="A4440" t="str">
            <v>HD SET BLSBY006-ELBL</v>
          </cell>
          <cell r="B4440" t="str">
            <v>HEMODIALISA SET BPJS LENGKAP ELISIO + BLOOD TUBING</v>
          </cell>
          <cell r="C4440" t="str">
            <v>HD</v>
          </cell>
        </row>
        <row r="4441">
          <cell r="A4441" t="str">
            <v>HD SET BLSBY006NAKAT</v>
          </cell>
          <cell r="B4441" t="str">
            <v>HEMODIALISA SET BPJS LENGKAP NON AK &amp; AT</v>
          </cell>
          <cell r="C4441" t="str">
            <v>HD</v>
          </cell>
        </row>
        <row r="4442">
          <cell r="A4442" t="str">
            <v>HD SET BLSBY006NAVAK</v>
          </cell>
          <cell r="B4442" t="str">
            <v>HEMODIALISA SET BPJS LENGKAP NON AVFISTULA DAN AK</v>
          </cell>
          <cell r="C4442" t="str">
            <v>HD</v>
          </cell>
        </row>
        <row r="4443">
          <cell r="A4443" t="str">
            <v>HD SET BLSBY006-NAVF</v>
          </cell>
          <cell r="B4443" t="str">
            <v>HEMODIALISA SET BPJS LENGKAP NON AVFISTULA</v>
          </cell>
          <cell r="C4443" t="str">
            <v>HD</v>
          </cell>
        </row>
        <row r="4444">
          <cell r="A4444" t="str">
            <v>HD SET BLSBY007</v>
          </cell>
          <cell r="B4444" t="str">
            <v>HEMODIALISA SET BPJS LENGKAP</v>
          </cell>
          <cell r="C4444" t="str">
            <v>HD</v>
          </cell>
        </row>
        <row r="4445">
          <cell r="A4445" t="str">
            <v>HD SET BLSBY007-NAK</v>
          </cell>
          <cell r="B4445" t="str">
            <v>HEMODIALISA SET BPJS LENGKAP NON ACID</v>
          </cell>
          <cell r="C4445" t="str">
            <v>HD</v>
          </cell>
        </row>
        <row r="4446">
          <cell r="A4446" t="str">
            <v>HD SET BLSBY007-NAVF</v>
          </cell>
          <cell r="B4446" t="str">
            <v>HEMODIALISA SET BPJS LENGKAP NON AVFISTULA</v>
          </cell>
          <cell r="C4446" t="str">
            <v>HD</v>
          </cell>
        </row>
        <row r="4447">
          <cell r="A4447" t="str">
            <v>HD SET BLSBY008</v>
          </cell>
          <cell r="B4447" t="str">
            <v>HEMODIALISA SET BPJS LENGKAP</v>
          </cell>
          <cell r="C4447" t="str">
            <v>HD</v>
          </cell>
        </row>
        <row r="4448">
          <cell r="A4448" t="str">
            <v>HD SET BLSBY009</v>
          </cell>
          <cell r="B4448" t="str">
            <v>HEMODIALISA SET BPJS LENGKAP</v>
          </cell>
          <cell r="C4448" t="str">
            <v>HD</v>
          </cell>
        </row>
        <row r="4449">
          <cell r="A4449" t="str">
            <v>HD SET BLSBY010</v>
          </cell>
          <cell r="B4449" t="str">
            <v>HEMODIALISA SET BPJS LENGKAP</v>
          </cell>
          <cell r="C4449" t="str">
            <v>HD</v>
          </cell>
        </row>
        <row r="4450">
          <cell r="A4450" t="str">
            <v>HD SET BLSBY011</v>
          </cell>
          <cell r="B4450" t="str">
            <v>HEMODIALISA SET BPJS LENGKAP</v>
          </cell>
          <cell r="C4450" t="str">
            <v>HD</v>
          </cell>
        </row>
        <row r="4451">
          <cell r="A4451" t="str">
            <v>HD SET BLSBY011-NAK</v>
          </cell>
          <cell r="B4451" t="str">
            <v>HEMODIALISA SET BPJS LENGKAP NON AK</v>
          </cell>
          <cell r="C4451" t="str">
            <v>HD</v>
          </cell>
        </row>
        <row r="4452">
          <cell r="A4452" t="str">
            <v>HD SET BLSBY011-NAT</v>
          </cell>
          <cell r="B4452" t="str">
            <v>HEMODIALISA SET BPJS LENGKAP NON AT</v>
          </cell>
          <cell r="C4452" t="str">
            <v>HD</v>
          </cell>
        </row>
        <row r="4453">
          <cell r="A4453" t="str">
            <v>HD SET BLSBY011-NCU</v>
          </cell>
          <cell r="B4453" t="str">
            <v>HEMODIALISA SET UMUM LENGKAP (HDF BHP PACK)</v>
          </cell>
          <cell r="C4453" t="str">
            <v>HD</v>
          </cell>
        </row>
        <row r="4454">
          <cell r="A4454" t="str">
            <v>HD SET BLSBY012</v>
          </cell>
          <cell r="B4454" t="str">
            <v>HEMODIALISA SET BPJS LENGKAP</v>
          </cell>
          <cell r="C4454" t="str">
            <v>HD</v>
          </cell>
        </row>
        <row r="4455">
          <cell r="A4455" t="str">
            <v>HD SET BLSBY012-P</v>
          </cell>
          <cell r="B4455" t="str">
            <v>HEMODIALISA SET BPJS LENGKAP</v>
          </cell>
          <cell r="C4455" t="str">
            <v>HD</v>
          </cell>
        </row>
        <row r="4456">
          <cell r="A4456" t="str">
            <v>HD SET BLSBY012-RSUG</v>
          </cell>
          <cell r="B4456" t="str">
            <v>HEMODIALISA SET BPJS LENGKAP</v>
          </cell>
          <cell r="C4456" t="str">
            <v>HD</v>
          </cell>
        </row>
        <row r="4457">
          <cell r="A4457" t="str">
            <v>HD SET BLSBY013</v>
          </cell>
          <cell r="B4457" t="str">
            <v>HEMODIALISA SET BPJS LENGKAP</v>
          </cell>
          <cell r="C4457" t="str">
            <v>HD</v>
          </cell>
        </row>
        <row r="4458">
          <cell r="A4458" t="str">
            <v>HD SET BLSBY013-1</v>
          </cell>
          <cell r="B4458" t="str">
            <v>HEMODIALISA SET BPJS LENGKAP</v>
          </cell>
          <cell r="C4458" t="str">
            <v>HD</v>
          </cell>
        </row>
        <row r="4459">
          <cell r="A4459" t="str">
            <v>HD SET BLSBY014</v>
          </cell>
          <cell r="B4459" t="str">
            <v>HEMODIALISA SET UMUM LENGKAP</v>
          </cell>
          <cell r="C4459" t="str">
            <v>HD</v>
          </cell>
        </row>
        <row r="4460">
          <cell r="A4460" t="str">
            <v>HD SET BLSBY014 ANAK</v>
          </cell>
          <cell r="B4460" t="str">
            <v>HEMODIALISA SET LENGKAP ANAK</v>
          </cell>
          <cell r="C4460" t="str">
            <v>HD</v>
          </cell>
        </row>
        <row r="4461">
          <cell r="A4461" t="str">
            <v>HD SET BLSBY014-E17</v>
          </cell>
          <cell r="B4461" t="str">
            <v>HEMODIALISA SET UMUM LENGKAP</v>
          </cell>
          <cell r="C4461" t="str">
            <v>HD</v>
          </cell>
        </row>
        <row r="4462">
          <cell r="A4462" t="str">
            <v>HD SET BLSBY014NAVF1</v>
          </cell>
          <cell r="B4462" t="str">
            <v>HEMODIALISA SET LENGKAP ANAK NON AVFISTULA</v>
          </cell>
          <cell r="C4462" t="str">
            <v>HD</v>
          </cell>
        </row>
        <row r="4463">
          <cell r="A4463" t="str">
            <v>HD SET BLSBY014NAVF2</v>
          </cell>
          <cell r="B4463" t="str">
            <v>HEMODIALISA SET UMUM LENGKAP NON AVFISTULA</v>
          </cell>
          <cell r="C4463" t="str">
            <v>HD</v>
          </cell>
        </row>
        <row r="4464">
          <cell r="A4464" t="str">
            <v>HD SET BLSBY015</v>
          </cell>
          <cell r="B4464" t="str">
            <v>HEMODIALISA SET BPJS LENGKAP</v>
          </cell>
          <cell r="C4464" t="str">
            <v>HD</v>
          </cell>
        </row>
        <row r="4465">
          <cell r="A4465" t="str">
            <v>HD SET BLSBY015-NAK</v>
          </cell>
          <cell r="B4465" t="str">
            <v>HEMODIALISA SET BPJS LENGKAP NON ACID</v>
          </cell>
          <cell r="C4465" t="str">
            <v>HD</v>
          </cell>
        </row>
        <row r="4466">
          <cell r="A4466" t="str">
            <v>HD SET BLSBY015-NAVF</v>
          </cell>
          <cell r="B4466" t="str">
            <v>HEMODIALISA SET BPJS LENGKAP NON AVFISTULA</v>
          </cell>
          <cell r="C4466" t="str">
            <v>HD</v>
          </cell>
        </row>
        <row r="4467">
          <cell r="A4467" t="str">
            <v>HD SET BLSBY016</v>
          </cell>
          <cell r="B4467" t="str">
            <v>HEMODIALISA SET BPJS LENGKAP</v>
          </cell>
          <cell r="C4467" t="str">
            <v>HD</v>
          </cell>
        </row>
        <row r="4468">
          <cell r="A4468" t="str">
            <v>HD SET BLSBY016-E17</v>
          </cell>
          <cell r="B4468" t="str">
            <v>HEMODIALISA SET BPJS LENGKAP</v>
          </cell>
          <cell r="C4468" t="str">
            <v>HD</v>
          </cell>
        </row>
        <row r="4469">
          <cell r="A4469" t="str">
            <v>HD SET BLSBY017</v>
          </cell>
          <cell r="B4469" t="str">
            <v>HEMODIALISA SET BPJS LENGKAP</v>
          </cell>
          <cell r="C4469" t="str">
            <v>HD</v>
          </cell>
        </row>
        <row r="4470">
          <cell r="A4470" t="str">
            <v>HD SET BLSBY017-NAVF</v>
          </cell>
          <cell r="B4470" t="str">
            <v>HEMODIALISA SET BPJS LENGKAP NON AVFISTULA</v>
          </cell>
          <cell r="C4470" t="str">
            <v>HD</v>
          </cell>
        </row>
        <row r="4471">
          <cell r="A4471" t="str">
            <v>HD SET BLSBY018</v>
          </cell>
          <cell r="B4471" t="str">
            <v>HEMODIALISA SET BPJS LENGKAP</v>
          </cell>
          <cell r="C4471" t="str">
            <v>HD</v>
          </cell>
        </row>
        <row r="4472">
          <cell r="A4472" t="str">
            <v>HD SET BLSBY018-1</v>
          </cell>
          <cell r="B4472" t="str">
            <v>HEMODIALISA SET BPJS LENGKAP</v>
          </cell>
          <cell r="C4472" t="str">
            <v>HD</v>
          </cell>
        </row>
        <row r="4473">
          <cell r="A4473" t="str">
            <v>HD SET BLSBY018-NAVF</v>
          </cell>
          <cell r="B4473" t="str">
            <v>HEMODIALISA SET BPJS LENGKAP NON AVFISTULA</v>
          </cell>
          <cell r="C4473" t="str">
            <v>HD</v>
          </cell>
        </row>
        <row r="4474">
          <cell r="A4474" t="str">
            <v>HD SET BLSBY019</v>
          </cell>
          <cell r="B4474" t="str">
            <v>HEMODIALISA SET BPJS LENGKAP</v>
          </cell>
          <cell r="C4474" t="str">
            <v>HD</v>
          </cell>
        </row>
        <row r="4475">
          <cell r="A4475" t="str">
            <v>HD SET BLSBY019 ANAK</v>
          </cell>
          <cell r="B4475" t="str">
            <v>HEMODIALISA SET BPJS LENGKAP ANAK</v>
          </cell>
          <cell r="C4475" t="str">
            <v>HD</v>
          </cell>
        </row>
        <row r="4476">
          <cell r="A4476" t="str">
            <v>HD SET BLSBY020</v>
          </cell>
          <cell r="B4476" t="str">
            <v>HEMODIALISA SET BPJS LENGKAP</v>
          </cell>
          <cell r="C4476" t="str">
            <v>HD</v>
          </cell>
        </row>
        <row r="4477">
          <cell r="A4477" t="str">
            <v>HD SET BLSBY021</v>
          </cell>
          <cell r="B4477" t="str">
            <v>HEMODIALISA SET BPJS LENGKAP</v>
          </cell>
          <cell r="C4477" t="str">
            <v>HD</v>
          </cell>
        </row>
        <row r="4478">
          <cell r="A4478" t="str">
            <v>HD SET BLSBY021-01</v>
          </cell>
          <cell r="B4478" t="str">
            <v>HEMODIALISA SET BPJS LENGKAP</v>
          </cell>
          <cell r="C4478" t="str">
            <v>HD</v>
          </cell>
        </row>
        <row r="4479">
          <cell r="A4479" t="str">
            <v>HD SET BLSBY021-NAVF</v>
          </cell>
          <cell r="B4479" t="str">
            <v>HEMODIALISA SET BPJS LENGKAP NON AV FISTULA</v>
          </cell>
          <cell r="C4479" t="str">
            <v>HD</v>
          </cell>
        </row>
        <row r="4480">
          <cell r="A4480" t="str">
            <v>HD SET BLSBY022</v>
          </cell>
          <cell r="B4480" t="str">
            <v>HEMODIALISA SET BPJS LENGKAP</v>
          </cell>
          <cell r="C4480" t="str">
            <v>HD</v>
          </cell>
        </row>
        <row r="4481">
          <cell r="A4481" t="str">
            <v>HD SET BLSBY023</v>
          </cell>
          <cell r="B4481" t="str">
            <v>HEMODIALISA SET BPJS LENGKAP</v>
          </cell>
          <cell r="C4481" t="str">
            <v>HD</v>
          </cell>
        </row>
        <row r="4482">
          <cell r="A4482" t="str">
            <v>HD SET BLSBY023-NAVF</v>
          </cell>
          <cell r="B4482" t="str">
            <v>HEMODIALISA SET BPJS LENGKAP NON AVFISTULA</v>
          </cell>
          <cell r="C4482" t="str">
            <v>HD</v>
          </cell>
        </row>
        <row r="4483">
          <cell r="A4483" t="str">
            <v>HD SET BLSBY024</v>
          </cell>
          <cell r="B4483" t="str">
            <v>HEMODIALISA SET BPJS LENGKAP</v>
          </cell>
          <cell r="C4483" t="str">
            <v>HD</v>
          </cell>
        </row>
        <row r="4484">
          <cell r="A4484" t="str">
            <v>HD SET BLSBY025</v>
          </cell>
          <cell r="B4484" t="str">
            <v>HEMODIALISA SET BPJS LENGKAP</v>
          </cell>
          <cell r="C4484" t="str">
            <v>HD</v>
          </cell>
        </row>
        <row r="4485">
          <cell r="A4485" t="str">
            <v>HD SET BLSBY025 ANAK</v>
          </cell>
          <cell r="B4485" t="str">
            <v>HEMODIALISA SET BPJS LENGKAP UNTUK ANAK</v>
          </cell>
          <cell r="C4485" t="str">
            <v>HD</v>
          </cell>
        </row>
        <row r="4486">
          <cell r="A4486" t="str">
            <v>HD SET BLSBY026</v>
          </cell>
          <cell r="B4486" t="str">
            <v>HEMODIALISA SET BPJS LENGKAP</v>
          </cell>
          <cell r="C4486" t="str">
            <v>HD</v>
          </cell>
        </row>
        <row r="4487">
          <cell r="A4487" t="str">
            <v>HD SET BLSBY026-NA1</v>
          </cell>
          <cell r="B4487" t="str">
            <v>HEMODIALISA SET BPJS LENGKAP</v>
          </cell>
          <cell r="C4487" t="str">
            <v>HD</v>
          </cell>
        </row>
        <row r="4488">
          <cell r="A4488" t="str">
            <v>HD SET BLSBY026-NAVF</v>
          </cell>
          <cell r="B4488" t="str">
            <v>HEMODIALISA SET BPJS LENGKAP</v>
          </cell>
          <cell r="C4488" t="str">
            <v>HD</v>
          </cell>
        </row>
        <row r="4489">
          <cell r="A4489" t="str">
            <v>HD SET BLSBY026-NB1</v>
          </cell>
          <cell r="B4489" t="str">
            <v>HEMODIALISA SET BPJS LENGKAP</v>
          </cell>
          <cell r="C4489" t="str">
            <v>HD</v>
          </cell>
        </row>
        <row r="4490">
          <cell r="A4490" t="str">
            <v>HD SET BLSBY026-NCON</v>
          </cell>
          <cell r="B4490" t="str">
            <v>HEMODIALISA SET BPJS LENGKAP</v>
          </cell>
          <cell r="C4490" t="str">
            <v>HD</v>
          </cell>
        </row>
        <row r="4491">
          <cell r="A4491" t="str">
            <v>HD SET BLSBY027</v>
          </cell>
          <cell r="B4491" t="str">
            <v>HEMODIALISA SET BPJS LENGKAP</v>
          </cell>
          <cell r="C4491" t="str">
            <v>HD</v>
          </cell>
        </row>
        <row r="4492">
          <cell r="A4492" t="str">
            <v>HD SET BLSBY027-NAVF</v>
          </cell>
          <cell r="B4492" t="str">
            <v>HEMODIALISA SET BPJS LENGKAP NON AVFISTULA</v>
          </cell>
          <cell r="C4492" t="str">
            <v>HD</v>
          </cell>
        </row>
        <row r="4493">
          <cell r="A4493" t="str">
            <v>HD SET BLSBY027-P</v>
          </cell>
          <cell r="B4493" t="str">
            <v>HEMODIALISA SET BPJS LENGKAP</v>
          </cell>
          <cell r="C4493" t="str">
            <v>HD</v>
          </cell>
        </row>
        <row r="4494">
          <cell r="A4494" t="str">
            <v>HD SET BLSBY028</v>
          </cell>
          <cell r="B4494" t="str">
            <v>HEMODIALISA SET BPJS LENGKAP</v>
          </cell>
          <cell r="C4494" t="str">
            <v>HD</v>
          </cell>
        </row>
        <row r="4495">
          <cell r="A4495" t="str">
            <v>HD SET BLSBY028-NAVF</v>
          </cell>
          <cell r="B4495" t="str">
            <v>HEMODIALISA SET BPJS LENGKAP NON AVFISTULA</v>
          </cell>
          <cell r="C4495" t="str">
            <v>HD</v>
          </cell>
        </row>
        <row r="4496">
          <cell r="A4496" t="str">
            <v>HD SET BLSBY029</v>
          </cell>
          <cell r="B4496" t="str">
            <v>HEMODIALISA SET BPJS LENGKAP</v>
          </cell>
          <cell r="C4496" t="str">
            <v>HD</v>
          </cell>
        </row>
        <row r="4497">
          <cell r="A4497" t="str">
            <v>HD SET BLSBY029-NAVF</v>
          </cell>
          <cell r="B4497" t="str">
            <v>HEMODIALISA SET BPJS LENGKAP NON AVFISTULA</v>
          </cell>
          <cell r="C4497" t="str">
            <v>HD</v>
          </cell>
        </row>
        <row r="4498">
          <cell r="A4498" t="str">
            <v>HD SET BLSBY030</v>
          </cell>
          <cell r="B4498" t="str">
            <v>HEMODIALISA SET BPJS LENGKAP</v>
          </cell>
          <cell r="C4498" t="str">
            <v>HD</v>
          </cell>
        </row>
        <row r="4499">
          <cell r="A4499" t="str">
            <v>HD SET BLSBY030-NAVF</v>
          </cell>
          <cell r="B4499" t="str">
            <v>HEMODIALISA SET BPJS LENGKAP NON AVFISTULA</v>
          </cell>
          <cell r="C4499" t="str">
            <v>HD</v>
          </cell>
        </row>
        <row r="4500">
          <cell r="A4500" t="str">
            <v>HD SET BLSBY031</v>
          </cell>
          <cell r="B4500" t="str">
            <v>HEMODIALISA SET BPJS LENGKAP</v>
          </cell>
          <cell r="C4500" t="str">
            <v>HD</v>
          </cell>
        </row>
        <row r="4501">
          <cell r="A4501" t="str">
            <v>HD SET BLSBY032</v>
          </cell>
          <cell r="B4501" t="str">
            <v>HEMODIALISA SET BPJS LENGKAP</v>
          </cell>
          <cell r="C4501" t="str">
            <v>HD</v>
          </cell>
        </row>
        <row r="4502">
          <cell r="A4502" t="str">
            <v>HD SET BLSBY032-CON</v>
          </cell>
          <cell r="B4502" t="str">
            <v>HEMODIALISA SET BPJS LENGKAP</v>
          </cell>
          <cell r="C4502" t="str">
            <v>HD</v>
          </cell>
        </row>
        <row r="4503">
          <cell r="A4503" t="str">
            <v>HD SET BLSBY032-P</v>
          </cell>
          <cell r="B4503" t="str">
            <v>HEMODIALISA SET BPJS LENGKAP ( ALK )</v>
          </cell>
          <cell r="C4503" t="str">
            <v>HD</v>
          </cell>
        </row>
        <row r="4504">
          <cell r="A4504" t="str">
            <v>HD SET BLSBY033</v>
          </cell>
          <cell r="B4504" t="str">
            <v>HEMODIALISA SET BPJS LENGKAP</v>
          </cell>
          <cell r="C4504" t="str">
            <v>HD</v>
          </cell>
        </row>
        <row r="4505">
          <cell r="A4505" t="str">
            <v>HD SET BLSBY033 A016</v>
          </cell>
          <cell r="B4505" t="str">
            <v>HEMODIALISA SET BPJS LENGKAP	NON AVF &amp; CAIRAN</v>
          </cell>
          <cell r="C4505" t="str">
            <v>HD</v>
          </cell>
        </row>
        <row r="4506">
          <cell r="A4506" t="str">
            <v>HD SET BLSBY033 NAVF</v>
          </cell>
          <cell r="B4506" t="str">
            <v>HEMODIALISA SET BPJS LENGKAP	NON AV FISTULA</v>
          </cell>
          <cell r="C4506" t="str">
            <v>HD</v>
          </cell>
        </row>
        <row r="4507">
          <cell r="A4507" t="str">
            <v>HD SET BLSBY033-ATAK</v>
          </cell>
          <cell r="B4507" t="str">
            <v>HEMODIALISA SET BPJS AK &amp; AT</v>
          </cell>
          <cell r="C4507" t="str">
            <v>HD</v>
          </cell>
        </row>
        <row r="4508">
          <cell r="A4508" t="str">
            <v>HD SET BLSBY033AVAK1</v>
          </cell>
          <cell r="B4508" t="str">
            <v>HEMODIALISA SET BPJS LENGKAP NON AVF &amp; ACID</v>
          </cell>
          <cell r="C4508" t="str">
            <v>HD</v>
          </cell>
        </row>
        <row r="4509">
          <cell r="A4509" t="str">
            <v>HD SET BLSBY033-NAK</v>
          </cell>
          <cell r="B4509" t="str">
            <v>HEMODIALISA SET BPJS LENGKAP NON AK</v>
          </cell>
          <cell r="C4509" t="str">
            <v>HD</v>
          </cell>
        </row>
        <row r="4510">
          <cell r="A4510" t="str">
            <v>HD SET BLSBY033NAVAK</v>
          </cell>
          <cell r="B4510" t="str">
            <v>HEMODIALISA SET BPJS LENGKAP NON AVFISTULA &amp; AK</v>
          </cell>
          <cell r="C4510" t="str">
            <v>HD</v>
          </cell>
        </row>
        <row r="4511">
          <cell r="A4511" t="str">
            <v>HD SET BLSBY033NAVBL</v>
          </cell>
          <cell r="B4511" t="str">
            <v>HEMODIALISA SET BPJS NON AVF BTS</v>
          </cell>
          <cell r="C4511" t="str">
            <v>HD</v>
          </cell>
        </row>
        <row r="4512">
          <cell r="A4512" t="str">
            <v>HD SET BLSBY034</v>
          </cell>
          <cell r="B4512" t="str">
            <v>HEMODIALISA SET UMUM LENGKAP</v>
          </cell>
          <cell r="C4512" t="str">
            <v>HD</v>
          </cell>
        </row>
        <row r="4513">
          <cell r="A4513" t="str">
            <v>HD SET BLSBY034 LP1</v>
          </cell>
          <cell r="B4513" t="str">
            <v>HEMODIALISA SET BPJS LENGKAP</v>
          </cell>
          <cell r="C4513" t="str">
            <v>HD</v>
          </cell>
        </row>
        <row r="4514">
          <cell r="A4514" t="str">
            <v>HD SET BLSBY034-LP1</v>
          </cell>
          <cell r="B4514" t="str">
            <v>HEMODIALISA SET BPJS LENGKAP</v>
          </cell>
          <cell r="C4514" t="str">
            <v>HD</v>
          </cell>
        </row>
        <row r="4515">
          <cell r="A4515" t="str">
            <v>HD SET BLSBY034-NAK</v>
          </cell>
          <cell r="B4515" t="str">
            <v>HEMODIALISA SET UMUM LENGKAP NON AK</v>
          </cell>
          <cell r="C4515" t="str">
            <v>HD</v>
          </cell>
        </row>
        <row r="4516">
          <cell r="A4516" t="str">
            <v>HD SET BLSBY034NAVAK</v>
          </cell>
          <cell r="B4516" t="str">
            <v>HEMODIALISA SET UMUM LENGKAP NON AVF &amp; AK</v>
          </cell>
          <cell r="C4516" t="str">
            <v>HD</v>
          </cell>
        </row>
        <row r="4517">
          <cell r="A4517" t="str">
            <v>HD SET BLSBY034-NAVF</v>
          </cell>
          <cell r="B4517" t="str">
            <v>HEMODIALISA SET UMUM LENGKAP NON AVF</v>
          </cell>
          <cell r="C4517" t="str">
            <v>HD</v>
          </cell>
        </row>
        <row r="4518">
          <cell r="A4518" t="str">
            <v>HD SET BLSBY035</v>
          </cell>
          <cell r="B4518" t="str">
            <v>HEMODIALISA SET BPJS LENGKAP</v>
          </cell>
          <cell r="C4518" t="str">
            <v>HD</v>
          </cell>
        </row>
        <row r="4519">
          <cell r="A4519" t="str">
            <v>HD SET BLSBY035-BLAV</v>
          </cell>
          <cell r="B4519" t="str">
            <v>HEMODIALISA SET BPJS LENGKAP BL &amp; AVF</v>
          </cell>
          <cell r="C4519" t="str">
            <v>HD</v>
          </cell>
        </row>
        <row r="4520">
          <cell r="A4520" t="str">
            <v>HD SET BLSBY035-NAK</v>
          </cell>
          <cell r="B4520" t="str">
            <v>HEMODIALISA SET BPJS LENGKAP NON ACID</v>
          </cell>
          <cell r="C4520" t="str">
            <v>HD</v>
          </cell>
        </row>
        <row r="4521">
          <cell r="A4521" t="str">
            <v>HD SET BLSBY035NATAK</v>
          </cell>
          <cell r="B4521" t="str">
            <v>HEMODIALISA SET BPJS LENGKAP NON ACID &amp; AT</v>
          </cell>
          <cell r="C4521" t="str">
            <v>HD</v>
          </cell>
        </row>
        <row r="4522">
          <cell r="A4522" t="str">
            <v>HD SET BLSBY035-NAVF</v>
          </cell>
          <cell r="B4522" t="str">
            <v>HEMODIALISA SET BPJS LENGKAP NON AVFISTULA</v>
          </cell>
          <cell r="C4522" t="str">
            <v>HD</v>
          </cell>
        </row>
        <row r="4523">
          <cell r="A4523" t="str">
            <v>HD SET BLSBY036</v>
          </cell>
          <cell r="B4523" t="str">
            <v>HEMODIALISA SET BPJS LENGKAP</v>
          </cell>
          <cell r="C4523" t="str">
            <v>HD</v>
          </cell>
        </row>
        <row r="4524">
          <cell r="A4524" t="str">
            <v>HD SET BLSBY037</v>
          </cell>
          <cell r="B4524" t="str">
            <v>HEMODIALISA SET BPJS LENGKAP</v>
          </cell>
          <cell r="C4524" t="str">
            <v>HD</v>
          </cell>
        </row>
        <row r="4525">
          <cell r="A4525" t="str">
            <v>HD SET BLSBY037-ANAK</v>
          </cell>
          <cell r="B4525" t="str">
            <v>HEMODIALISA SET LENGKAP ANAK</v>
          </cell>
          <cell r="C4525" t="str">
            <v>HD</v>
          </cell>
        </row>
        <row r="4526">
          <cell r="A4526" t="str">
            <v>HD SET BLSBY037-NAVF</v>
          </cell>
          <cell r="B4526" t="str">
            <v>HEMODIALISA SET LENGKAP NON AVFISTULA</v>
          </cell>
          <cell r="C4526" t="str">
            <v>HD</v>
          </cell>
        </row>
        <row r="4527">
          <cell r="A4527" t="str">
            <v>HD SET BLSBY038</v>
          </cell>
          <cell r="B4527" t="str">
            <v>HEMODIALISA SET BPJS LENGKAP</v>
          </cell>
          <cell r="C4527" t="str">
            <v>HD</v>
          </cell>
        </row>
        <row r="4528">
          <cell r="A4528" t="str">
            <v>HD SET BLSBY039</v>
          </cell>
          <cell r="B4528" t="str">
            <v>HEMODIALISA SET BPJS LENGKAP</v>
          </cell>
          <cell r="C4528" t="str">
            <v>HD</v>
          </cell>
        </row>
        <row r="4529">
          <cell r="A4529" t="str">
            <v>HD SET BLSBY040</v>
          </cell>
          <cell r="B4529" t="str">
            <v>HEMODIALISA SET BPJS LENGKAP</v>
          </cell>
          <cell r="C4529" t="str">
            <v>HD</v>
          </cell>
        </row>
        <row r="4530">
          <cell r="A4530" t="str">
            <v>HD SET BLSBY041</v>
          </cell>
          <cell r="B4530" t="str">
            <v>HEMODIALISA SET BPJS LENGKAP</v>
          </cell>
          <cell r="C4530" t="str">
            <v>HD</v>
          </cell>
        </row>
        <row r="4531">
          <cell r="A4531" t="str">
            <v>HD SET BLSBY042</v>
          </cell>
          <cell r="B4531" t="str">
            <v>HEMODIALISA SET BPJS LENGKAP</v>
          </cell>
          <cell r="C4531" t="str">
            <v>HD</v>
          </cell>
        </row>
        <row r="4532">
          <cell r="A4532" t="str">
            <v>HD SET BLSBY042-ELBL</v>
          </cell>
          <cell r="B4532" t="str">
            <v>HEMODIALISA SET BPJS LENGKAP ELISIO + BLOOD TUBING</v>
          </cell>
          <cell r="C4532" t="str">
            <v>HD</v>
          </cell>
        </row>
        <row r="4533">
          <cell r="A4533" t="str">
            <v>HD SET BLSBY042NAVAK</v>
          </cell>
          <cell r="B4533" t="str">
            <v>HEMODIALISA SET BPJS LENGKAP NON AV &amp; AK</v>
          </cell>
          <cell r="C4533" t="str">
            <v>HD</v>
          </cell>
        </row>
        <row r="4534">
          <cell r="A4534" t="str">
            <v>HD SET BLSBY042-NAVF</v>
          </cell>
          <cell r="B4534" t="str">
            <v>HEMODIALISA SET BPJS LENGKAP NON AVFISTULA</v>
          </cell>
          <cell r="C4534" t="str">
            <v>HD</v>
          </cell>
        </row>
        <row r="4535">
          <cell r="A4535" t="str">
            <v>HD SET BLSBY043</v>
          </cell>
          <cell r="B4535" t="str">
            <v>HEMODIALISA SET BPJS LENGKAP</v>
          </cell>
          <cell r="C4535" t="str">
            <v>HD</v>
          </cell>
        </row>
        <row r="4536">
          <cell r="A4536" t="str">
            <v>HD SET BLSBY043 17H</v>
          </cell>
          <cell r="B4536" t="str">
            <v>HEMODIALIASA SET BPJS LENGKAP</v>
          </cell>
          <cell r="C4536" t="str">
            <v>HD</v>
          </cell>
        </row>
        <row r="4537">
          <cell r="A4537" t="str">
            <v>HD SET BLSBY043 ANAK</v>
          </cell>
          <cell r="B4537" t="str">
            <v>HEMODIALISA SET BPJS LENGKAP ANAK</v>
          </cell>
          <cell r="C4537" t="str">
            <v>HD</v>
          </cell>
        </row>
        <row r="4538">
          <cell r="A4538" t="str">
            <v>HD SET BLSBY043 HDF</v>
          </cell>
          <cell r="B4538" t="str">
            <v>HEMODIALISA SET BPJS LENGKAP (HDF BHP PACK)</v>
          </cell>
          <cell r="C4538" t="str">
            <v>HD</v>
          </cell>
        </row>
        <row r="4539">
          <cell r="A4539" t="str">
            <v>HD SET BLSBY043-NAVF</v>
          </cell>
          <cell r="B4539" t="str">
            <v>HEMODIALISA SET BPJS LENGKAP NON AVFISTULA</v>
          </cell>
          <cell r="C4539" t="str">
            <v>HD</v>
          </cell>
        </row>
        <row r="4540">
          <cell r="A4540" t="str">
            <v>HD SET BLSBY044</v>
          </cell>
          <cell r="B4540" t="str">
            <v>HEMODIALISA SET LENGKAP</v>
          </cell>
          <cell r="C4540" t="str">
            <v>HD</v>
          </cell>
        </row>
        <row r="4541">
          <cell r="A4541" t="str">
            <v>HD SET BLSBY044 ANAK</v>
          </cell>
          <cell r="B4541" t="str">
            <v>HEMODIALISA SET LENGKAP ANAK</v>
          </cell>
          <cell r="C4541" t="str">
            <v>HD</v>
          </cell>
        </row>
        <row r="4542">
          <cell r="A4542" t="str">
            <v>HD SET BLSBY044ANAVF</v>
          </cell>
          <cell r="B4542" t="str">
            <v>HEMODALISA SET LENGKAP ANAK NON AVFISTULA</v>
          </cell>
          <cell r="C4542" t="str">
            <v>HD</v>
          </cell>
        </row>
        <row r="4543">
          <cell r="A4543" t="str">
            <v>HD SET BLSBY044-NAVF</v>
          </cell>
          <cell r="B4543" t="str">
            <v>HEMODIALISA SET LENGKAP NON AVFISTULA</v>
          </cell>
          <cell r="C4543" t="str">
            <v>HD</v>
          </cell>
        </row>
        <row r="4544">
          <cell r="A4544" t="str">
            <v>HD SET BLSBY045</v>
          </cell>
          <cell r="B4544" t="str">
            <v>HEMODIALISA SET BPJS LENGKAP</v>
          </cell>
          <cell r="C4544" t="str">
            <v>HD</v>
          </cell>
        </row>
        <row r="4545">
          <cell r="A4545" t="str">
            <v>HD SET BLSBY045-NAK</v>
          </cell>
          <cell r="B4545" t="str">
            <v>HEMODIALISA SET BPJS LENGKAP NON ACID</v>
          </cell>
          <cell r="C4545" t="str">
            <v>HD</v>
          </cell>
        </row>
        <row r="4546">
          <cell r="A4546" t="str">
            <v>HD SET BLSBY045-NAVF</v>
          </cell>
          <cell r="B4546" t="str">
            <v>HEMODIALISA SET BPJS LENGKAP NON AVFISTULA</v>
          </cell>
          <cell r="C4546" t="str">
            <v>HD</v>
          </cell>
        </row>
        <row r="4547">
          <cell r="A4547" t="str">
            <v>HD SET BLSBY045-P</v>
          </cell>
          <cell r="B4547" t="str">
            <v>HEMODIALISA SET BPJS LENGKAP</v>
          </cell>
          <cell r="C4547" t="str">
            <v>HD</v>
          </cell>
        </row>
        <row r="4548">
          <cell r="A4548" t="str">
            <v>HD SET BLSBY046</v>
          </cell>
          <cell r="B4548" t="str">
            <v>HEMODIALISA SET BPJS LENGKAP</v>
          </cell>
          <cell r="C4548" t="str">
            <v>HD</v>
          </cell>
        </row>
        <row r="4549">
          <cell r="A4549" t="str">
            <v>HD SET BLSBY046NATAK</v>
          </cell>
          <cell r="B4549" t="str">
            <v>HEMODIALISA SET BPJS LENGKAP NON AT &amp; AK</v>
          </cell>
          <cell r="C4549" t="str">
            <v>HD</v>
          </cell>
        </row>
        <row r="4550">
          <cell r="A4550" t="str">
            <v>HD SET BLSBY047</v>
          </cell>
          <cell r="B4550" t="str">
            <v>HEMODIALISA SET BPJS LENGKAP</v>
          </cell>
          <cell r="C4550" t="str">
            <v>HD</v>
          </cell>
        </row>
        <row r="4551">
          <cell r="A4551" t="str">
            <v>HD SET BLSBY047-NA1</v>
          </cell>
          <cell r="B4551" t="str">
            <v>HEMODIALISA SET BPJS LENGKAP</v>
          </cell>
          <cell r="C4551" t="str">
            <v>HD</v>
          </cell>
        </row>
        <row r="4552">
          <cell r="A4552" t="str">
            <v>HD SET BLSBY047-NAVF</v>
          </cell>
          <cell r="B4552" t="str">
            <v>HEMODIALISA SET BPJS LENGKAP</v>
          </cell>
          <cell r="C4552" t="str">
            <v>HD</v>
          </cell>
        </row>
        <row r="4553">
          <cell r="A4553" t="str">
            <v>HD SET BLSBY047-NB1</v>
          </cell>
          <cell r="B4553" t="str">
            <v>HEMODIALISA SET BPJS LENGKAP</v>
          </cell>
          <cell r="C4553" t="str">
            <v>HD</v>
          </cell>
        </row>
        <row r="4554">
          <cell r="A4554" t="str">
            <v>HD SET BLSBY047-NCON</v>
          </cell>
          <cell r="B4554" t="str">
            <v>HEMODIALISA SET BPJS LENGKAP</v>
          </cell>
          <cell r="C4554" t="str">
            <v>HD</v>
          </cell>
        </row>
        <row r="4555">
          <cell r="A4555" t="str">
            <v>HD SET BLSBY048</v>
          </cell>
          <cell r="B4555" t="str">
            <v>HEMODIALISA SET BPJS LENGKAP</v>
          </cell>
          <cell r="C4555" t="str">
            <v>HD</v>
          </cell>
        </row>
        <row r="4556">
          <cell r="A4556" t="str">
            <v>HD SET BLSBY048 ANAK</v>
          </cell>
          <cell r="B4556" t="str">
            <v>HEMODIALISA SET BPJS LENGKAP UNTUK ANAK</v>
          </cell>
          <cell r="C4556" t="str">
            <v>HD</v>
          </cell>
        </row>
        <row r="4557">
          <cell r="A4557" t="str">
            <v>HD SET BLSBY048-NAVF</v>
          </cell>
          <cell r="B4557" t="str">
            <v>HEMODIALISA SET BPJS LENGKAP NON AVFISTULA</v>
          </cell>
          <cell r="C4557" t="str">
            <v>HD</v>
          </cell>
        </row>
        <row r="4558">
          <cell r="A4558" t="str">
            <v>HD SET BLSBY049</v>
          </cell>
          <cell r="B4558" t="str">
            <v>HEMODIALISA SET BPJS LENGKAP</v>
          </cell>
          <cell r="C4558" t="str">
            <v>HD</v>
          </cell>
        </row>
        <row r="4559">
          <cell r="A4559" t="str">
            <v>HD SET BLSBY049-NAVF</v>
          </cell>
          <cell r="B4559" t="str">
            <v>HEMODIALISA SET BPJS LENGKAP NON AVFISTULA</v>
          </cell>
          <cell r="C4559" t="str">
            <v>HD</v>
          </cell>
        </row>
        <row r="4560">
          <cell r="A4560" t="str">
            <v>HD SET BLSBY049NBLAV</v>
          </cell>
          <cell r="B4560" t="str">
            <v>HEMODIALISA SET BPJS LENGKAP NON BL &amp; AVFISTULA</v>
          </cell>
          <cell r="C4560" t="str">
            <v>HD</v>
          </cell>
        </row>
        <row r="4561">
          <cell r="A4561" t="str">
            <v>HD SET BLSBY049-P</v>
          </cell>
          <cell r="B4561" t="str">
            <v>HEMODIALISA SET BPJS LENGKAP</v>
          </cell>
          <cell r="C4561" t="str">
            <v>HD</v>
          </cell>
        </row>
        <row r="4562">
          <cell r="A4562" t="str">
            <v>HD SET BLSBY050</v>
          </cell>
          <cell r="B4562" t="str">
            <v>HEMODIALISA SET BPJS LENGKAP</v>
          </cell>
          <cell r="C4562" t="str">
            <v>HD</v>
          </cell>
        </row>
        <row r="4563">
          <cell r="A4563" t="str">
            <v>HD SET BLSBY050-NA1</v>
          </cell>
          <cell r="B4563" t="str">
            <v>HEMODIALISA SET BPJS LENGKAP</v>
          </cell>
          <cell r="C4563" t="str">
            <v>HD</v>
          </cell>
        </row>
        <row r="4564">
          <cell r="A4564" t="str">
            <v>HD SET BLSBY050-NAVF</v>
          </cell>
          <cell r="B4564" t="str">
            <v>HEMODIALISA SET LENGKAP NON AV FISTULA</v>
          </cell>
          <cell r="C4564" t="str">
            <v>HD</v>
          </cell>
        </row>
        <row r="4565">
          <cell r="A4565" t="str">
            <v>HD SET BLSBY050-NB1</v>
          </cell>
          <cell r="B4565" t="str">
            <v>HEMODIALISA SET BPJS LENGKAP</v>
          </cell>
          <cell r="C4565" t="str">
            <v>HD</v>
          </cell>
        </row>
        <row r="4566">
          <cell r="A4566" t="str">
            <v>HD SET BLSBY050-NCON</v>
          </cell>
          <cell r="B4566" t="str">
            <v>HEMODIALISA SET BPJS LENGKAP</v>
          </cell>
          <cell r="C4566" t="str">
            <v>HD</v>
          </cell>
        </row>
        <row r="4567">
          <cell r="A4567" t="str">
            <v>HD SET BLSBY051</v>
          </cell>
          <cell r="B4567" t="str">
            <v>HEMODIALISA SET BPJS LENGKAP</v>
          </cell>
          <cell r="C4567" t="str">
            <v>HD</v>
          </cell>
        </row>
        <row r="4568">
          <cell r="A4568" t="str">
            <v>HD SET BLSBY052</v>
          </cell>
          <cell r="B4568" t="str">
            <v>HEMODIALISA SET BPJS LENGKAP</v>
          </cell>
          <cell r="C4568" t="str">
            <v>HD</v>
          </cell>
        </row>
        <row r="4569">
          <cell r="A4569" t="str">
            <v>HD SET BLSBY053</v>
          </cell>
          <cell r="B4569" t="str">
            <v>HEMODIALISA SET BPJS LENGKAP</v>
          </cell>
          <cell r="C4569" t="str">
            <v>HD</v>
          </cell>
        </row>
        <row r="4570">
          <cell r="A4570" t="str">
            <v>HD SET BLSBY054</v>
          </cell>
          <cell r="B4570" t="str">
            <v>HEMODIALISA SET BPJS LENGKAP</v>
          </cell>
          <cell r="C4570" t="str">
            <v>HD</v>
          </cell>
        </row>
        <row r="4571">
          <cell r="A4571" t="str">
            <v>HD SET BLSBY055</v>
          </cell>
          <cell r="B4571" t="str">
            <v>HEMODIALISA SET LENGKAP</v>
          </cell>
          <cell r="C4571" t="str">
            <v>HD</v>
          </cell>
        </row>
        <row r="4572">
          <cell r="A4572" t="str">
            <v>HD SET BLSBY055-1</v>
          </cell>
          <cell r="B4572" t="str">
            <v>HEMODIALISA SET LENGKAP</v>
          </cell>
          <cell r="C4572" t="str">
            <v>HD</v>
          </cell>
        </row>
        <row r="4573">
          <cell r="A4573" t="str">
            <v>HD SET BLSBY055-NA1</v>
          </cell>
          <cell r="B4573" t="str">
            <v>HEMODIALISA SET BPJS LENGKAP</v>
          </cell>
          <cell r="C4573" t="str">
            <v>HD</v>
          </cell>
        </row>
        <row r="4574">
          <cell r="A4574" t="str">
            <v>HD SET BLSBY055NAK</v>
          </cell>
          <cell r="B4574" t="str">
            <v>HEMODIALISA SET LENGKAP NON ACID</v>
          </cell>
          <cell r="C4574" t="str">
            <v>HD</v>
          </cell>
        </row>
        <row r="4575">
          <cell r="A4575" t="str">
            <v>HD SET BLSBY055NAVF</v>
          </cell>
          <cell r="B4575" t="str">
            <v>HEMODIALISA SET LENGKAP NON AVF</v>
          </cell>
          <cell r="C4575" t="str">
            <v>HD</v>
          </cell>
        </row>
        <row r="4576">
          <cell r="A4576" t="str">
            <v>HD SET BLSBY055-NAVF</v>
          </cell>
          <cell r="B4576" t="str">
            <v>HEMODIALISA SET BPJS LENGKAP</v>
          </cell>
          <cell r="C4576" t="str">
            <v>HD</v>
          </cell>
        </row>
        <row r="4577">
          <cell r="A4577" t="str">
            <v>HD SET BLSBY055-NB1</v>
          </cell>
          <cell r="B4577" t="str">
            <v>HEMODIALISA SET BPJS LENGKAP</v>
          </cell>
          <cell r="C4577" t="str">
            <v>HD</v>
          </cell>
        </row>
        <row r="4578">
          <cell r="A4578" t="str">
            <v>HD SET BLSBY055-NCON</v>
          </cell>
          <cell r="B4578" t="str">
            <v>HEMODIALISA SET BPJS LENGKAP</v>
          </cell>
          <cell r="C4578" t="str">
            <v>HD</v>
          </cell>
        </row>
        <row r="4579">
          <cell r="A4579" t="str">
            <v>HD SET BLSBY056</v>
          </cell>
          <cell r="B4579" t="str">
            <v>HEMODIALISA SET BPJS LENGKAP</v>
          </cell>
          <cell r="C4579" t="str">
            <v>HD</v>
          </cell>
        </row>
        <row r="4580">
          <cell r="A4580" t="str">
            <v>HD SET BLSBY056-P</v>
          </cell>
          <cell r="B4580" t="str">
            <v>HEMODIALISA SET BPJS LENGKAP</v>
          </cell>
          <cell r="C4580" t="str">
            <v>HD</v>
          </cell>
        </row>
        <row r="4581">
          <cell r="A4581" t="str">
            <v>HD SET BLSBY056-P1</v>
          </cell>
          <cell r="B4581" t="str">
            <v>HEMODIALISA SET BPJS LENGKAP</v>
          </cell>
          <cell r="C4581" t="str">
            <v>HD</v>
          </cell>
        </row>
        <row r="4582">
          <cell r="A4582" t="str">
            <v>HD SET BLSBY057</v>
          </cell>
          <cell r="B4582" t="str">
            <v>HEMODIALISA SET BPJS LENGKAP</v>
          </cell>
          <cell r="C4582" t="str">
            <v>HD</v>
          </cell>
        </row>
        <row r="4583">
          <cell r="A4583" t="str">
            <v>HD SET BLSBY058</v>
          </cell>
          <cell r="B4583" t="str">
            <v>HEMODIALISA SET BPJS LENGKAP</v>
          </cell>
          <cell r="C4583" t="str">
            <v>HD</v>
          </cell>
        </row>
        <row r="4584">
          <cell r="A4584" t="str">
            <v>HD SET BLSBY058-P</v>
          </cell>
          <cell r="B4584" t="str">
            <v>HEMODIALISA SET BPJS LENGKAP</v>
          </cell>
          <cell r="C4584" t="str">
            <v>HD</v>
          </cell>
        </row>
        <row r="4585">
          <cell r="A4585" t="str">
            <v>HD SET BLSBY058-P1</v>
          </cell>
          <cell r="B4585" t="str">
            <v>HEMODIALISA SET BPJS LENGKAP</v>
          </cell>
          <cell r="C4585" t="str">
            <v>HD</v>
          </cell>
        </row>
        <row r="4586">
          <cell r="A4586" t="str">
            <v>HD SET BLSBY059</v>
          </cell>
          <cell r="B4586" t="str">
            <v>HEMODIALISA SET BPJS LENGKAP</v>
          </cell>
          <cell r="C4586" t="str">
            <v>HD</v>
          </cell>
        </row>
        <row r="4587">
          <cell r="A4587" t="str">
            <v>HD SET BLSBY059 AKAT</v>
          </cell>
          <cell r="B4587" t="str">
            <v>HEMODIALISA</v>
          </cell>
          <cell r="C4587" t="str">
            <v>HD</v>
          </cell>
        </row>
        <row r="4588">
          <cell r="A4588" t="str">
            <v>HD SET BLSBY059NAKAT</v>
          </cell>
          <cell r="B4588" t="str">
            <v>HEMODIALISA SET BPJS LENGKAP NON AK &amp; AT</v>
          </cell>
          <cell r="C4588" t="str">
            <v>HD</v>
          </cell>
        </row>
        <row r="4589">
          <cell r="A4589" t="str">
            <v>HD SET BLSBY060</v>
          </cell>
          <cell r="B4589" t="str">
            <v>HEMODIALISA SET BPJS LENGKAP</v>
          </cell>
          <cell r="C4589" t="str">
            <v>HD</v>
          </cell>
        </row>
        <row r="4590">
          <cell r="A4590" t="str">
            <v>HD SET BLSBY061</v>
          </cell>
          <cell r="B4590" t="str">
            <v>HEMODIALISA SET BPJS LENGKAP</v>
          </cell>
          <cell r="C4590" t="str">
            <v>HD</v>
          </cell>
        </row>
        <row r="4591">
          <cell r="A4591" t="str">
            <v>HD SET BLSBY062</v>
          </cell>
          <cell r="B4591" t="str">
            <v>HEMODIALISA SET BPJS LENGKAP</v>
          </cell>
          <cell r="C4591" t="str">
            <v>HD</v>
          </cell>
        </row>
        <row r="4592">
          <cell r="A4592" t="str">
            <v>HD SET BLSBY063</v>
          </cell>
          <cell r="B4592" t="str">
            <v>HEMODIALISA SET BPJS LENGKAP</v>
          </cell>
          <cell r="C4592" t="str">
            <v>HD</v>
          </cell>
        </row>
        <row r="4593">
          <cell r="A4593" t="str">
            <v>HD SET BLSBY064</v>
          </cell>
          <cell r="B4593" t="str">
            <v>HEMODIALISA SET BPJS LENGKAP</v>
          </cell>
          <cell r="C4593" t="str">
            <v>HD</v>
          </cell>
        </row>
        <row r="4594">
          <cell r="A4594" t="str">
            <v>HD SET BLSBY064-NAV</v>
          </cell>
          <cell r="B4594" t="str">
            <v>HEMODIALISA SET BPJS LENGKAP</v>
          </cell>
          <cell r="C4594" t="str">
            <v>HD</v>
          </cell>
        </row>
        <row r="4595">
          <cell r="A4595" t="str">
            <v>HD SET BLSBY064-P</v>
          </cell>
          <cell r="B4595" t="str">
            <v>HEMODIALISA SET BPJS LENGKAP</v>
          </cell>
          <cell r="C4595" t="str">
            <v>HD</v>
          </cell>
        </row>
        <row r="4596">
          <cell r="A4596" t="str">
            <v>HD SET BLSBY065</v>
          </cell>
          <cell r="B4596" t="str">
            <v>HEMODIALISA SET BPJS LENGKAP</v>
          </cell>
          <cell r="C4596" t="str">
            <v>HD</v>
          </cell>
        </row>
        <row r="4597">
          <cell r="A4597" t="str">
            <v>HD SET BLSBY065-P</v>
          </cell>
          <cell r="B4597" t="str">
            <v>HEMODIALISA SET BPJS LENGKAP</v>
          </cell>
          <cell r="C4597" t="str">
            <v>HD</v>
          </cell>
        </row>
        <row r="4598">
          <cell r="A4598" t="str">
            <v>HD SET BLSBY066</v>
          </cell>
          <cell r="B4598" t="str">
            <v>HEMODIALISA SET BPJS LENGKAP</v>
          </cell>
          <cell r="C4598" t="str">
            <v>HD</v>
          </cell>
        </row>
        <row r="4599">
          <cell r="A4599" t="str">
            <v>HD SET BLSBY067</v>
          </cell>
          <cell r="B4599" t="str">
            <v>HEMODIALISA SET BPJS LENGKAP</v>
          </cell>
          <cell r="C4599" t="str">
            <v>HD</v>
          </cell>
        </row>
        <row r="4600">
          <cell r="A4600" t="str">
            <v>HD SET BLSBY067NAVAK</v>
          </cell>
          <cell r="B4600" t="str">
            <v>HEMODIALISA SET BPJS LENGKAP NON AV &amp; AK</v>
          </cell>
          <cell r="C4600" t="str">
            <v>HD</v>
          </cell>
        </row>
        <row r="4601">
          <cell r="A4601" t="str">
            <v>HD SET BLSBY068</v>
          </cell>
          <cell r="B4601" t="str">
            <v>HEMODIALISA SET BPJS LENGKAP</v>
          </cell>
          <cell r="C4601" t="str">
            <v>HD</v>
          </cell>
        </row>
        <row r="4602">
          <cell r="A4602" t="str">
            <v>HD SET BLSBY068-NAVF</v>
          </cell>
          <cell r="B4602" t="str">
            <v>HEMODIALISA SET BPJS LENGKAP NON AVFISTULA</v>
          </cell>
          <cell r="C4602" t="str">
            <v>HD</v>
          </cell>
        </row>
        <row r="4603">
          <cell r="A4603" t="str">
            <v>HD SET BLSBY069</v>
          </cell>
          <cell r="B4603" t="str">
            <v>HEMODIALISA SET BPJS LENGKAP</v>
          </cell>
          <cell r="C4603" t="str">
            <v>HD</v>
          </cell>
        </row>
        <row r="4604">
          <cell r="A4604" t="str">
            <v>HD SET BLSBY070</v>
          </cell>
          <cell r="B4604" t="str">
            <v>HEMODIALISA SET BPJS LENGKAP</v>
          </cell>
          <cell r="C4604" t="str">
            <v>HD</v>
          </cell>
        </row>
        <row r="4605">
          <cell r="A4605" t="str">
            <v>HD SET BLSBY071</v>
          </cell>
          <cell r="B4605" t="str">
            <v>HEMODIALISA SET BPJS LENGKAP</v>
          </cell>
          <cell r="C4605" t="str">
            <v>HD</v>
          </cell>
        </row>
        <row r="4606">
          <cell r="A4606" t="str">
            <v>HD SET BLSBY072</v>
          </cell>
          <cell r="B4606" t="str">
            <v>HEMODIALISA SET BPJS LENGKAP</v>
          </cell>
          <cell r="C4606" t="str">
            <v>HD</v>
          </cell>
        </row>
        <row r="4607">
          <cell r="A4607" t="str">
            <v>HD SET BLSBY073</v>
          </cell>
          <cell r="B4607" t="str">
            <v>HEMODIALISA SET BPJS LENGKAP</v>
          </cell>
          <cell r="C4607" t="str">
            <v>HD</v>
          </cell>
        </row>
        <row r="4608">
          <cell r="A4608" t="str">
            <v>HD SET BLSBY074</v>
          </cell>
          <cell r="B4608" t="str">
            <v>HEMODIALISA SET BPJS LENGKAP</v>
          </cell>
          <cell r="C4608" t="str">
            <v>HD</v>
          </cell>
        </row>
        <row r="4609">
          <cell r="A4609" t="str">
            <v>HD SET BLSBY074-P</v>
          </cell>
          <cell r="B4609" t="str">
            <v>HEMODIALISA SET BPJS LENGKAP</v>
          </cell>
          <cell r="C4609" t="str">
            <v>HD</v>
          </cell>
        </row>
        <row r="4610">
          <cell r="A4610" t="str">
            <v>HD SET BLSBY075</v>
          </cell>
          <cell r="B4610" t="str">
            <v>HEMODIALISA SET BPJS LENGKAP</v>
          </cell>
          <cell r="C4610" t="str">
            <v>HD</v>
          </cell>
        </row>
        <row r="4611">
          <cell r="A4611" t="str">
            <v>HD SET BLSBY075-NAVF</v>
          </cell>
          <cell r="B4611" t="str">
            <v>HEMODIALISA SET BPJS LENGKAP NON AVFISTULA</v>
          </cell>
          <cell r="C4611" t="str">
            <v>HD</v>
          </cell>
        </row>
        <row r="4612">
          <cell r="A4612" t="str">
            <v>HD SET BLSBY076</v>
          </cell>
          <cell r="B4612" t="str">
            <v>HEMODIALISA SET BPJS LENGKAP</v>
          </cell>
          <cell r="C4612" t="str">
            <v>HD</v>
          </cell>
        </row>
        <row r="4613">
          <cell r="A4613" t="str">
            <v>HD SET BLSBY077</v>
          </cell>
          <cell r="B4613" t="str">
            <v>HEMODIALISA SET BPJS LENGKAP</v>
          </cell>
          <cell r="C4613" t="str">
            <v>HD</v>
          </cell>
        </row>
        <row r="4614">
          <cell r="A4614" t="str">
            <v>HD SET BLSBY078</v>
          </cell>
          <cell r="B4614" t="str">
            <v>HEMODIALISA SET BPJS LENGKAP</v>
          </cell>
          <cell r="C4614" t="str">
            <v>HD</v>
          </cell>
        </row>
        <row r="4615">
          <cell r="A4615" t="str">
            <v>HD SET BLSBY078 HDF</v>
          </cell>
          <cell r="B4615" t="str">
            <v>HEMODIALISA SET BPJS LENGKAP (HDF BHP PACK)</v>
          </cell>
          <cell r="C4615" t="str">
            <v>HD</v>
          </cell>
        </row>
        <row r="4616">
          <cell r="A4616" t="str">
            <v>HD SET BLSBY078-NAKT</v>
          </cell>
          <cell r="B4616" t="str">
            <v>HEMODIALISA SET BPJS LENGKAP NON AK AT</v>
          </cell>
          <cell r="C4616" t="str">
            <v>HD</v>
          </cell>
        </row>
        <row r="4617">
          <cell r="A4617" t="str">
            <v>HD SET BLSBY078-NAVF</v>
          </cell>
          <cell r="B4617" t="str">
            <v>HEMODIALISA SET BPJS LENGKAP NON AVFISTULA</v>
          </cell>
          <cell r="C4617" t="str">
            <v>HD</v>
          </cell>
        </row>
        <row r="4618">
          <cell r="A4618" t="str">
            <v>HD SET BLSBY079</v>
          </cell>
          <cell r="B4618" t="str">
            <v>HEMODIALISA SET BPJS LENGKAP NAVF</v>
          </cell>
          <cell r="C4618" t="str">
            <v>HD</v>
          </cell>
        </row>
        <row r="4619">
          <cell r="A4619" t="str">
            <v>HD SET BLSBY079 NAVF</v>
          </cell>
          <cell r="B4619" t="str">
            <v>HEMODIALISA SET BPJS LENGKAP NAVF</v>
          </cell>
          <cell r="C4619" t="str">
            <v>HD</v>
          </cell>
        </row>
        <row r="4620">
          <cell r="A4620" t="str">
            <v>HD SET BLSBY080</v>
          </cell>
          <cell r="B4620" t="str">
            <v>HEMODIALISA SET BPJS LENGKAP</v>
          </cell>
          <cell r="C4620" t="str">
            <v>HD</v>
          </cell>
        </row>
        <row r="4621">
          <cell r="A4621" t="str">
            <v>HD SET BLSBY080 ANAK</v>
          </cell>
          <cell r="B4621" t="str">
            <v>HEMODIALISA SET BPJS ANAK</v>
          </cell>
          <cell r="C4621" t="str">
            <v>HD</v>
          </cell>
        </row>
        <row r="4622">
          <cell r="A4622" t="str">
            <v>HD SET BLSBY081</v>
          </cell>
          <cell r="B4622" t="str">
            <v>HEMODIALISA SET BPJS LENGKAP</v>
          </cell>
          <cell r="C4622" t="str">
            <v>HD</v>
          </cell>
        </row>
        <row r="4623">
          <cell r="A4623" t="str">
            <v>HD SET BLSBY081-NAVF</v>
          </cell>
          <cell r="B4623" t="str">
            <v>HEMODIALISA SET BPJS LENGKAP NON AVFISTULA</v>
          </cell>
          <cell r="C4623" t="str">
            <v>HD</v>
          </cell>
        </row>
        <row r="4624">
          <cell r="A4624" t="str">
            <v>HD SET BLSBY082</v>
          </cell>
          <cell r="B4624" t="str">
            <v>HEMODIALISA SET BPJS LENGKAP</v>
          </cell>
          <cell r="C4624" t="str">
            <v>HD</v>
          </cell>
        </row>
        <row r="4625">
          <cell r="A4625" t="str">
            <v>HD SET BLSBY083</v>
          </cell>
          <cell r="B4625" t="str">
            <v>HEMODIALISA SET BPJS LENGKAP</v>
          </cell>
          <cell r="C4625" t="str">
            <v>HD</v>
          </cell>
        </row>
        <row r="4626">
          <cell r="A4626" t="str">
            <v>HD SET BLSBY083NAVAK</v>
          </cell>
          <cell r="B4626" t="str">
            <v>HEMODIALISA SET BPJS LENGKAP NON AVFISTULA DAN AK</v>
          </cell>
          <cell r="C4626" t="str">
            <v>HD</v>
          </cell>
        </row>
        <row r="4627">
          <cell r="A4627" t="str">
            <v>HD SET BLSBY083-NAVF</v>
          </cell>
          <cell r="B4627" t="str">
            <v>HEMODIALISA SET BPJS LENGKAP NON AVFISTULA</v>
          </cell>
          <cell r="C4627" t="str">
            <v>HD</v>
          </cell>
        </row>
        <row r="4628">
          <cell r="A4628" t="str">
            <v>HD SET BLSBY084</v>
          </cell>
          <cell r="B4628" t="str">
            <v>HEMODIALISA SET BPJS LENGKAP</v>
          </cell>
          <cell r="C4628" t="str">
            <v>HD</v>
          </cell>
        </row>
        <row r="4629">
          <cell r="A4629" t="str">
            <v>HD SET BLSBY085</v>
          </cell>
          <cell r="B4629" t="str">
            <v>HEMODIALISA SET BPJS LENGKAP</v>
          </cell>
          <cell r="C4629" t="str">
            <v>HD</v>
          </cell>
        </row>
        <row r="4630">
          <cell r="A4630" t="str">
            <v>HD SET BLSBY086</v>
          </cell>
          <cell r="B4630" t="str">
            <v>HEMODIALISA SET BPJS LENGKAP</v>
          </cell>
          <cell r="C4630" t="str">
            <v>HD</v>
          </cell>
        </row>
        <row r="4631">
          <cell r="A4631" t="str">
            <v>HD SET BLSBY087</v>
          </cell>
          <cell r="B4631" t="str">
            <v>HEMODIALISA SET BPJS LENGKAP</v>
          </cell>
          <cell r="C4631" t="str">
            <v>HD</v>
          </cell>
        </row>
        <row r="4632">
          <cell r="A4632" t="str">
            <v>HD SET BLSBY087-NAVF</v>
          </cell>
          <cell r="B4632" t="str">
            <v>HEMODIALISA SET BPJS LENGKAP NON AVFISTULA</v>
          </cell>
          <cell r="C4632" t="str">
            <v>HD</v>
          </cell>
        </row>
        <row r="4633">
          <cell r="A4633" t="str">
            <v>HD SET BLSBY089</v>
          </cell>
          <cell r="B4633" t="str">
            <v>HEMODIALISA SET BPJS LENGKAP</v>
          </cell>
          <cell r="C4633" t="str">
            <v>HD</v>
          </cell>
        </row>
        <row r="4634">
          <cell r="A4634" t="str">
            <v>HD SET BLSBY089-NAVF</v>
          </cell>
          <cell r="B4634" t="str">
            <v>HEMODIALISA SET BPJS LENGKAP NON AVFISTULA</v>
          </cell>
          <cell r="C4634" t="str">
            <v>HD</v>
          </cell>
        </row>
        <row r="4635">
          <cell r="A4635" t="str">
            <v>HD SET BLSBY090</v>
          </cell>
          <cell r="B4635" t="str">
            <v>HEMODIALISA SET BPJS LENGKAP</v>
          </cell>
          <cell r="C4635" t="str">
            <v>HD</v>
          </cell>
        </row>
        <row r="4636">
          <cell r="A4636" t="str">
            <v>HD SET BLSBY092</v>
          </cell>
          <cell r="B4636" t="str">
            <v>HEMODIALISA SET BPJS LENGKAP</v>
          </cell>
          <cell r="C4636" t="str">
            <v>HD</v>
          </cell>
        </row>
        <row r="4637">
          <cell r="A4637" t="str">
            <v>HD SET BLSBY093</v>
          </cell>
          <cell r="B4637" t="str">
            <v>HEMODIALISA SET BPJS LENGKAP</v>
          </cell>
          <cell r="C4637" t="str">
            <v>HD</v>
          </cell>
        </row>
        <row r="4638">
          <cell r="A4638" t="str">
            <v>HD SET BLSBY094 HDP</v>
          </cell>
          <cell r="B4638" t="str">
            <v>HEMODIALISA SET BPJS LENGKAP DENGAN HD PACK</v>
          </cell>
          <cell r="C4638" t="str">
            <v>HD</v>
          </cell>
        </row>
        <row r="4639">
          <cell r="A4639" t="str">
            <v>HD SET BLSBY095</v>
          </cell>
          <cell r="B4639" t="str">
            <v>HEMODIALISA SET BPJS LENGKAP</v>
          </cell>
          <cell r="C4639" t="str">
            <v>HD</v>
          </cell>
        </row>
        <row r="4640">
          <cell r="A4640" t="str">
            <v>HD SET BLSBY095 HDP</v>
          </cell>
          <cell r="B4640" t="str">
            <v>HEMODIALISA SET BPJS LENGKAP DENGAN HD PACK</v>
          </cell>
          <cell r="C4640" t="str">
            <v>HD</v>
          </cell>
        </row>
        <row r="4641">
          <cell r="A4641" t="str">
            <v>HD SET BLSBY096</v>
          </cell>
          <cell r="B4641" t="str">
            <v>HEMODIALISA SET BPJS LENGKAP</v>
          </cell>
          <cell r="C4641" t="str">
            <v>HD</v>
          </cell>
        </row>
        <row r="4642">
          <cell r="A4642" t="str">
            <v>HD SET BLSBY097</v>
          </cell>
          <cell r="B4642" t="str">
            <v>HEMODIALISA SET BPJS LENGKAP</v>
          </cell>
          <cell r="C4642" t="str">
            <v>HD</v>
          </cell>
        </row>
        <row r="4643">
          <cell r="A4643" t="str">
            <v>HD SET BLSBY097-NAVF</v>
          </cell>
          <cell r="B4643" t="str">
            <v>HEMODIALISA SET BPJS LENGKAP TANPA AV FISTULA</v>
          </cell>
          <cell r="C4643" t="str">
            <v>HD</v>
          </cell>
        </row>
        <row r="4644">
          <cell r="A4644" t="str">
            <v>HD SET BLSBY098</v>
          </cell>
          <cell r="B4644" t="str">
            <v>HEMODIALISA SET BPJS LENGKAP</v>
          </cell>
          <cell r="C4644" t="str">
            <v>HD</v>
          </cell>
        </row>
        <row r="4645">
          <cell r="A4645" t="str">
            <v>HD SET BLSBY099</v>
          </cell>
          <cell r="B4645" t="str">
            <v>HEMODIALISA SET BPJS LENGKAP</v>
          </cell>
          <cell r="C4645" t="str">
            <v>HD</v>
          </cell>
        </row>
        <row r="4646">
          <cell r="A4646" t="str">
            <v>HD SET BLSBY100</v>
          </cell>
          <cell r="B4646" t="str">
            <v>HEMODIALISA SET BPJS LENGKAP</v>
          </cell>
          <cell r="C4646" t="str">
            <v>HD</v>
          </cell>
        </row>
        <row r="4647">
          <cell r="A4647" t="str">
            <v>HD SET BLSMG001</v>
          </cell>
          <cell r="B4647" t="str">
            <v>HEMODIALISA SET BPJS LENGKAP</v>
          </cell>
          <cell r="C4647" t="str">
            <v>HD</v>
          </cell>
        </row>
        <row r="4648">
          <cell r="A4648" t="str">
            <v>HD SET BLSMG001-ELBL</v>
          </cell>
          <cell r="B4648" t="str">
            <v>HEMODIALISA SET BPJS LENGKAP HF&amp;BL</v>
          </cell>
          <cell r="C4648" t="str">
            <v>HD</v>
          </cell>
        </row>
        <row r="4649">
          <cell r="A4649" t="str">
            <v>HD SET BLSMG001-NAK</v>
          </cell>
          <cell r="B4649" t="str">
            <v>HEMODIALISA SET BPJS LENGKAP NON AK</v>
          </cell>
          <cell r="C4649" t="str">
            <v>HD</v>
          </cell>
        </row>
        <row r="4650">
          <cell r="A4650" t="str">
            <v>HD SET BLSMG002</v>
          </cell>
          <cell r="B4650" t="str">
            <v>HEMODIALISA SET BPJS LENGKAP</v>
          </cell>
          <cell r="C4650" t="str">
            <v>HD</v>
          </cell>
        </row>
        <row r="4651">
          <cell r="A4651" t="str">
            <v>HD SET BLSMG002-1</v>
          </cell>
          <cell r="B4651" t="str">
            <v>HEMODIALISA SET BPJS LENGKAP MEDIUM FLUX</v>
          </cell>
          <cell r="C4651" t="str">
            <v>HD</v>
          </cell>
        </row>
        <row r="4652">
          <cell r="A4652" t="str">
            <v>HD SET BLSMG002NAVAK</v>
          </cell>
          <cell r="B4652" t="str">
            <v>HEMODIALISA SET BPJS REUSE NON AVFISTULA DAN AK</v>
          </cell>
          <cell r="C4652" t="str">
            <v>HD</v>
          </cell>
        </row>
        <row r="4653">
          <cell r="A4653" t="str">
            <v>HD SET BLSMG003</v>
          </cell>
          <cell r="B4653" t="str">
            <v>HEMODIALISA SET BPJS LENGKAP</v>
          </cell>
          <cell r="C4653" t="str">
            <v>HD</v>
          </cell>
        </row>
        <row r="4654">
          <cell r="A4654" t="str">
            <v>HD SET BLSMG004</v>
          </cell>
          <cell r="B4654" t="str">
            <v>HEMODIALISA SET BPJS LENGKAP</v>
          </cell>
          <cell r="C4654" t="str">
            <v>HD</v>
          </cell>
        </row>
        <row r="4655">
          <cell r="A4655" t="str">
            <v>HD SET BLSMG004-NAT</v>
          </cell>
          <cell r="B4655" t="str">
            <v>HEMODIALISA SET BPJS LENGKAP NON AT</v>
          </cell>
          <cell r="C4655" t="str">
            <v>HD</v>
          </cell>
        </row>
        <row r="4656">
          <cell r="A4656" t="str">
            <v>HD SET BLSMG004-NAVF</v>
          </cell>
          <cell r="B4656" t="str">
            <v>HEMODIALISA SET BPJS LENGKAP NON AV FISTULA</v>
          </cell>
          <cell r="C4656" t="str">
            <v>HD</v>
          </cell>
        </row>
        <row r="4657">
          <cell r="A4657" t="str">
            <v>HD SET BLSMG004-NCU</v>
          </cell>
          <cell r="B4657" t="str">
            <v>HEMODIALISA SET BPJS LENGKAP UNTUK NCU</v>
          </cell>
          <cell r="C4657" t="str">
            <v>HD</v>
          </cell>
        </row>
        <row r="4658">
          <cell r="A4658" t="str">
            <v>HD SET BLSMG005</v>
          </cell>
          <cell r="B4658" t="str">
            <v>HEMODIALISA SET BPJS LENGKAP</v>
          </cell>
          <cell r="C4658" t="str">
            <v>HD</v>
          </cell>
        </row>
        <row r="4659">
          <cell r="A4659" t="str">
            <v>HD SET BLSMG005-NAVF</v>
          </cell>
          <cell r="B4659" t="str">
            <v>HEMODIALISA SET BPJS LENGKAP NON AV FISTULA</v>
          </cell>
          <cell r="C4659" t="str">
            <v>HD</v>
          </cell>
        </row>
        <row r="4660">
          <cell r="A4660" t="str">
            <v>HD SET BLSMG006</v>
          </cell>
          <cell r="B4660" t="str">
            <v>HEMODIALISA SET BPJS LENGKAP</v>
          </cell>
          <cell r="C4660" t="str">
            <v>HD</v>
          </cell>
        </row>
        <row r="4661">
          <cell r="A4661" t="str">
            <v>HD SET BLSMG006-NAVF</v>
          </cell>
          <cell r="B4661" t="str">
            <v>HEMODIALISA SET BPJS LENGKAP NON AVFISTULA</v>
          </cell>
          <cell r="C4661" t="str">
            <v>HD</v>
          </cell>
        </row>
        <row r="4662">
          <cell r="A4662" t="str">
            <v>HD SET BLSMG007</v>
          </cell>
          <cell r="B4662" t="str">
            <v>HEMODIALISA SET BPJS LENGKAP</v>
          </cell>
          <cell r="C4662" t="str">
            <v>HD</v>
          </cell>
        </row>
        <row r="4663">
          <cell r="A4663" t="str">
            <v>HD SET BLSMG007-1</v>
          </cell>
          <cell r="B4663" t="str">
            <v>HEMODIALISA SET BPJS LENGKAP MEDIUM FLUX HD PACK</v>
          </cell>
          <cell r="C4663" t="str">
            <v>HD</v>
          </cell>
        </row>
        <row r="4664">
          <cell r="A4664" t="str">
            <v>HD SET BLSMG007-NAVF</v>
          </cell>
          <cell r="B4664" t="str">
            <v>HEMODIALISA SET BPJS LENGKAP NON AVFISTULA</v>
          </cell>
          <cell r="C4664" t="str">
            <v>HD</v>
          </cell>
        </row>
        <row r="4665">
          <cell r="A4665" t="str">
            <v>HD SET BLSMG008</v>
          </cell>
          <cell r="B4665" t="str">
            <v>HEMODIALISA SET BPJS LENGKAP</v>
          </cell>
          <cell r="C4665" t="str">
            <v>HD</v>
          </cell>
        </row>
        <row r="4666">
          <cell r="A4666" t="str">
            <v>HD SET BLSMG009</v>
          </cell>
          <cell r="B4666" t="str">
            <v>HEMODIALISA SET BPJS LENGKAP</v>
          </cell>
          <cell r="C4666" t="str">
            <v>HD</v>
          </cell>
        </row>
        <row r="4667">
          <cell r="A4667" t="str">
            <v>HD SET BLSMG010</v>
          </cell>
          <cell r="B4667" t="str">
            <v>HEMODIALISA SET BPJS LENGKAP</v>
          </cell>
          <cell r="C4667" t="str">
            <v>HD</v>
          </cell>
        </row>
        <row r="4668">
          <cell r="A4668" t="str">
            <v>HD SET BLSMG010BT+FG</v>
          </cell>
          <cell r="B4668" t="str">
            <v>HEMODIALISA SET BPJS BLOOD TUBING DAN FG</v>
          </cell>
          <cell r="C4668" t="str">
            <v>HD</v>
          </cell>
        </row>
        <row r="4669">
          <cell r="A4669" t="str">
            <v>HD SET BLSMG010-M</v>
          </cell>
          <cell r="B4669" t="str">
            <v>HEMODIALISA SET BPJS LENGKAP</v>
          </cell>
          <cell r="C4669" t="str">
            <v>HD</v>
          </cell>
        </row>
        <row r="4670">
          <cell r="A4670" t="str">
            <v>HD SET BLSMG010NAVAK</v>
          </cell>
          <cell r="B4670" t="str">
            <v>HEMODIALISA SET BPJS REUSE NON AVFISTULA DAN AK</v>
          </cell>
          <cell r="C4670" t="str">
            <v>HD</v>
          </cell>
        </row>
        <row r="4671">
          <cell r="A4671" t="str">
            <v>HD SET BLSMG010-NAVF</v>
          </cell>
          <cell r="B4671" t="str">
            <v>HEMODIALISA SET BPJS LENGKAP NON AVFISTULA</v>
          </cell>
          <cell r="C4671" t="str">
            <v>HD</v>
          </cell>
        </row>
        <row r="4672">
          <cell r="A4672" t="str">
            <v>HD SET BLSMG010-NCU</v>
          </cell>
          <cell r="B4672" t="str">
            <v>HEMODIALISA SET BPJS LENGKAP UNTUK NCU</v>
          </cell>
          <cell r="C4672" t="str">
            <v>HD</v>
          </cell>
        </row>
        <row r="4673">
          <cell r="A4673" t="str">
            <v>HD SET BLSMG012</v>
          </cell>
          <cell r="B4673" t="str">
            <v>HEMODIALISA SET BPJS LENGKAP</v>
          </cell>
          <cell r="C4673" t="str">
            <v>HD</v>
          </cell>
        </row>
        <row r="4674">
          <cell r="A4674" t="str">
            <v>HD SET BLSMG013</v>
          </cell>
          <cell r="B4674" t="str">
            <v>HEMODIALISA SET BPJS LENGKAP</v>
          </cell>
          <cell r="C4674" t="str">
            <v>HD</v>
          </cell>
        </row>
        <row r="4675">
          <cell r="A4675" t="str">
            <v>HD SET BLSMG013BLAV</v>
          </cell>
          <cell r="B4675" t="str">
            <v>HEMODIALISA SET BPJS LENGKAP BL &amp; AV</v>
          </cell>
          <cell r="C4675" t="str">
            <v>HD</v>
          </cell>
        </row>
        <row r="4676">
          <cell r="A4676" t="str">
            <v>HD SET BLSMG013-NAVF</v>
          </cell>
          <cell r="B4676" t="str">
            <v>HEMODIALISA SET BPJS LENGKAP NON AVFISTULA</v>
          </cell>
          <cell r="C4676" t="str">
            <v>HD</v>
          </cell>
        </row>
        <row r="4677">
          <cell r="A4677" t="str">
            <v>HD SET BLSMG014</v>
          </cell>
          <cell r="B4677" t="str">
            <v>HEMODIALISA SET BPJS LENGKAP</v>
          </cell>
          <cell r="C4677" t="str">
            <v>HD</v>
          </cell>
        </row>
        <row r="4678">
          <cell r="A4678" t="str">
            <v>HD SET BLSMG014NAKAT</v>
          </cell>
          <cell r="B4678" t="str">
            <v>HEMODIALISA SET BPJS LENGKAP NON AVF AK AT</v>
          </cell>
          <cell r="C4678" t="str">
            <v>HD</v>
          </cell>
        </row>
        <row r="4679">
          <cell r="A4679" t="str">
            <v>HD SET BLSMG014-NAVF</v>
          </cell>
          <cell r="B4679" t="str">
            <v>HEMODIALISA SET BPJS LENGKAP NON AVFISTULA</v>
          </cell>
          <cell r="C4679" t="str">
            <v>HD</v>
          </cell>
        </row>
        <row r="4680">
          <cell r="A4680" t="str">
            <v>HD SET BLSMG015</v>
          </cell>
          <cell r="B4680" t="str">
            <v>HEMODIALISA SET BPJS LENGKAP</v>
          </cell>
          <cell r="C4680" t="str">
            <v>HD</v>
          </cell>
        </row>
        <row r="4681">
          <cell r="A4681" t="str">
            <v>HD SET BLSMG015-1</v>
          </cell>
          <cell r="B4681" t="str">
            <v>HEMODIALISA SET BPJS LENGKAP MEDIUM FLUX</v>
          </cell>
          <cell r="C4681" t="str">
            <v>HD</v>
          </cell>
        </row>
        <row r="4682">
          <cell r="A4682" t="str">
            <v>HD SET BLSMG015-NAV1</v>
          </cell>
          <cell r="B4682" t="str">
            <v>HEMODIALISA SET BPJS LENGKAP MEDIUM FLUX</v>
          </cell>
          <cell r="C4682" t="str">
            <v>HD</v>
          </cell>
        </row>
        <row r="4683">
          <cell r="A4683" t="str">
            <v>HD SET BLSMG015-NAVF</v>
          </cell>
          <cell r="B4683" t="str">
            <v>HEMODIALISA SET BPJS LENGKAP NON AVFISTULA</v>
          </cell>
          <cell r="C4683" t="str">
            <v>HD</v>
          </cell>
        </row>
        <row r="4684">
          <cell r="A4684" t="str">
            <v>HD SET BLSMG017</v>
          </cell>
          <cell r="B4684" t="str">
            <v>HEMODIALISA SET BPJS LENGKAP</v>
          </cell>
          <cell r="C4684" t="str">
            <v>HD</v>
          </cell>
        </row>
        <row r="4685">
          <cell r="A4685" t="str">
            <v>HD SET BLSMG019</v>
          </cell>
          <cell r="B4685" t="str">
            <v>HEMODIALISA SET BPJS LENGKAP</v>
          </cell>
          <cell r="C4685" t="str">
            <v>HD</v>
          </cell>
        </row>
        <row r="4686">
          <cell r="A4686" t="str">
            <v>HD SET BLSMG022</v>
          </cell>
          <cell r="B4686" t="str">
            <v>HEMODIALISA SET BPJS LENGKAP</v>
          </cell>
          <cell r="C4686" t="str">
            <v>HD</v>
          </cell>
        </row>
        <row r="4687">
          <cell r="A4687" t="str">
            <v>HD SET BLSMG022BT+AT</v>
          </cell>
          <cell r="B4687" t="str">
            <v>HEMODIALISA SET BPJS BLOOD TUBING DAN AT10</v>
          </cell>
          <cell r="C4687" t="str">
            <v>HD</v>
          </cell>
        </row>
        <row r="4688">
          <cell r="A4688" t="str">
            <v>HD SET BLSMG022-ELBT</v>
          </cell>
          <cell r="B4688" t="str">
            <v>HEMODIALISA SET BPJS LENGKAP ELISIO &amp; BTS</v>
          </cell>
          <cell r="C4688" t="str">
            <v>HD</v>
          </cell>
        </row>
        <row r="4689">
          <cell r="A4689" t="str">
            <v>HD SET BLSMG022-HDP</v>
          </cell>
          <cell r="B4689" t="str">
            <v>HEMODIALISA SET BPJS LENGKAP DENGAN HD PACK</v>
          </cell>
          <cell r="C4689" t="str">
            <v>HD</v>
          </cell>
        </row>
        <row r="4690">
          <cell r="A4690" t="str">
            <v>HD SET BLSMG022NAVAK</v>
          </cell>
          <cell r="B4690" t="str">
            <v>HEMODIALISA SET BPJS REUSE NON AVFISTULA DAN AK</v>
          </cell>
          <cell r="C4690" t="str">
            <v>HD</v>
          </cell>
        </row>
        <row r="4691">
          <cell r="A4691" t="str">
            <v>HD SET BLSMG022-NAVF</v>
          </cell>
          <cell r="B4691" t="str">
            <v>HEMODIALISA SET BPJS LENGKAP NON AVFISTULA</v>
          </cell>
          <cell r="C4691" t="str">
            <v>HD</v>
          </cell>
        </row>
        <row r="4692">
          <cell r="A4692" t="str">
            <v>HD SET BLSMG022NAVF1</v>
          </cell>
          <cell r="B4692" t="str">
            <v>HEMODIALISA SET BPJS LENGKAP DENGAN HD PACK NON AV</v>
          </cell>
          <cell r="C4692" t="str">
            <v>HD</v>
          </cell>
        </row>
        <row r="4693">
          <cell r="A4693" t="str">
            <v>HD SET BLSMG023</v>
          </cell>
          <cell r="B4693" t="str">
            <v>HEMODIALISA SET BPJS LENGKAP</v>
          </cell>
          <cell r="C4693" t="str">
            <v>HD</v>
          </cell>
        </row>
        <row r="4694">
          <cell r="A4694" t="str">
            <v>HD SET BLSMG024</v>
          </cell>
          <cell r="B4694" t="str">
            <v>HEMODIALISA SET BPJS LENGKAP</v>
          </cell>
          <cell r="C4694" t="str">
            <v>HD</v>
          </cell>
        </row>
        <row r="4695">
          <cell r="A4695" t="str">
            <v>HD SET BLSMG024-NAVF</v>
          </cell>
          <cell r="B4695" t="str">
            <v>HEMODIALISA SET BPJS LENGKAP NON AVFISTULA</v>
          </cell>
          <cell r="C4695" t="str">
            <v>HD</v>
          </cell>
        </row>
        <row r="4696">
          <cell r="A4696" t="str">
            <v>HD SET BLSMG025</v>
          </cell>
          <cell r="B4696" t="str">
            <v>HEMODIALISA SET BPJS LENGKAP</v>
          </cell>
          <cell r="C4696" t="str">
            <v>HD</v>
          </cell>
        </row>
        <row r="4697">
          <cell r="A4697" t="str">
            <v>HD SET BLSMG025-1</v>
          </cell>
          <cell r="B4697" t="str">
            <v>HEMODIALISA SET BPJS LENGKAP MEDIUM FLUX</v>
          </cell>
          <cell r="C4697" t="str">
            <v>HD</v>
          </cell>
        </row>
        <row r="4698">
          <cell r="A4698" t="str">
            <v>HD SET BLSMG025-NAV1</v>
          </cell>
          <cell r="B4698" t="str">
            <v>HEMODIALISA SET BPJS LENGKAP NON AVFISTULA MF</v>
          </cell>
          <cell r="C4698" t="str">
            <v>HD</v>
          </cell>
        </row>
        <row r="4699">
          <cell r="A4699" t="str">
            <v>HD SET BLSMG025-NAVF</v>
          </cell>
          <cell r="B4699" t="str">
            <v>HEMODIALISA SET BPJS LENGKAP NON AVFISTULA</v>
          </cell>
          <cell r="C4699" t="str">
            <v>HD</v>
          </cell>
        </row>
        <row r="4700">
          <cell r="A4700" t="str">
            <v>HD SET BLSMG026</v>
          </cell>
          <cell r="B4700" t="str">
            <v>HEMODIALISA SET BPJS LENGKAP</v>
          </cell>
          <cell r="C4700" t="str">
            <v>HD</v>
          </cell>
        </row>
        <row r="4701">
          <cell r="A4701" t="str">
            <v>HD SET BLSMG026-NAVF</v>
          </cell>
          <cell r="B4701" t="str">
            <v>HEMODIALISA SET BPJS LENGKAP NON AVFISTULA</v>
          </cell>
          <cell r="C4701" t="str">
            <v>HD</v>
          </cell>
        </row>
        <row r="4702">
          <cell r="A4702" t="str">
            <v>HD SET BLSMG027</v>
          </cell>
          <cell r="B4702" t="str">
            <v>HEMODIALISA SET BPJS LENGKAP</v>
          </cell>
          <cell r="C4702" t="str">
            <v>HD</v>
          </cell>
        </row>
        <row r="4703">
          <cell r="A4703" t="str">
            <v>HD SET BLSMG027-ANAK</v>
          </cell>
          <cell r="B4703" t="str">
            <v>HEMODIALISA SET BPJS LENGKAP ANAK</v>
          </cell>
          <cell r="C4703" t="str">
            <v>HD</v>
          </cell>
        </row>
        <row r="4704">
          <cell r="A4704" t="str">
            <v>HD SET BLSMG028</v>
          </cell>
          <cell r="B4704" t="str">
            <v>HEMODIALISA SET BPJS LENGKAP</v>
          </cell>
          <cell r="C4704" t="str">
            <v>HD</v>
          </cell>
        </row>
        <row r="4705">
          <cell r="A4705" t="str">
            <v>HD SET BLSMG028-NAVF</v>
          </cell>
          <cell r="B4705" t="str">
            <v>HEMODIALISA SET BPJS LENGKAP NON AVFISTULA</v>
          </cell>
          <cell r="C4705" t="str">
            <v>HD</v>
          </cell>
        </row>
        <row r="4706">
          <cell r="A4706" t="str">
            <v>HD SET BLSMG029</v>
          </cell>
          <cell r="B4706" t="str">
            <v>HEMODIALISA SET BPJS LENGKAP</v>
          </cell>
          <cell r="C4706" t="str">
            <v>HD</v>
          </cell>
        </row>
        <row r="4707">
          <cell r="A4707" t="str">
            <v>HD SET BLSMG029-1</v>
          </cell>
          <cell r="B4707" t="str">
            <v>HEMODIALISA SET BPJS LENGKAP MEDIUM FLUX</v>
          </cell>
          <cell r="C4707" t="str">
            <v>HD</v>
          </cell>
        </row>
        <row r="4708">
          <cell r="A4708" t="str">
            <v>HD SET BLSMG029-NAV1</v>
          </cell>
          <cell r="B4708" t="str">
            <v>HEMODIALISA SET BPJS LENGKAP MEDIUM FLUX NON AV</v>
          </cell>
          <cell r="C4708" t="str">
            <v>HD</v>
          </cell>
        </row>
        <row r="4709">
          <cell r="A4709" t="str">
            <v>HD SET BLSMG030</v>
          </cell>
          <cell r="B4709" t="str">
            <v>HEMODIALISA SET BPJS LENGKAP</v>
          </cell>
          <cell r="C4709" t="str">
            <v>HD</v>
          </cell>
        </row>
        <row r="4710">
          <cell r="A4710" t="str">
            <v>HD SET BLSMG030-HDP</v>
          </cell>
          <cell r="B4710" t="str">
            <v>HEMODIALISA SET BPJS LENGKAP DENGAN HD PACK</v>
          </cell>
          <cell r="C4710" t="str">
            <v>HD</v>
          </cell>
        </row>
        <row r="4711">
          <cell r="A4711" t="str">
            <v>HD SET BLSMG030-NAVF</v>
          </cell>
          <cell r="B4711" t="str">
            <v>HEMODIALISA SET BPJS LENGKAP NON AVFISTULA</v>
          </cell>
          <cell r="C4711" t="str">
            <v>HD</v>
          </cell>
        </row>
        <row r="4712">
          <cell r="A4712" t="str">
            <v>HD SET BLSMG030NAVF1</v>
          </cell>
          <cell r="B4712" t="str">
            <v>HEMODIALISA SET BPJS LENGKAP DENGAN HD PACK NON AV</v>
          </cell>
          <cell r="C4712" t="str">
            <v>HD</v>
          </cell>
        </row>
        <row r="4713">
          <cell r="A4713" t="str">
            <v>HD SET BLSMG031</v>
          </cell>
          <cell r="B4713" t="str">
            <v>HEMODIALISA SET BPJS LENGKAP</v>
          </cell>
          <cell r="C4713" t="str">
            <v>HD</v>
          </cell>
        </row>
        <row r="4714">
          <cell r="A4714" t="str">
            <v>HD SET BLSMG031-ELBL</v>
          </cell>
          <cell r="B4714" t="str">
            <v>HEMODIALISA SET BPJS LENGKAP ELISIO + BLOOD TUBING</v>
          </cell>
          <cell r="C4714" t="str">
            <v>HD</v>
          </cell>
        </row>
        <row r="4715">
          <cell r="A4715" t="str">
            <v>HD SET BLSMG032</v>
          </cell>
          <cell r="B4715" t="str">
            <v>HEMODIALISA SET BPJS LENGKAP</v>
          </cell>
          <cell r="C4715" t="str">
            <v>HD</v>
          </cell>
        </row>
        <row r="4716">
          <cell r="A4716" t="str">
            <v>HD SET BLSMG033</v>
          </cell>
          <cell r="B4716" t="str">
            <v>HEMODIALISA SET BPJS LENGKAP</v>
          </cell>
          <cell r="C4716" t="str">
            <v>HD</v>
          </cell>
        </row>
        <row r="4717">
          <cell r="A4717" t="str">
            <v>HD SET BLSMG033 ANAK</v>
          </cell>
          <cell r="B4717" t="str">
            <v>HEMODIALISA SET BPJS LENGKAP ANAK</v>
          </cell>
          <cell r="C4717" t="str">
            <v>HD</v>
          </cell>
        </row>
        <row r="4718">
          <cell r="A4718" t="str">
            <v>HD SET BLSMG033-HDF</v>
          </cell>
          <cell r="B4718" t="str">
            <v>HEMODIALISA SET BPJS LENGKAP HDF</v>
          </cell>
          <cell r="C4718" t="str">
            <v>HD</v>
          </cell>
        </row>
        <row r="4719">
          <cell r="A4719" t="str">
            <v>HD SET BLSMG033-NAVF</v>
          </cell>
          <cell r="B4719" t="str">
            <v>HEMODIALISA SET BPJS LENGKAP ANAK NON AVFISTULA</v>
          </cell>
          <cell r="C4719" t="str">
            <v>HD</v>
          </cell>
        </row>
        <row r="4720">
          <cell r="A4720" t="str">
            <v>HD SET BLSMG034</v>
          </cell>
          <cell r="B4720" t="str">
            <v>HEMODIALISA SET BPJS LENGKAP</v>
          </cell>
          <cell r="C4720" t="str">
            <v>HD</v>
          </cell>
        </row>
        <row r="4721">
          <cell r="A4721" t="str">
            <v>HD SET BLSMG034-HDP</v>
          </cell>
          <cell r="B4721" t="str">
            <v>HEMODIALISA SET BPJS LENGKAP DENGAN HD PACK</v>
          </cell>
          <cell r="C4721" t="str">
            <v>HD</v>
          </cell>
        </row>
        <row r="4722">
          <cell r="A4722" t="str">
            <v>HD SET BLSMG034-NAVF</v>
          </cell>
          <cell r="B4722" t="str">
            <v>HEMODIALISA SET BPJS LENGKAP NON AVFISTULA</v>
          </cell>
          <cell r="C4722" t="str">
            <v>HD</v>
          </cell>
        </row>
        <row r="4723">
          <cell r="A4723" t="str">
            <v>HD SET BLSMG035</v>
          </cell>
          <cell r="B4723" t="str">
            <v>HEMODIALISA SET BPJS LENGKAP</v>
          </cell>
          <cell r="C4723" t="str">
            <v>HD</v>
          </cell>
        </row>
        <row r="4724">
          <cell r="A4724" t="str">
            <v>HD SET BLSMG036</v>
          </cell>
          <cell r="B4724" t="str">
            <v>HEMODIALISA SET BPJS LENGKAP</v>
          </cell>
          <cell r="C4724" t="str">
            <v>HD</v>
          </cell>
        </row>
        <row r="4725">
          <cell r="A4725" t="str">
            <v>HD SET BLSMG037</v>
          </cell>
          <cell r="B4725" t="str">
            <v>HEMODIALISA SET BPJS LENGKAP</v>
          </cell>
          <cell r="C4725" t="str">
            <v>HD</v>
          </cell>
        </row>
        <row r="4726">
          <cell r="A4726" t="str">
            <v>HD SET BLSMG038</v>
          </cell>
          <cell r="B4726" t="str">
            <v>HEMODIALISA SET BPJS LENGKAP</v>
          </cell>
          <cell r="C4726" t="str">
            <v>HD</v>
          </cell>
        </row>
        <row r="4727">
          <cell r="A4727" t="str">
            <v>HD SET BLSMG038-NAVF</v>
          </cell>
          <cell r="B4727" t="str">
            <v>HEMODIALISA SET BPJS LENGKAP NON AVFISTULA</v>
          </cell>
          <cell r="C4727" t="str">
            <v>HD</v>
          </cell>
        </row>
        <row r="4728">
          <cell r="A4728" t="str">
            <v>HD SET BLSMG039</v>
          </cell>
          <cell r="B4728" t="str">
            <v>HEMODIALISA SET BPJS LENGKAP</v>
          </cell>
          <cell r="C4728" t="str">
            <v>HD</v>
          </cell>
        </row>
        <row r="4729">
          <cell r="A4729" t="str">
            <v>HD SET BLSMG040</v>
          </cell>
          <cell r="B4729" t="str">
            <v>HEMODIALISA SET BPJS LENGKAP</v>
          </cell>
          <cell r="C4729" t="str">
            <v>HD</v>
          </cell>
        </row>
        <row r="4730">
          <cell r="A4730" t="str">
            <v>HD SET BLSMG040-1</v>
          </cell>
          <cell r="B4730" t="str">
            <v>HEMODIALISA SET BPJS LENGKAP DENGAN HD PACK</v>
          </cell>
          <cell r="C4730" t="str">
            <v>HD</v>
          </cell>
        </row>
        <row r="4731">
          <cell r="A4731" t="str">
            <v>HD SET BLSMG040-ANAK</v>
          </cell>
          <cell r="B4731" t="str">
            <v>HEMODIALISA SET BPJS LENGKAP ANAK</v>
          </cell>
          <cell r="C4731" t="str">
            <v>HD</v>
          </cell>
        </row>
        <row r="4732">
          <cell r="A4732" t="str">
            <v>HD SET BLSMG040-HDP1</v>
          </cell>
          <cell r="B4732" t="str">
            <v>HEMODIALISA SET BPJS LENGKAP DENGAN HD PACK NON AV</v>
          </cell>
          <cell r="C4732" t="str">
            <v>HD</v>
          </cell>
        </row>
        <row r="4733">
          <cell r="A4733" t="str">
            <v>HD SET BLSMG040-NAVF</v>
          </cell>
          <cell r="B4733" t="str">
            <v>HEMODIALISA SET BPJS LENGKAP NON AVFISTULA</v>
          </cell>
          <cell r="C4733" t="str">
            <v>HD</v>
          </cell>
        </row>
        <row r="4734">
          <cell r="A4734" t="str">
            <v>HD SET BLSMG041</v>
          </cell>
          <cell r="B4734" t="str">
            <v>HEMODIALISA SET BPJS LENGKAP</v>
          </cell>
          <cell r="C4734" t="str">
            <v>HD</v>
          </cell>
        </row>
        <row r="4735">
          <cell r="A4735" t="str">
            <v>HD SET BLSMG041-NAVF</v>
          </cell>
          <cell r="B4735" t="str">
            <v>HEMODIALISA SET BPJS LENGKAP NON AVFISTULA</v>
          </cell>
          <cell r="C4735" t="str">
            <v>HD</v>
          </cell>
        </row>
        <row r="4736">
          <cell r="A4736" t="str">
            <v>HD SET BLSMG042</v>
          </cell>
          <cell r="B4736" t="str">
            <v>HEMODIALISA SET BPJS LENGKAP</v>
          </cell>
          <cell r="C4736" t="str">
            <v>HD</v>
          </cell>
        </row>
        <row r="4737">
          <cell r="A4737" t="str">
            <v>HD SET BLSMG042-ELBL</v>
          </cell>
          <cell r="B4737" t="str">
            <v>HEMODIALISA SET BPJS LENGKAP ELISIO + BLOOD TUBING</v>
          </cell>
          <cell r="C4737" t="str">
            <v>HD</v>
          </cell>
        </row>
        <row r="4738">
          <cell r="A4738" t="str">
            <v>HD SET BLSMG042NAVAK</v>
          </cell>
          <cell r="B4738" t="str">
            <v>HEMODIALISA SET BPJS REUSE NON AVFISTULA DAN AK</v>
          </cell>
          <cell r="C4738" t="str">
            <v>HD</v>
          </cell>
        </row>
        <row r="4739">
          <cell r="A4739" t="str">
            <v>HD SET BLSMG042-NAVF</v>
          </cell>
          <cell r="B4739" t="str">
            <v>HEMODIALISA SET BPJS LENGKAP NON AVFISTULA</v>
          </cell>
          <cell r="C4739" t="str">
            <v>HD</v>
          </cell>
        </row>
        <row r="4740">
          <cell r="A4740" t="str">
            <v>HD SET BLSMG043</v>
          </cell>
          <cell r="B4740" t="str">
            <v>HEMODIALISA SET BPJS LENGKAP</v>
          </cell>
          <cell r="C4740" t="str">
            <v>HD</v>
          </cell>
        </row>
        <row r="4741">
          <cell r="A4741" t="str">
            <v>HD SET BLSMG043ELIBL</v>
          </cell>
          <cell r="B4741" t="str">
            <v>HEMODIALISA SET BPJS LENGKAP NON AVF, AT, AK</v>
          </cell>
          <cell r="C4741" t="str">
            <v>HD</v>
          </cell>
        </row>
        <row r="4742">
          <cell r="A4742" t="str">
            <v>HD SET BLSMG043NAKAV</v>
          </cell>
          <cell r="B4742" t="str">
            <v>HEMODIALISA SET BPJS LENGKAP NON AK &amp; AVFISTULA</v>
          </cell>
          <cell r="C4742" t="str">
            <v>HD</v>
          </cell>
        </row>
        <row r="4743">
          <cell r="A4743" t="str">
            <v>HD SET BLSMG043-NAVF</v>
          </cell>
          <cell r="B4743" t="str">
            <v>HEMODIALISA SET BPJS LENGKAP NON AVFISTULA</v>
          </cell>
          <cell r="C4743" t="str">
            <v>HD</v>
          </cell>
        </row>
        <row r="4744">
          <cell r="A4744" t="str">
            <v>HD SET BLSMG044</v>
          </cell>
          <cell r="B4744" t="str">
            <v>HEMODIALISA SET BPJS LENGKAP</v>
          </cell>
          <cell r="C4744" t="str">
            <v>HD</v>
          </cell>
        </row>
        <row r="4745">
          <cell r="A4745" t="str">
            <v>HD SET BLSMG045</v>
          </cell>
          <cell r="B4745" t="str">
            <v>HEMODIALISA SET BPJS LENGKAP</v>
          </cell>
          <cell r="C4745" t="str">
            <v>HD</v>
          </cell>
        </row>
        <row r="4746">
          <cell r="A4746" t="str">
            <v>HD SET BLSMG045NAVAK</v>
          </cell>
          <cell r="B4746" t="str">
            <v>HEMODIALISA SET BPJS REUSE NON AVFISTULA DAN AK</v>
          </cell>
          <cell r="C4746" t="str">
            <v>HD</v>
          </cell>
        </row>
        <row r="4747">
          <cell r="A4747" t="str">
            <v>HD SET BLSMG046</v>
          </cell>
          <cell r="B4747" t="str">
            <v>HEMODIALISA SET BPJS LENGKAP</v>
          </cell>
          <cell r="C4747" t="str">
            <v>HD</v>
          </cell>
        </row>
        <row r="4748">
          <cell r="A4748" t="str">
            <v>HD SET BLSMG046-NAVF</v>
          </cell>
          <cell r="B4748" t="str">
            <v>HEMODIALISA SET BPJS LENGKAP NON AVFISTULA</v>
          </cell>
          <cell r="C4748" t="str">
            <v>HD</v>
          </cell>
        </row>
        <row r="4749">
          <cell r="A4749" t="str">
            <v>HD SET BLSMG047</v>
          </cell>
          <cell r="B4749" t="str">
            <v>HEMODIALISA SET BPJS LENGKAP</v>
          </cell>
          <cell r="C4749" t="str">
            <v>HD</v>
          </cell>
        </row>
        <row r="4750">
          <cell r="A4750" t="str">
            <v>HD SET BLSMG047-NAVF</v>
          </cell>
          <cell r="B4750" t="str">
            <v>HEMODIALISA SET BPJS LENGKAP NON AV FISTULA</v>
          </cell>
          <cell r="C4750" t="str">
            <v>HD</v>
          </cell>
        </row>
        <row r="4751">
          <cell r="A4751" t="str">
            <v>HD SET BLSMG048</v>
          </cell>
          <cell r="B4751" t="str">
            <v>HEMODIALISA SET BPJS LENGKAP</v>
          </cell>
          <cell r="C4751" t="str">
            <v>HD</v>
          </cell>
        </row>
        <row r="4752">
          <cell r="A4752" t="str">
            <v>HD SET BLSMG049</v>
          </cell>
          <cell r="B4752" t="str">
            <v>HEMODIALISA SET BPJS LENGKAP</v>
          </cell>
          <cell r="C4752" t="str">
            <v>HD</v>
          </cell>
        </row>
        <row r="4753">
          <cell r="A4753" t="str">
            <v>HD SET BLSMG050</v>
          </cell>
          <cell r="B4753" t="str">
            <v>HEMODIALISA SET BPJS LENGKAP</v>
          </cell>
          <cell r="C4753" t="str">
            <v>HD</v>
          </cell>
        </row>
        <row r="4754">
          <cell r="A4754" t="str">
            <v>HD SET BLSMG050BT+AT</v>
          </cell>
          <cell r="B4754" t="str">
            <v>HEMODIALISA SET BPJS BLOOD TUBING DAN AT10</v>
          </cell>
          <cell r="C4754" t="str">
            <v>HD</v>
          </cell>
        </row>
        <row r="4755">
          <cell r="A4755" t="str">
            <v>HD SET BLSMG050-NAK</v>
          </cell>
          <cell r="B4755" t="str">
            <v>HEMODIALISA SET BPJS LENGKAP NON AK</v>
          </cell>
          <cell r="C4755" t="str">
            <v>HD</v>
          </cell>
        </row>
        <row r="4756">
          <cell r="A4756" t="str">
            <v>HD SET BLSMG050-NAT</v>
          </cell>
          <cell r="B4756" t="str">
            <v>HEMODIALISA SET BPJS LENGKAP NON AT</v>
          </cell>
          <cell r="C4756" t="str">
            <v>HD</v>
          </cell>
        </row>
        <row r="4757">
          <cell r="A4757" t="str">
            <v>HD SET BLSMG050-NAVF</v>
          </cell>
          <cell r="B4757" t="str">
            <v>HEMODIALISA SET BPJS LENGKAP NON AV FISTULA</v>
          </cell>
          <cell r="C4757" t="str">
            <v>HD</v>
          </cell>
        </row>
        <row r="4758">
          <cell r="A4758" t="str">
            <v>HD SET BLSMG051</v>
          </cell>
          <cell r="B4758" t="str">
            <v>HEMODIALISA SET BPJS LENGKAP</v>
          </cell>
          <cell r="C4758" t="str">
            <v>HD</v>
          </cell>
        </row>
        <row r="4759">
          <cell r="A4759" t="str">
            <v>HD SET BLSMG051-M</v>
          </cell>
          <cell r="B4759" t="str">
            <v>HEMODIALISA SET BPJS LENGKAP</v>
          </cell>
          <cell r="C4759" t="str">
            <v>HD</v>
          </cell>
        </row>
        <row r="4760">
          <cell r="A4760" t="str">
            <v>HD SET BLSMG051-NAVF</v>
          </cell>
          <cell r="B4760" t="str">
            <v>HEMODIALISA SET BPJS LENGKAP NON AV FISTULA</v>
          </cell>
          <cell r="C4760" t="str">
            <v>HD</v>
          </cell>
        </row>
        <row r="4761">
          <cell r="A4761" t="str">
            <v>HD SET BLSMG052</v>
          </cell>
          <cell r="B4761" t="str">
            <v>HEMODIALISA SET BPJS LENGKAP</v>
          </cell>
          <cell r="C4761" t="str">
            <v>HD</v>
          </cell>
        </row>
        <row r="4762">
          <cell r="A4762" t="str">
            <v>HD SET BLSMG053</v>
          </cell>
          <cell r="B4762" t="str">
            <v>HEMODIALISA SET BPJS LENGKAP</v>
          </cell>
          <cell r="C4762" t="str">
            <v>HD</v>
          </cell>
        </row>
        <row r="4763">
          <cell r="A4763" t="str">
            <v>HD SET BLSMG053-BLAV</v>
          </cell>
          <cell r="B4763" t="str">
            <v>HEMODIALISA SET BPJS LENGKAP BL &amp; AV</v>
          </cell>
          <cell r="C4763" t="str">
            <v>HD</v>
          </cell>
        </row>
        <row r="4764">
          <cell r="A4764" t="str">
            <v>HD SET BLSMG053-ELBL</v>
          </cell>
          <cell r="B4764" t="str">
            <v>HEMODIALISA SET BPJS LENGKAP ELISIO + BLOOD TUBING</v>
          </cell>
          <cell r="C4764" t="str">
            <v>HD</v>
          </cell>
        </row>
        <row r="4765">
          <cell r="A4765" t="str">
            <v>HD SET BLSMG053-NAK</v>
          </cell>
          <cell r="B4765" t="str">
            <v>HEMODIALISA SET BPJS LENGKAP NON AK</v>
          </cell>
          <cell r="C4765" t="str">
            <v>HD</v>
          </cell>
        </row>
        <row r="4766">
          <cell r="A4766" t="str">
            <v>HD SET BLSMG053NATAK</v>
          </cell>
          <cell r="B4766" t="str">
            <v>HEMODIALISA SET BPJS LENGKAP NON AT &amp; AK</v>
          </cell>
          <cell r="C4766" t="str">
            <v>HD</v>
          </cell>
        </row>
        <row r="4767">
          <cell r="A4767" t="str">
            <v>HD SET BLSMG053-NAVF</v>
          </cell>
          <cell r="B4767" t="str">
            <v>HEMODIALISA SET BPJS LENGKAP NON AV FISTULA</v>
          </cell>
          <cell r="C4767" t="str">
            <v>HD</v>
          </cell>
        </row>
        <row r="4768">
          <cell r="A4768" t="str">
            <v>HD SET BLSMG054</v>
          </cell>
          <cell r="B4768" t="str">
            <v>HEMODIALISA SET BPJS LENGKAP</v>
          </cell>
          <cell r="C4768" t="str">
            <v>HD</v>
          </cell>
        </row>
        <row r="4769">
          <cell r="A4769" t="str">
            <v>HD SET BLSMG056</v>
          </cell>
          <cell r="B4769" t="str">
            <v>HEMODIALISA SET BPJS LENGKAP</v>
          </cell>
          <cell r="C4769" t="str">
            <v>HD</v>
          </cell>
        </row>
        <row r="4770">
          <cell r="A4770" t="str">
            <v>HD SET BLSMG058</v>
          </cell>
          <cell r="B4770" t="str">
            <v>HEMODIALISA SET BPJS LENGKAP</v>
          </cell>
          <cell r="C4770" t="str">
            <v>HD</v>
          </cell>
        </row>
        <row r="4771">
          <cell r="A4771" t="str">
            <v>HD SET BLSMG058-NAK</v>
          </cell>
          <cell r="B4771" t="str">
            <v>HEMODIALISA SET BPJS LENGKAP NON AK</v>
          </cell>
          <cell r="C4771" t="str">
            <v>HD</v>
          </cell>
        </row>
        <row r="4772">
          <cell r="A4772" t="str">
            <v>HD SET BLSMG060</v>
          </cell>
          <cell r="B4772" t="str">
            <v>HEMODIALISA SET BPJS LENGKAP</v>
          </cell>
          <cell r="C4772" t="str">
            <v>HD</v>
          </cell>
        </row>
        <row r="4773">
          <cell r="A4773" t="str">
            <v>HD SET BLSMG062</v>
          </cell>
          <cell r="B4773" t="str">
            <v>HEMODIALISA SET BPJS LENGKAP</v>
          </cell>
          <cell r="C4773" t="str">
            <v>HD</v>
          </cell>
        </row>
        <row r="4774">
          <cell r="A4774" t="str">
            <v>HD SET BLSMG063</v>
          </cell>
          <cell r="B4774" t="str">
            <v>HEMODIALISA SET BPJS LENGKAP</v>
          </cell>
          <cell r="C4774" t="str">
            <v>HD</v>
          </cell>
        </row>
        <row r="4775">
          <cell r="A4775" t="str">
            <v>HD SET BLSMG066</v>
          </cell>
          <cell r="B4775" t="str">
            <v>HEMODIALISA SET BPJS LENGKAP{</v>
          </cell>
          <cell r="C4775" t="str">
            <v>HD</v>
          </cell>
        </row>
        <row r="4776">
          <cell r="A4776" t="str">
            <v>HD SET BLSMG066-NAVF</v>
          </cell>
          <cell r="B4776" t="str">
            <v>HEMODIALISA SET BPJS LENGKAP NON AVFISTULA</v>
          </cell>
          <cell r="C4776" t="str">
            <v>HD</v>
          </cell>
        </row>
        <row r="4777">
          <cell r="A4777" t="str">
            <v>HD SET BLSMG068</v>
          </cell>
          <cell r="B4777" t="str">
            <v>HEMODIALISA SET BPJS LENGKAP</v>
          </cell>
          <cell r="C4777" t="str">
            <v>HD</v>
          </cell>
        </row>
        <row r="4778">
          <cell r="A4778" t="str">
            <v>HD SET BLSMG069</v>
          </cell>
          <cell r="B4778" t="str">
            <v>HEMODIALISA SET BPJS LENGKAP</v>
          </cell>
          <cell r="C4778" t="str">
            <v>HD</v>
          </cell>
        </row>
        <row r="4779">
          <cell r="A4779" t="str">
            <v>HD SET BLSMG069-NAVF</v>
          </cell>
          <cell r="B4779" t="str">
            <v>HEMODIALISA SET BPJS LENGKAP NON AVFISTULA</v>
          </cell>
          <cell r="C4779" t="str">
            <v>HD</v>
          </cell>
        </row>
        <row r="4780">
          <cell r="A4780" t="str">
            <v>HD SET BLSMG071</v>
          </cell>
          <cell r="B4780" t="str">
            <v>HEMODIALISA SET BPJS LENGKAP</v>
          </cell>
          <cell r="C4780" t="str">
            <v>HD</v>
          </cell>
        </row>
        <row r="4781">
          <cell r="A4781" t="str">
            <v>HD SET BLSMG071-HDF</v>
          </cell>
          <cell r="B4781" t="str">
            <v>HEMODIALISA SET BPJS LENGKAP (HDF BHP PACK)</v>
          </cell>
          <cell r="C4781" t="str">
            <v>HD</v>
          </cell>
        </row>
        <row r="4782">
          <cell r="A4782" t="str">
            <v>HD SET BLSMG071-HDP</v>
          </cell>
          <cell r="B4782" t="str">
            <v>HEMODIALISA SET BPJS LENGKAP DENGAN HD PACK</v>
          </cell>
          <cell r="C4782" t="str">
            <v>HD</v>
          </cell>
        </row>
        <row r="4783">
          <cell r="A4783" t="str">
            <v>HD SET BLSMG071-NAVF</v>
          </cell>
          <cell r="B4783" t="str">
            <v>HEMODIALISA SET BPJS LENGKAP NON AVFISTULA</v>
          </cell>
          <cell r="C4783" t="str">
            <v>HD</v>
          </cell>
        </row>
        <row r="4784">
          <cell r="A4784" t="str">
            <v>HD SET BLSMG071NAVF1</v>
          </cell>
          <cell r="B4784" t="str">
            <v>HEMODIALISA SET BPJS LENGKAP DENGAN HD PACK NON AV</v>
          </cell>
          <cell r="C4784" t="str">
            <v>HD</v>
          </cell>
        </row>
        <row r="4785">
          <cell r="A4785" t="str">
            <v>HD SET BLSMG072</v>
          </cell>
          <cell r="B4785" t="str">
            <v>HEMODIALISA SET BPJS LENGKAP</v>
          </cell>
          <cell r="C4785" t="str">
            <v>HD</v>
          </cell>
        </row>
        <row r="4786">
          <cell r="A4786" t="str">
            <v>HD SET BLSMG072-NAVF</v>
          </cell>
          <cell r="B4786" t="str">
            <v>HEMODIALISA SET BPJS LENGKAP NON AVFISTULA</v>
          </cell>
          <cell r="C4786" t="str">
            <v>HD</v>
          </cell>
        </row>
        <row r="4787">
          <cell r="A4787" t="str">
            <v>HD SET BLSMG073</v>
          </cell>
          <cell r="B4787" t="str">
            <v>HEMODIALISA SET BPJS LENGKAP</v>
          </cell>
          <cell r="C4787" t="str">
            <v>HD</v>
          </cell>
        </row>
        <row r="4788">
          <cell r="A4788" t="str">
            <v>HD SET BLSMG073BL+AV</v>
          </cell>
          <cell r="B4788" t="str">
            <v>HEMODIALISA SET BPJS LENGKAP BTS &amp; AVF</v>
          </cell>
          <cell r="C4788" t="str">
            <v>HD</v>
          </cell>
        </row>
        <row r="4789">
          <cell r="A4789" t="str">
            <v>HD SET BLSMG073-NAT</v>
          </cell>
          <cell r="B4789" t="str">
            <v>HEMODIALISA SET BPJS LENGKAP NON AT</v>
          </cell>
          <cell r="C4789" t="str">
            <v>HD</v>
          </cell>
        </row>
        <row r="4790">
          <cell r="A4790" t="str">
            <v>HD SET BLSMG074</v>
          </cell>
          <cell r="B4790" t="str">
            <v>HEMODIALISA SET BPJS LENGKAP</v>
          </cell>
          <cell r="C4790" t="str">
            <v>HD</v>
          </cell>
        </row>
        <row r="4791">
          <cell r="A4791" t="str">
            <v>HD SET BLSMG074-NAVF</v>
          </cell>
          <cell r="B4791" t="str">
            <v>HEMODIALISA SET BPJS LENGKAP NON AVFISTULA</v>
          </cell>
          <cell r="C4791" t="str">
            <v>HD</v>
          </cell>
        </row>
        <row r="4792">
          <cell r="A4792" t="str">
            <v>HD SET BLSMG075</v>
          </cell>
          <cell r="B4792" t="str">
            <v>HEMODIALISA SET BPJS LENGKAP</v>
          </cell>
          <cell r="C4792" t="str">
            <v>HD</v>
          </cell>
        </row>
        <row r="4793">
          <cell r="A4793" t="str">
            <v>HD SET BLSMG075-ANAK</v>
          </cell>
          <cell r="B4793" t="str">
            <v>HEMODIALISA SET BPJS LENGKAP ANAK</v>
          </cell>
          <cell r="C4793" t="str">
            <v>HD</v>
          </cell>
        </row>
        <row r="4794">
          <cell r="A4794" t="str">
            <v>HD SET BLSMG075NATBL</v>
          </cell>
          <cell r="B4794" t="str">
            <v>HEMODIALISA SET BPJS LENGKAP ELISIO + AK</v>
          </cell>
          <cell r="C4794" t="str">
            <v>HD</v>
          </cell>
        </row>
        <row r="4795">
          <cell r="A4795" t="str">
            <v>HD SET BLSMG075-NAVF</v>
          </cell>
          <cell r="B4795" t="str">
            <v>HEMODIALISA SET BPJS LENGKAP NON AVFISTULA</v>
          </cell>
          <cell r="C4795" t="str">
            <v>HD</v>
          </cell>
        </row>
        <row r="4796">
          <cell r="A4796" t="str">
            <v>HD SET BLSMG077</v>
          </cell>
          <cell r="B4796" t="str">
            <v>HEMODIALISA SET BPJS LENGKAP</v>
          </cell>
          <cell r="C4796" t="str">
            <v>HD</v>
          </cell>
        </row>
        <row r="4797">
          <cell r="A4797" t="str">
            <v>HD SET BLSMG077-1</v>
          </cell>
          <cell r="B4797" t="str">
            <v>HEMODIALISA SET BPJS LENGKAP MEDIUM FLUX HD PACK</v>
          </cell>
          <cell r="C4797" t="str">
            <v>HD</v>
          </cell>
        </row>
        <row r="4798">
          <cell r="A4798" t="str">
            <v>HD SET BLSMG077-NAV1</v>
          </cell>
          <cell r="B4798" t="str">
            <v>HEMODIALISA SET BPJS LENGKAP MEDIUM FLUX NON AV</v>
          </cell>
          <cell r="C4798" t="str">
            <v>HD</v>
          </cell>
        </row>
        <row r="4799">
          <cell r="A4799" t="str">
            <v>HD SET BLSMG078</v>
          </cell>
          <cell r="B4799" t="str">
            <v>HEMODIALISA SET BPJS LENGKAP</v>
          </cell>
          <cell r="C4799" t="str">
            <v>HD</v>
          </cell>
        </row>
        <row r="4800">
          <cell r="A4800" t="str">
            <v>HD SET BLSMG078-1</v>
          </cell>
          <cell r="B4800" t="str">
            <v>HEMODIALISA SET BPJS LENGKAP</v>
          </cell>
          <cell r="C4800" t="str">
            <v>HD</v>
          </cell>
        </row>
        <row r="4801">
          <cell r="A4801" t="str">
            <v>HD SET BLSMG078-2</v>
          </cell>
          <cell r="B4801" t="str">
            <v>HEMODIALISA SET BPJS LENGKAP MEDIUM FLUX HD PACK</v>
          </cell>
          <cell r="C4801" t="str">
            <v>HD</v>
          </cell>
        </row>
        <row r="4802">
          <cell r="A4802" t="str">
            <v>HD SET BLSMG078-NAVF</v>
          </cell>
          <cell r="B4802" t="str">
            <v>HEMODIALISA SET BPJS LENGKAP NON AVFISTULA</v>
          </cell>
          <cell r="C4802" t="str">
            <v>HD</v>
          </cell>
        </row>
        <row r="4803">
          <cell r="A4803" t="str">
            <v>HD SET BLSMG079</v>
          </cell>
          <cell r="B4803" t="str">
            <v>HEMODIALISA SET BPJS LENGKAP</v>
          </cell>
          <cell r="C4803" t="str">
            <v>HD</v>
          </cell>
        </row>
        <row r="4804">
          <cell r="A4804" t="str">
            <v>HD SET BLSMG079-HDP</v>
          </cell>
          <cell r="B4804" t="str">
            <v>HEMODIALISA SET BPJS LENGKAP DENGAN HD PACK</v>
          </cell>
          <cell r="C4804" t="str">
            <v>HD</v>
          </cell>
        </row>
        <row r="4805">
          <cell r="A4805" t="str">
            <v>HD SET BLSMG079-HDP1</v>
          </cell>
          <cell r="B4805" t="str">
            <v>HEMODIALISA SET BPJS LENGKAP DENGAN HD PACK NON AV</v>
          </cell>
          <cell r="C4805" t="str">
            <v>HD</v>
          </cell>
        </row>
        <row r="4806">
          <cell r="A4806" t="str">
            <v>HD SET BLSMG080-HDP</v>
          </cell>
          <cell r="B4806" t="str">
            <v>HEMODIALISA SET BPJS LENGKAP DENGAN HD PACK</v>
          </cell>
          <cell r="C4806" t="str">
            <v>HD</v>
          </cell>
        </row>
        <row r="4807">
          <cell r="A4807" t="str">
            <v>HD SET BLSMG080-NAV1</v>
          </cell>
          <cell r="B4807" t="str">
            <v>HEMODIALISA SET BPJS LENGKAP NON AVFISTULA</v>
          </cell>
          <cell r="C4807" t="str">
            <v>HD</v>
          </cell>
        </row>
        <row r="4808">
          <cell r="A4808" t="str">
            <v>HD SET BLSMG080-NAVF</v>
          </cell>
          <cell r="B4808" t="str">
            <v>HEMODIALISA SET BPJS LENGKAP NON AVFISTULA</v>
          </cell>
          <cell r="C4808" t="str">
            <v>HD</v>
          </cell>
        </row>
        <row r="4809">
          <cell r="A4809" t="str">
            <v>HD SET BLSTD</v>
          </cell>
          <cell r="B4809" t="str">
            <v>HEMODIALISA SET BPJS LENGKAP</v>
          </cell>
          <cell r="C4809" t="str">
            <v>HD</v>
          </cell>
        </row>
        <row r="4810">
          <cell r="A4810" t="str">
            <v>HD SET BLSTD-NAVF</v>
          </cell>
          <cell r="B4810" t="str">
            <v>HEMODIALISA SET BPJS LENGKAP NON AVFISTULA</v>
          </cell>
          <cell r="C4810" t="str">
            <v>HD</v>
          </cell>
        </row>
        <row r="4811">
          <cell r="A4811" t="str">
            <v>HD SET BLYGY001</v>
          </cell>
          <cell r="B4811" t="str">
            <v>HEMODIALISA SET BPJS LENGKAP</v>
          </cell>
          <cell r="C4811" t="str">
            <v>HD</v>
          </cell>
        </row>
        <row r="4812">
          <cell r="A4812" t="str">
            <v>HD SET BLYGY0010 NCU</v>
          </cell>
          <cell r="B4812" t="str">
            <v>HD SATUAN BPJS LENGKAP</v>
          </cell>
          <cell r="C4812" t="str">
            <v>HD</v>
          </cell>
        </row>
        <row r="4813">
          <cell r="A4813" t="str">
            <v>HD SET BLYGY002</v>
          </cell>
          <cell r="B4813" t="str">
            <v>HEMODIALISA SET BPJS LENGKAP</v>
          </cell>
          <cell r="C4813" t="str">
            <v>HD</v>
          </cell>
        </row>
        <row r="4814">
          <cell r="A4814" t="str">
            <v>HD SET BLYGY003</v>
          </cell>
          <cell r="B4814" t="str">
            <v>HEMODIALISA SET BPJS LENGKAP</v>
          </cell>
          <cell r="C4814" t="str">
            <v>HD</v>
          </cell>
        </row>
        <row r="4815">
          <cell r="A4815" t="str">
            <v>HD SET BLYGY004</v>
          </cell>
          <cell r="B4815" t="str">
            <v>HEMODIALISA SET BPJS LENGKAP</v>
          </cell>
          <cell r="C4815" t="str">
            <v>HD</v>
          </cell>
        </row>
        <row r="4816">
          <cell r="A4816" t="str">
            <v>HD SET BLYGY004 NCU</v>
          </cell>
          <cell r="B4816" t="str">
            <v>HEMODIALISA SET BPJS LENGKAP NCU</v>
          </cell>
          <cell r="C4816" t="str">
            <v>HD</v>
          </cell>
        </row>
        <row r="4817">
          <cell r="A4817" t="str">
            <v>HD SET BLYGY004NAVAK</v>
          </cell>
          <cell r="B4817" t="str">
            <v>HEMODIALISA SET BPJS LENGKAP NON AVFISTULA &amp; AK</v>
          </cell>
          <cell r="C4817" t="str">
            <v>HD</v>
          </cell>
        </row>
        <row r="4818">
          <cell r="A4818" t="str">
            <v>HD SET BLYGY004-NAVF</v>
          </cell>
          <cell r="B4818" t="str">
            <v>HEMODIALISA SET BPJS LENGKAP NON AVFISTULA</v>
          </cell>
          <cell r="C4818" t="str">
            <v>HD</v>
          </cell>
        </row>
        <row r="4819">
          <cell r="A4819" t="str">
            <v>HD SET BLYGY005</v>
          </cell>
          <cell r="B4819" t="str">
            <v>HEMODIALISA SET BPJS LENGKAP</v>
          </cell>
          <cell r="C4819" t="str">
            <v>HD</v>
          </cell>
        </row>
        <row r="4820">
          <cell r="A4820" t="str">
            <v>HD SET BLYGY005-NAT</v>
          </cell>
          <cell r="B4820" t="str">
            <v>HEMODIALISA SET BPJS LENGKAP NON AT</v>
          </cell>
          <cell r="C4820" t="str">
            <v>HD</v>
          </cell>
        </row>
        <row r="4821">
          <cell r="A4821" t="str">
            <v>HD SET BLYGY006</v>
          </cell>
          <cell r="B4821" t="str">
            <v>HEMODIALISA SET BPJS LENGKAP</v>
          </cell>
          <cell r="C4821" t="str">
            <v>HD</v>
          </cell>
        </row>
        <row r="4822">
          <cell r="A4822" t="str">
            <v>HD SET BLYGY007</v>
          </cell>
          <cell r="B4822" t="str">
            <v>HEMODIALISA SET BPJS LENGKAP</v>
          </cell>
          <cell r="C4822" t="str">
            <v>HD</v>
          </cell>
        </row>
        <row r="4823">
          <cell r="A4823" t="str">
            <v>HD SET BLYGY007-NAVF</v>
          </cell>
          <cell r="B4823" t="str">
            <v>HEMODIALISA SET BPJS LENGKAP NON AVFISTULA</v>
          </cell>
          <cell r="C4823" t="str">
            <v>HD</v>
          </cell>
        </row>
        <row r="4824">
          <cell r="A4824" t="str">
            <v>HD SET BLYGY008</v>
          </cell>
          <cell r="B4824" t="str">
            <v>HEMODIALISA SET BPJS LENGKAP</v>
          </cell>
          <cell r="C4824" t="str">
            <v>HD</v>
          </cell>
        </row>
        <row r="4825">
          <cell r="A4825" t="str">
            <v>HD SET BLYGY008-HFBL</v>
          </cell>
          <cell r="B4825" t="str">
            <v>HEMODIALISA SET BPJS LENGKAP HF&amp;BL</v>
          </cell>
          <cell r="C4825" t="str">
            <v>HD</v>
          </cell>
        </row>
        <row r="4826">
          <cell r="A4826" t="str">
            <v>HD SET BLYGY010</v>
          </cell>
          <cell r="B4826" t="str">
            <v>HEMODIALISA SET BPJS LENGKAP</v>
          </cell>
          <cell r="C4826" t="str">
            <v>HD</v>
          </cell>
        </row>
        <row r="4827">
          <cell r="A4827" t="str">
            <v>HD SET BLYGY011</v>
          </cell>
          <cell r="B4827" t="str">
            <v>HEMODIALISA SET BPJS LENGKAP</v>
          </cell>
          <cell r="C4827" t="str">
            <v>HD</v>
          </cell>
        </row>
        <row r="4828">
          <cell r="A4828" t="str">
            <v>HD SET BLYGY013</v>
          </cell>
          <cell r="B4828" t="str">
            <v>HEMODIALISA SET BPJS LENGKAP</v>
          </cell>
          <cell r="C4828" t="str">
            <v>HD</v>
          </cell>
        </row>
        <row r="4829">
          <cell r="A4829" t="str">
            <v>HD SET BLYGY013-1</v>
          </cell>
          <cell r="B4829" t="str">
            <v>HEMODIALISA SET BPJS LENGKAP MEDIUM FLUX</v>
          </cell>
          <cell r="C4829" t="str">
            <v>HD</v>
          </cell>
        </row>
        <row r="4830">
          <cell r="A4830" t="str">
            <v>HD SET BLYGY013-NAV1</v>
          </cell>
          <cell r="B4830" t="str">
            <v>HEMODIALISA SET BPJS LENGKAP MEDIUM FLUX</v>
          </cell>
          <cell r="C4830" t="str">
            <v>HD</v>
          </cell>
        </row>
        <row r="4831">
          <cell r="A4831" t="str">
            <v>HD SET BLYGY013-NAVF</v>
          </cell>
          <cell r="B4831" t="str">
            <v>HEMODIALISA SET BPJS LENGKAP NON AVFISTULA</v>
          </cell>
          <cell r="C4831" t="str">
            <v>HD</v>
          </cell>
        </row>
        <row r="4832">
          <cell r="A4832" t="str">
            <v>HD SET BRBDG001</v>
          </cell>
          <cell r="B4832" t="str">
            <v>HEMODIALISA SET BPJS REUSE</v>
          </cell>
          <cell r="C4832" t="str">
            <v>HD</v>
          </cell>
        </row>
        <row r="4833">
          <cell r="A4833" t="str">
            <v>HD SET BRBDG001-NAVF</v>
          </cell>
          <cell r="B4833" t="str">
            <v>HEMODIALISA SET BPJS REUSE NON AVFISTULA</v>
          </cell>
          <cell r="C4833" t="str">
            <v>HD</v>
          </cell>
        </row>
        <row r="4834">
          <cell r="A4834" t="str">
            <v>HD SET BRBDG002</v>
          </cell>
          <cell r="B4834" t="str">
            <v>HEMODIALISA SET BPJS REUSE</v>
          </cell>
          <cell r="C4834" t="str">
            <v>HD</v>
          </cell>
        </row>
        <row r="4835">
          <cell r="A4835" t="str">
            <v>HD SET BRBDG003</v>
          </cell>
          <cell r="B4835" t="str">
            <v>HEMODIALISA SET BPJS REUSE</v>
          </cell>
          <cell r="C4835" t="str">
            <v>HD</v>
          </cell>
        </row>
        <row r="4836">
          <cell r="A4836" t="str">
            <v>HD SET BRBDG004</v>
          </cell>
          <cell r="B4836" t="str">
            <v>HEMODIALISA SET BPJS REUSE</v>
          </cell>
          <cell r="C4836" t="str">
            <v>HD</v>
          </cell>
        </row>
        <row r="4837">
          <cell r="A4837" t="str">
            <v>HD SET BRBDG004-NAKT</v>
          </cell>
          <cell r="B4837" t="str">
            <v>HEMODIALISA SET BPJS REUSE</v>
          </cell>
          <cell r="C4837" t="str">
            <v>HD</v>
          </cell>
        </row>
        <row r="4838">
          <cell r="A4838" t="str">
            <v>HD SET BRBDG005</v>
          </cell>
          <cell r="B4838" t="str">
            <v>HEMODIALISA SET BPJS REUSE</v>
          </cell>
          <cell r="C4838" t="str">
            <v>HD</v>
          </cell>
        </row>
        <row r="4839">
          <cell r="A4839" t="str">
            <v>HD SET BRBDG005-NAVF</v>
          </cell>
          <cell r="B4839" t="str">
            <v>HEMODIALISA SET BPJS REUSE</v>
          </cell>
          <cell r="C4839" t="str">
            <v>HD</v>
          </cell>
        </row>
        <row r="4840">
          <cell r="A4840" t="str">
            <v>HD SET BRBDG006</v>
          </cell>
          <cell r="B4840" t="str">
            <v>HEMODIALISA SET BPJS REUSE</v>
          </cell>
          <cell r="C4840" t="str">
            <v>HD</v>
          </cell>
        </row>
        <row r="4841">
          <cell r="A4841" t="str">
            <v>HD SET BRBDG007</v>
          </cell>
          <cell r="B4841" t="str">
            <v>HEMODIALISA SET BPJS REUSE</v>
          </cell>
          <cell r="C4841" t="str">
            <v>HD</v>
          </cell>
        </row>
        <row r="4842">
          <cell r="A4842" t="str">
            <v>HD SET BRBDG007 ATAK</v>
          </cell>
          <cell r="B4842" t="str">
            <v>HEMODIALISA SET BPJS REUSE AK &amp; AT</v>
          </cell>
          <cell r="C4842" t="str">
            <v>HD</v>
          </cell>
        </row>
        <row r="4843">
          <cell r="A4843" t="str">
            <v>HD SET BRBDG007-NAVF</v>
          </cell>
          <cell r="B4843" t="str">
            <v>HEMODIALISA SET BPJS REUSE NON AVFISTULA</v>
          </cell>
          <cell r="C4843" t="str">
            <v>HD</v>
          </cell>
        </row>
        <row r="4844">
          <cell r="A4844" t="str">
            <v>HD SET BRBDG007NBTEL</v>
          </cell>
          <cell r="B4844" t="str">
            <v>HEMODIALISA SET BPJS REUSE AV, AT &amp; AK</v>
          </cell>
          <cell r="C4844" t="str">
            <v>HD</v>
          </cell>
        </row>
        <row r="4845">
          <cell r="A4845" t="str">
            <v>HD SET BRBDG008</v>
          </cell>
          <cell r="B4845" t="str">
            <v>HEMODIALISA SET BPJS REUSE</v>
          </cell>
          <cell r="C4845" t="str">
            <v>HD</v>
          </cell>
        </row>
        <row r="4846">
          <cell r="A4846" t="str">
            <v>HD SET BRBDG009</v>
          </cell>
          <cell r="B4846" t="str">
            <v>HEMODIALISA SET BPJS REUSE</v>
          </cell>
          <cell r="C4846" t="str">
            <v>HD</v>
          </cell>
        </row>
        <row r="4847">
          <cell r="A4847" t="str">
            <v>HD SET BRBDG010</v>
          </cell>
          <cell r="B4847" t="str">
            <v>HEMODIALISA SET BPJS REUSE</v>
          </cell>
          <cell r="C4847" t="str">
            <v>HD</v>
          </cell>
        </row>
        <row r="4848">
          <cell r="A4848" t="str">
            <v>HD SET BRBDG010-NAVF</v>
          </cell>
          <cell r="B4848" t="str">
            <v>HEMODIALISA SET BPJS REUSE TANPA AV FISTULA</v>
          </cell>
          <cell r="C4848" t="str">
            <v>HD</v>
          </cell>
        </row>
        <row r="4849">
          <cell r="A4849" t="str">
            <v>HD SET BRBDG011</v>
          </cell>
          <cell r="B4849" t="str">
            <v>HEMODIALISA SET BPJS REUSE</v>
          </cell>
          <cell r="C4849" t="str">
            <v>HD</v>
          </cell>
        </row>
        <row r="4850">
          <cell r="A4850" t="str">
            <v>HD SET BRBDG011-NAVF</v>
          </cell>
          <cell r="B4850" t="str">
            <v>HEMODIALISA SET BPJS REUSE</v>
          </cell>
          <cell r="C4850" t="str">
            <v>HD</v>
          </cell>
        </row>
        <row r="4851">
          <cell r="A4851" t="str">
            <v>HD SET BRBDG012</v>
          </cell>
          <cell r="B4851" t="str">
            <v>HEMODIALISA SET BPJS REUSE</v>
          </cell>
          <cell r="C4851" t="str">
            <v>HD</v>
          </cell>
        </row>
        <row r="4852">
          <cell r="A4852" t="str">
            <v>HD SET BRBDG013</v>
          </cell>
          <cell r="B4852" t="str">
            <v>HEMODIALISA SET BPJS REUSE</v>
          </cell>
          <cell r="C4852" t="str">
            <v>HD</v>
          </cell>
        </row>
        <row r="4853">
          <cell r="A4853" t="str">
            <v>HD SET BRBDG013 ATAK</v>
          </cell>
          <cell r="B4853" t="str">
            <v>HEMODIALISA SET BPJS REUSE NON BTS &amp; AVF</v>
          </cell>
          <cell r="C4853" t="str">
            <v>HD</v>
          </cell>
        </row>
        <row r="4854">
          <cell r="A4854" t="str">
            <v>HD SET BRBDG013-NAK</v>
          </cell>
          <cell r="B4854" t="str">
            <v>HEMODIALISA SET BPJS REUSE NON AK</v>
          </cell>
          <cell r="C4854" t="str">
            <v>HD</v>
          </cell>
        </row>
        <row r="4855">
          <cell r="A4855" t="str">
            <v>HD SET BRBDG013NAVAK</v>
          </cell>
          <cell r="B4855" t="str">
            <v>HEMODIALISA SET BPJS REUSE NON AVFISTULA &amp; AK</v>
          </cell>
          <cell r="C4855" t="str">
            <v>HD</v>
          </cell>
        </row>
        <row r="4856">
          <cell r="A4856" t="str">
            <v>HD SET BRBDG013-NAVF</v>
          </cell>
          <cell r="B4856" t="str">
            <v>HEMODIALISA SET BPJS REUSE</v>
          </cell>
          <cell r="C4856" t="str">
            <v>HD</v>
          </cell>
        </row>
        <row r="4857">
          <cell r="A4857" t="str">
            <v>HD SET BRBDG014</v>
          </cell>
          <cell r="B4857" t="str">
            <v>HEMODIALISA SET BPJS REUSE</v>
          </cell>
          <cell r="C4857" t="str">
            <v>HD</v>
          </cell>
        </row>
        <row r="4858">
          <cell r="A4858" t="str">
            <v>HD SET BRBDG014-NAK</v>
          </cell>
          <cell r="B4858" t="str">
            <v>HEMODIALISA SET BPJS REUSE NON AK</v>
          </cell>
          <cell r="C4858" t="str">
            <v>HD</v>
          </cell>
        </row>
        <row r="4859">
          <cell r="A4859" t="str">
            <v>HD SET BRBDG015</v>
          </cell>
          <cell r="B4859" t="str">
            <v>HEMODIALISA SET BPJS REUSE</v>
          </cell>
          <cell r="C4859" t="str">
            <v>HD</v>
          </cell>
        </row>
        <row r="4860">
          <cell r="A4860" t="str">
            <v>HD SET BRBDG016</v>
          </cell>
          <cell r="B4860" t="str">
            <v>HEMODIALISA SET BPJS REUSE</v>
          </cell>
          <cell r="C4860" t="str">
            <v>HD</v>
          </cell>
        </row>
        <row r="4861">
          <cell r="A4861" t="str">
            <v>HD SET BRBDG017</v>
          </cell>
          <cell r="B4861" t="str">
            <v>HEMODIALISA SET BPJS REUSE</v>
          </cell>
          <cell r="C4861" t="str">
            <v>HD</v>
          </cell>
        </row>
        <row r="4862">
          <cell r="A4862" t="str">
            <v>HD SET BRBDG018</v>
          </cell>
          <cell r="B4862" t="str">
            <v>HEMODIALISA SET BPJS REUSE</v>
          </cell>
          <cell r="C4862" t="str">
            <v>HD</v>
          </cell>
        </row>
        <row r="4863">
          <cell r="A4863" t="str">
            <v>HD SET BRBDG018-NAVF</v>
          </cell>
          <cell r="B4863" t="str">
            <v>HEMODIALISA SET BPJS REUSE NON AVFISTULA</v>
          </cell>
          <cell r="C4863" t="str">
            <v>HD</v>
          </cell>
        </row>
        <row r="4864">
          <cell r="A4864" t="str">
            <v>HD SET BRBDG019</v>
          </cell>
          <cell r="B4864" t="str">
            <v>HEMODIALISA SET BPJS REUSE</v>
          </cell>
          <cell r="C4864" t="str">
            <v>HD</v>
          </cell>
        </row>
        <row r="4865">
          <cell r="A4865" t="str">
            <v>HD SET BRBDG019-NAVF</v>
          </cell>
          <cell r="B4865" t="str">
            <v>HEMODIALISA SET BPJS REUSE NON AVFISTULA</v>
          </cell>
          <cell r="C4865" t="str">
            <v>HD</v>
          </cell>
        </row>
        <row r="4866">
          <cell r="A4866" t="str">
            <v>HD SET BRBDG020</v>
          </cell>
          <cell r="B4866" t="str">
            <v>HEMODIALISA SET BPJS REUSE</v>
          </cell>
          <cell r="C4866" t="str">
            <v>HD</v>
          </cell>
        </row>
        <row r="4867">
          <cell r="A4867" t="str">
            <v>HD SET BRBDG020-BTS</v>
          </cell>
          <cell r="B4867" t="str">
            <v>HEMODIALISA SET BPJS REUSE</v>
          </cell>
          <cell r="C4867" t="str">
            <v>HD</v>
          </cell>
        </row>
        <row r="4868">
          <cell r="A4868" t="str">
            <v>HD SET BRBDG020-NAK</v>
          </cell>
          <cell r="B4868" t="str">
            <v>HEMODIALISA SET BPJS REUSE NON AK</v>
          </cell>
          <cell r="C4868" t="str">
            <v>HD</v>
          </cell>
        </row>
        <row r="4869">
          <cell r="A4869" t="str">
            <v>HD SET BRBDG020NATAK</v>
          </cell>
          <cell r="B4869" t="str">
            <v>HEMODIALISA SET BPJS REUSE NON AT &amp; AK</v>
          </cell>
          <cell r="C4869" t="str">
            <v>HD</v>
          </cell>
        </row>
        <row r="4870">
          <cell r="A4870" t="str">
            <v>HD SET BRBDG021</v>
          </cell>
          <cell r="B4870" t="str">
            <v>HEMODIALISA SET BPJS REUSE</v>
          </cell>
          <cell r="C4870" t="str">
            <v>HD</v>
          </cell>
        </row>
        <row r="4871">
          <cell r="A4871" t="str">
            <v>HD SET BRBDG021NAVAK</v>
          </cell>
          <cell r="B4871" t="str">
            <v>HEMODIALISA SET BPJS REUSE NON AVFISTULA &amp; AK</v>
          </cell>
          <cell r="C4871" t="str">
            <v>HD</v>
          </cell>
        </row>
        <row r="4872">
          <cell r="A4872" t="str">
            <v>HD SET BRBDG021-NAVF</v>
          </cell>
          <cell r="B4872" t="str">
            <v>HEMODIALISA SET BPJS REUSE NON AVFISTULA</v>
          </cell>
          <cell r="C4872" t="str">
            <v>HD</v>
          </cell>
        </row>
        <row r="4873">
          <cell r="A4873" t="str">
            <v>HD SET BRBDG022</v>
          </cell>
          <cell r="B4873" t="str">
            <v>HEMODIALISA SET BPJS REUSE</v>
          </cell>
          <cell r="C4873" t="str">
            <v>HD</v>
          </cell>
        </row>
        <row r="4874">
          <cell r="A4874" t="str">
            <v>HD SET BRBDG023</v>
          </cell>
          <cell r="B4874" t="str">
            <v>HEMODIALISA SET BPJS REUSE</v>
          </cell>
          <cell r="C4874" t="str">
            <v>HD</v>
          </cell>
        </row>
        <row r="4875">
          <cell r="A4875" t="str">
            <v>HD SET BRBDG024</v>
          </cell>
          <cell r="B4875" t="str">
            <v>HEMODIALISA SET BPJS REUSE</v>
          </cell>
          <cell r="C4875" t="str">
            <v>HD</v>
          </cell>
        </row>
        <row r="4876">
          <cell r="A4876" t="str">
            <v>HD SET BRBDG024-NAVF</v>
          </cell>
          <cell r="B4876" t="str">
            <v>HEMODIALISA SET BPJS REUSE NON AVFISTULA</v>
          </cell>
          <cell r="C4876" t="str">
            <v>HD</v>
          </cell>
        </row>
        <row r="4877">
          <cell r="A4877" t="str">
            <v>HD SET BRBDG025</v>
          </cell>
          <cell r="B4877" t="str">
            <v>HEMODIALISA SET BPJS REUSE</v>
          </cell>
          <cell r="C4877" t="str">
            <v>HD</v>
          </cell>
        </row>
        <row r="4878">
          <cell r="A4878" t="str">
            <v>HD SET BRBDG026</v>
          </cell>
          <cell r="B4878" t="str">
            <v>HEMODIALISA SET BPJS REUSE</v>
          </cell>
          <cell r="C4878" t="str">
            <v>HD</v>
          </cell>
        </row>
        <row r="4879">
          <cell r="A4879" t="str">
            <v>HD SET BRBDG028</v>
          </cell>
          <cell r="B4879" t="str">
            <v>HEMODIALISA SET BPJS REUSE</v>
          </cell>
          <cell r="C4879" t="str">
            <v>HD</v>
          </cell>
        </row>
        <row r="4880">
          <cell r="A4880" t="str">
            <v>HD SET BRBDG028 NAVF</v>
          </cell>
          <cell r="B4880" t="str">
            <v>HEMODIALISA SET BPJS REUSE NON AVFISTULA</v>
          </cell>
          <cell r="C4880" t="str">
            <v>HD</v>
          </cell>
        </row>
        <row r="4881">
          <cell r="A4881" t="str">
            <v>HD SET BRBDG029</v>
          </cell>
          <cell r="B4881" t="str">
            <v>HEMODIALISA SET BPJS REUSE</v>
          </cell>
          <cell r="C4881" t="str">
            <v>HD</v>
          </cell>
        </row>
        <row r="4882">
          <cell r="A4882" t="str">
            <v>HD SET BRBDG029 NAKT</v>
          </cell>
          <cell r="B4882" t="str">
            <v>HEMODIALISA SET BPJS REUSE NON AT AK</v>
          </cell>
          <cell r="C4882" t="str">
            <v>HD</v>
          </cell>
        </row>
        <row r="4883">
          <cell r="A4883" t="str">
            <v>HD SET BRBDG030</v>
          </cell>
          <cell r="B4883" t="str">
            <v>HEMODIALISA SET BPJS REUSE</v>
          </cell>
          <cell r="C4883" t="str">
            <v>HD</v>
          </cell>
        </row>
        <row r="4884">
          <cell r="A4884" t="str">
            <v>HD SET BRBDG031</v>
          </cell>
          <cell r="B4884" t="str">
            <v>HEMODIALISA SET BPJS REUSE</v>
          </cell>
          <cell r="C4884" t="str">
            <v>HD</v>
          </cell>
        </row>
        <row r="4885">
          <cell r="A4885" t="str">
            <v>HD SET BRBDG031-NAVF</v>
          </cell>
          <cell r="B4885" t="str">
            <v>HEMODIALISA SET BPJS REUSE NON AVFISTULA</v>
          </cell>
          <cell r="C4885" t="str">
            <v>HD</v>
          </cell>
        </row>
        <row r="4886">
          <cell r="A4886" t="str">
            <v>HD SET BRBDG032</v>
          </cell>
          <cell r="B4886" t="str">
            <v>HEMODIALISA SET BPJS REUSE</v>
          </cell>
          <cell r="C4886" t="str">
            <v>HD</v>
          </cell>
        </row>
        <row r="4887">
          <cell r="A4887" t="str">
            <v>HD SET BRBDG033</v>
          </cell>
          <cell r="B4887" t="str">
            <v>HEMODIALISA SET BPJS REUSE</v>
          </cell>
          <cell r="C4887" t="str">
            <v>HD</v>
          </cell>
        </row>
        <row r="4888">
          <cell r="A4888" t="str">
            <v>HD SET BRBDG033-NBT</v>
          </cell>
          <cell r="B4888" t="str">
            <v>HEMODIALISA SET BPJS REUSE AV, AT &amp; AK</v>
          </cell>
          <cell r="C4888" t="str">
            <v>HD</v>
          </cell>
        </row>
        <row r="4889">
          <cell r="A4889" t="str">
            <v>HD SET BRBDG034</v>
          </cell>
          <cell r="B4889" t="str">
            <v>HEMODIALISA SET BPJS REUSE</v>
          </cell>
          <cell r="C4889" t="str">
            <v>HD</v>
          </cell>
        </row>
        <row r="4890">
          <cell r="A4890" t="str">
            <v>HD SET BRBDG034-NAVF</v>
          </cell>
          <cell r="B4890" t="str">
            <v>HEMODIALISA SET BPJS REUSE NON AVFISTULA</v>
          </cell>
          <cell r="C4890" t="str">
            <v>HD</v>
          </cell>
        </row>
        <row r="4891">
          <cell r="A4891" t="str">
            <v>HD SET BRBDG035</v>
          </cell>
          <cell r="B4891" t="str">
            <v>HEMODIALISA SET BPJS REUSE</v>
          </cell>
          <cell r="C4891" t="str">
            <v>HD</v>
          </cell>
        </row>
        <row r="4892">
          <cell r="A4892" t="str">
            <v>HD SET BRBDG035-NAVF</v>
          </cell>
          <cell r="B4892" t="str">
            <v>HEMODIALISA SET BPJS REUSE NON AVFISTULA</v>
          </cell>
          <cell r="C4892" t="str">
            <v>HD</v>
          </cell>
        </row>
        <row r="4893">
          <cell r="A4893" t="str">
            <v>HD SET BRBDG036</v>
          </cell>
          <cell r="B4893" t="str">
            <v>HEMODIALISA SET BPJS REUSE</v>
          </cell>
          <cell r="C4893" t="str">
            <v>HD</v>
          </cell>
        </row>
        <row r="4894">
          <cell r="A4894" t="str">
            <v>HD SET BRBDG037</v>
          </cell>
          <cell r="B4894" t="str">
            <v>HEMODIALISA SET BPJS REUSE</v>
          </cell>
          <cell r="C4894" t="str">
            <v>HD</v>
          </cell>
        </row>
        <row r="4895">
          <cell r="A4895" t="str">
            <v>HD SET BRBDG038</v>
          </cell>
          <cell r="B4895" t="str">
            <v>HEMODIALISA SET BPJS REUSE</v>
          </cell>
          <cell r="C4895" t="str">
            <v>HD</v>
          </cell>
        </row>
        <row r="4896">
          <cell r="A4896" t="str">
            <v>HD SET BRBDG038-NAVF</v>
          </cell>
          <cell r="B4896" t="str">
            <v>HEMODIALISA SET BPJS REUSE NON AVFISTULA</v>
          </cell>
          <cell r="C4896" t="str">
            <v>HD</v>
          </cell>
        </row>
        <row r="4897">
          <cell r="A4897" t="str">
            <v>HD SET BRBDG039</v>
          </cell>
          <cell r="B4897" t="str">
            <v>HEMODIALISA SET BPJS REUSE</v>
          </cell>
          <cell r="C4897" t="str">
            <v>HD</v>
          </cell>
        </row>
        <row r="4898">
          <cell r="A4898" t="str">
            <v>HD SET BRBDG040</v>
          </cell>
          <cell r="B4898" t="str">
            <v>HEMODIALISA SET BPJS REUSE</v>
          </cell>
          <cell r="C4898" t="str">
            <v>HD</v>
          </cell>
        </row>
        <row r="4899">
          <cell r="A4899" t="str">
            <v>HD SET BRBDG040-NAVF</v>
          </cell>
          <cell r="B4899" t="str">
            <v>HEMODIALISA SET BPJS REUSE NON AV FISTULA</v>
          </cell>
          <cell r="C4899" t="str">
            <v>HD</v>
          </cell>
        </row>
        <row r="4900">
          <cell r="A4900" t="str">
            <v>HD SET BRBPP001</v>
          </cell>
          <cell r="B4900" t="str">
            <v>HEMODIALISA SET BPJS REUSE</v>
          </cell>
          <cell r="C4900" t="str">
            <v>HD</v>
          </cell>
        </row>
        <row r="4901">
          <cell r="A4901" t="str">
            <v>HD SET BRBPP001 ATAK</v>
          </cell>
          <cell r="B4901" t="str">
            <v>HEMODIALISA SET BPJS REUSE AK &amp; AT</v>
          </cell>
          <cell r="C4901" t="str">
            <v>HD</v>
          </cell>
        </row>
        <row r="4902">
          <cell r="A4902" t="str">
            <v>HD SET BRBPP001-NAVF</v>
          </cell>
          <cell r="B4902" t="str">
            <v>HEMODIALISA SET BPJS REUSE</v>
          </cell>
          <cell r="C4902" t="str">
            <v>HD</v>
          </cell>
        </row>
        <row r="4903">
          <cell r="A4903" t="str">
            <v>HD SET BRBPP002</v>
          </cell>
          <cell r="B4903" t="str">
            <v>HEMODIALISA SET BPJS REUSE</v>
          </cell>
          <cell r="C4903" t="str">
            <v>HD</v>
          </cell>
        </row>
        <row r="4904">
          <cell r="A4904" t="str">
            <v>HD SET BRBPP003</v>
          </cell>
          <cell r="B4904" t="str">
            <v>HEMODIALISA SET BPJS REUSE</v>
          </cell>
          <cell r="C4904" t="str">
            <v>HD</v>
          </cell>
        </row>
        <row r="4905">
          <cell r="A4905" t="str">
            <v>HD SET BRBPP003-NAVF</v>
          </cell>
          <cell r="B4905" t="str">
            <v>HEMODIALISA SET BPJS REUSE NON AVFISTULA</v>
          </cell>
          <cell r="C4905" t="str">
            <v>HD</v>
          </cell>
        </row>
        <row r="4906">
          <cell r="A4906" t="str">
            <v>HD SET BRBPP005</v>
          </cell>
          <cell r="B4906" t="str">
            <v>HEMODIALISA SET BPJS REUSE</v>
          </cell>
          <cell r="C4906" t="str">
            <v>HD</v>
          </cell>
        </row>
        <row r="4907">
          <cell r="A4907" t="str">
            <v>HD SET BRBPP006</v>
          </cell>
          <cell r="B4907" t="str">
            <v>HEMODIALISA SET BPJS REUSE</v>
          </cell>
          <cell r="C4907" t="str">
            <v>HD</v>
          </cell>
        </row>
        <row r="4908">
          <cell r="A4908" t="str">
            <v>HD SET BRBPP007</v>
          </cell>
          <cell r="B4908" t="str">
            <v>HEMODIALISA SET BPJS REUSE</v>
          </cell>
          <cell r="C4908" t="str">
            <v>HD</v>
          </cell>
        </row>
        <row r="4909">
          <cell r="A4909" t="str">
            <v>HD SET BRBPP008</v>
          </cell>
          <cell r="B4909" t="str">
            <v>HEMODIALISA SET BPJS REUSE</v>
          </cell>
          <cell r="C4909" t="str">
            <v>HD</v>
          </cell>
        </row>
        <row r="4910">
          <cell r="A4910" t="str">
            <v>HD SET BRBPP009</v>
          </cell>
          <cell r="B4910" t="str">
            <v>HEMODIALISA SET BPJS REUSE</v>
          </cell>
          <cell r="C4910" t="str">
            <v>HD</v>
          </cell>
        </row>
        <row r="4911">
          <cell r="A4911" t="str">
            <v>HD SET BRBPP010</v>
          </cell>
          <cell r="B4911" t="str">
            <v>HEMODIALISA SET BPJS REUSE</v>
          </cell>
          <cell r="C4911" t="str">
            <v>HD</v>
          </cell>
        </row>
        <row r="4912">
          <cell r="A4912" t="str">
            <v>HD SET BRBPP011</v>
          </cell>
          <cell r="B4912" t="str">
            <v>HEMODIALISA SET BPJS REUSE</v>
          </cell>
          <cell r="C4912" t="str">
            <v>HD</v>
          </cell>
        </row>
        <row r="4913">
          <cell r="A4913" t="str">
            <v>HD SET BRBPP013</v>
          </cell>
          <cell r="B4913" t="str">
            <v>HEMODIALISA SET BPJS REUSE</v>
          </cell>
          <cell r="C4913" t="str">
            <v>HD</v>
          </cell>
        </row>
        <row r="4914">
          <cell r="A4914" t="str">
            <v>HD SET BRBPP013-NTC</v>
          </cell>
          <cell r="B4914" t="str">
            <v>HEMODIALISA SET BPJS REUSE</v>
          </cell>
          <cell r="C4914" t="str">
            <v>HD</v>
          </cell>
        </row>
        <row r="4915">
          <cell r="A4915" t="str">
            <v>HD SET BRBPP014</v>
          </cell>
          <cell r="B4915" t="str">
            <v>HEMODIALISA SET BPJS REUSE</v>
          </cell>
          <cell r="C4915" t="str">
            <v>HD</v>
          </cell>
        </row>
        <row r="4916">
          <cell r="A4916" t="str">
            <v>HD SET BRBPP016</v>
          </cell>
          <cell r="B4916" t="str">
            <v>HEMODIALISA SET BPJS REUSE</v>
          </cell>
          <cell r="C4916" t="str">
            <v>HD</v>
          </cell>
        </row>
        <row r="4917">
          <cell r="A4917" t="str">
            <v>HD SET BRBPP016NAVAK</v>
          </cell>
          <cell r="B4917" t="str">
            <v>HEMODIALISA SET BPJS REUSE NON AV FISTULA &amp; AK</v>
          </cell>
          <cell r="C4917" t="str">
            <v>HD</v>
          </cell>
        </row>
        <row r="4918">
          <cell r="A4918" t="str">
            <v>HD SET BRBPP016-NAVF</v>
          </cell>
          <cell r="B4918" t="str">
            <v>HEMODIALISA SET BPJS REUSE NON AVFISTULA</v>
          </cell>
          <cell r="C4918" t="str">
            <v>HD</v>
          </cell>
        </row>
        <row r="4919">
          <cell r="A4919" t="str">
            <v>HD SET BRBPP017</v>
          </cell>
          <cell r="B4919" t="str">
            <v>HEMODIALISA SET BPJS REUSE</v>
          </cell>
          <cell r="C4919" t="str">
            <v>HD</v>
          </cell>
        </row>
        <row r="4920">
          <cell r="A4920" t="str">
            <v>HD SET BRBPP018</v>
          </cell>
          <cell r="B4920" t="str">
            <v>HEMODIALISA SET BPJS REUSE</v>
          </cell>
          <cell r="C4920" t="str">
            <v>HD</v>
          </cell>
        </row>
        <row r="4921">
          <cell r="A4921" t="str">
            <v>HD SET BRBPP018-NAVF</v>
          </cell>
          <cell r="B4921" t="str">
            <v>HEMODIALISA SET BPJS REUSE NON AVFISTULA</v>
          </cell>
          <cell r="C4921" t="str">
            <v>HD</v>
          </cell>
        </row>
        <row r="4922">
          <cell r="A4922" t="str">
            <v>HD SET BRBPP020</v>
          </cell>
          <cell r="B4922" t="str">
            <v>HEMODIALISA SET BPJS REUSE</v>
          </cell>
          <cell r="C4922" t="str">
            <v>HD</v>
          </cell>
        </row>
        <row r="4923">
          <cell r="A4923" t="str">
            <v>HD SET BRBPP020-NAVF</v>
          </cell>
          <cell r="B4923" t="str">
            <v>HEMODIALISA SET BPJS REUSE NON AVFISTULA</v>
          </cell>
          <cell r="C4923" t="str">
            <v>HD</v>
          </cell>
        </row>
        <row r="4924">
          <cell r="A4924" t="str">
            <v>HD SET BRDPS002</v>
          </cell>
          <cell r="B4924" t="str">
            <v>HEMODIALISA SET BPJS REUSE</v>
          </cell>
          <cell r="C4924" t="str">
            <v>HD</v>
          </cell>
        </row>
        <row r="4925">
          <cell r="A4925" t="str">
            <v>HD SET BRDPS002-NAK</v>
          </cell>
          <cell r="B4925" t="str">
            <v>HEMODIALISA SET BPJS LENGKAP TANPA AK</v>
          </cell>
          <cell r="C4925" t="str">
            <v>HD</v>
          </cell>
        </row>
        <row r="4926">
          <cell r="A4926" t="str">
            <v>HD SET BRDPS003</v>
          </cell>
          <cell r="B4926" t="str">
            <v>HEMODIALISA SET BPJS REUSE</v>
          </cell>
          <cell r="C4926" t="str">
            <v>HD</v>
          </cell>
        </row>
        <row r="4927">
          <cell r="A4927" t="str">
            <v>HD SET BRDPS004</v>
          </cell>
          <cell r="B4927" t="str">
            <v>HEMODIALISA SET BPJS REUSE</v>
          </cell>
          <cell r="C4927" t="str">
            <v>HD</v>
          </cell>
        </row>
        <row r="4928">
          <cell r="A4928" t="str">
            <v>HD SET BRDPS006</v>
          </cell>
          <cell r="B4928" t="str">
            <v>HEMODIALISA SET BPJS REUSE</v>
          </cell>
          <cell r="C4928" t="str">
            <v>HD</v>
          </cell>
        </row>
        <row r="4929">
          <cell r="A4929" t="str">
            <v>HD SET BRDPS006-ATAK</v>
          </cell>
          <cell r="B4929" t="str">
            <v>HEMODIALISA SET BPJS AK &amp; AT</v>
          </cell>
          <cell r="C4929" t="str">
            <v>HD</v>
          </cell>
        </row>
        <row r="4930">
          <cell r="A4930" t="str">
            <v>HD SET BRDPS007</v>
          </cell>
          <cell r="B4930" t="str">
            <v>HEMODIALISA SET BPJR REUSE</v>
          </cell>
          <cell r="C4930" t="str">
            <v>HD</v>
          </cell>
        </row>
        <row r="4931">
          <cell r="A4931" t="str">
            <v>HD SET BRDPS008</v>
          </cell>
          <cell r="B4931" t="str">
            <v>HEMODIALISA SET BPJS REUSE</v>
          </cell>
          <cell r="C4931" t="str">
            <v>HD</v>
          </cell>
        </row>
        <row r="4932">
          <cell r="A4932" t="str">
            <v>HD SET BRDPS008NATAK</v>
          </cell>
          <cell r="B4932" t="str">
            <v>HEMODIALISA SET BPJS REUSE NON AT &amp; AK</v>
          </cell>
          <cell r="C4932" t="str">
            <v>HD</v>
          </cell>
        </row>
        <row r="4933">
          <cell r="A4933" t="str">
            <v>HD SET BRDPS009</v>
          </cell>
          <cell r="B4933" t="str">
            <v>HEMODIALISA SET BPJS REUSE</v>
          </cell>
          <cell r="C4933" t="str">
            <v>HD</v>
          </cell>
        </row>
        <row r="4934">
          <cell r="A4934" t="str">
            <v>HD SET BRDPS010</v>
          </cell>
          <cell r="B4934" t="str">
            <v>HEMODIALISA SET BPJS REUSE</v>
          </cell>
          <cell r="C4934" t="str">
            <v>HD</v>
          </cell>
        </row>
        <row r="4935">
          <cell r="A4935" t="str">
            <v>HD SET BRDPS011</v>
          </cell>
          <cell r="B4935" t="str">
            <v>HEMODIALISA SET BPJS REUSE</v>
          </cell>
          <cell r="C4935" t="str">
            <v>HD</v>
          </cell>
        </row>
        <row r="4936">
          <cell r="A4936" t="str">
            <v>HD SET BRDPS012</v>
          </cell>
          <cell r="B4936" t="str">
            <v>HEMODIALISA SET BPJS REUSE</v>
          </cell>
          <cell r="C4936" t="str">
            <v>HD</v>
          </cell>
        </row>
        <row r="4937">
          <cell r="A4937" t="str">
            <v>HD SET BRDPS013</v>
          </cell>
          <cell r="B4937" t="str">
            <v>HEMODIALISA SET BPJS REUSE</v>
          </cell>
          <cell r="C4937" t="str">
            <v>HD</v>
          </cell>
        </row>
        <row r="4938">
          <cell r="A4938" t="str">
            <v>HD SET BRDPS014</v>
          </cell>
          <cell r="B4938" t="str">
            <v>HEMODIALISA SET BPJS REUSE</v>
          </cell>
          <cell r="C4938" t="str">
            <v>HD</v>
          </cell>
        </row>
        <row r="4939">
          <cell r="A4939" t="str">
            <v>HD SET BRDPS014-NAVF</v>
          </cell>
          <cell r="B4939" t="str">
            <v>HEMODIALISA SET BPJS REUSE NON AVFISTULA</v>
          </cell>
          <cell r="C4939" t="str">
            <v>HD</v>
          </cell>
        </row>
        <row r="4940">
          <cell r="A4940" t="str">
            <v>HD SET BRDPS015</v>
          </cell>
          <cell r="B4940" t="str">
            <v>HEMODIALISA SET BPJS REUSE</v>
          </cell>
          <cell r="C4940" t="str">
            <v>HD</v>
          </cell>
        </row>
        <row r="4941">
          <cell r="A4941" t="str">
            <v>HD SET BRDPS016</v>
          </cell>
          <cell r="B4941" t="str">
            <v>HEMODIALISA SET BPJS REUSE</v>
          </cell>
          <cell r="C4941" t="str">
            <v>HD</v>
          </cell>
        </row>
        <row r="4942">
          <cell r="A4942" t="str">
            <v>HD SET BRDPS018</v>
          </cell>
          <cell r="B4942" t="str">
            <v>HEMODIALISA SET BPJS REUSE</v>
          </cell>
          <cell r="C4942" t="str">
            <v>HD</v>
          </cell>
        </row>
        <row r="4943">
          <cell r="A4943" t="str">
            <v>HD SET BRDPS018-HDP</v>
          </cell>
          <cell r="B4943" t="str">
            <v>HEMODIALISA SET BPJS REUSE DENGAN HD PACK</v>
          </cell>
          <cell r="C4943" t="str">
            <v>HD</v>
          </cell>
        </row>
        <row r="4944">
          <cell r="A4944" t="str">
            <v>HD SET BRDPS019</v>
          </cell>
          <cell r="B4944" t="str">
            <v>HEMODIALISA SET BPJS REUSE</v>
          </cell>
          <cell r="C4944" t="str">
            <v>HD</v>
          </cell>
        </row>
        <row r="4945">
          <cell r="A4945" t="str">
            <v>HD SET BRDPS020</v>
          </cell>
          <cell r="B4945" t="str">
            <v>HEMODIALISA SET BPJS REUSE</v>
          </cell>
          <cell r="C4945" t="str">
            <v>HD</v>
          </cell>
        </row>
        <row r="4946">
          <cell r="A4946" t="str">
            <v>HD SET BRDPS020-NAVF</v>
          </cell>
          <cell r="B4946" t="str">
            <v>HEMODIALISA SET BPJS REUSE NON AVFISTULA</v>
          </cell>
          <cell r="C4946" t="str">
            <v>HD</v>
          </cell>
        </row>
        <row r="4947">
          <cell r="A4947" t="str">
            <v>HD SET BRDPS021</v>
          </cell>
          <cell r="B4947" t="str">
            <v>HEMODIALISA SET BPJS REUSE</v>
          </cell>
          <cell r="C4947" t="str">
            <v>HD</v>
          </cell>
        </row>
        <row r="4948">
          <cell r="A4948" t="str">
            <v>HD SET BRDPS022</v>
          </cell>
          <cell r="B4948" t="str">
            <v>HEMODIALISA SET BPJS REUSE</v>
          </cell>
          <cell r="C4948" t="str">
            <v>HD</v>
          </cell>
        </row>
        <row r="4949">
          <cell r="A4949" t="str">
            <v>HD SET BRDPS023</v>
          </cell>
          <cell r="B4949" t="str">
            <v>HEMODIALISA SET BPJS REUSE</v>
          </cell>
          <cell r="C4949" t="str">
            <v>HD</v>
          </cell>
        </row>
        <row r="4950">
          <cell r="A4950" t="str">
            <v>HD SET BRDPS024</v>
          </cell>
          <cell r="B4950" t="str">
            <v>HEMODIALISA SET BPJS REUSE</v>
          </cell>
          <cell r="C4950" t="str">
            <v>HD</v>
          </cell>
        </row>
        <row r="4951">
          <cell r="A4951" t="str">
            <v>HD SET BRDPS024-HDP</v>
          </cell>
          <cell r="B4951" t="str">
            <v>HEMODIALISA SET BPJS REUSE DENGAN HD PACK</v>
          </cell>
          <cell r="C4951" t="str">
            <v>HD</v>
          </cell>
        </row>
        <row r="4952">
          <cell r="A4952" t="str">
            <v>HD SET BRDPS024-HDP2</v>
          </cell>
          <cell r="B4952" t="str">
            <v>HEMODIALISA SET BPJS REUSE DENGAN HD PACK NON AV</v>
          </cell>
          <cell r="C4952" t="str">
            <v>HD</v>
          </cell>
        </row>
        <row r="4953">
          <cell r="A4953" t="str">
            <v>HD SET BRDPS025</v>
          </cell>
          <cell r="B4953" t="str">
            <v>HEMODIALISA SET BPJS REUSE</v>
          </cell>
          <cell r="C4953" t="str">
            <v>HD</v>
          </cell>
        </row>
        <row r="4954">
          <cell r="A4954" t="str">
            <v>HD SET BRDPS026</v>
          </cell>
          <cell r="B4954" t="str">
            <v>HEMODIALISA SET BPJS REUSE</v>
          </cell>
          <cell r="C4954" t="str">
            <v>HD</v>
          </cell>
        </row>
        <row r="4955">
          <cell r="A4955" t="str">
            <v>HD SET BRDPS027</v>
          </cell>
          <cell r="B4955" t="str">
            <v>HEMODIALISA SET BPJS REUSE</v>
          </cell>
          <cell r="C4955" t="str">
            <v>HD</v>
          </cell>
        </row>
        <row r="4956">
          <cell r="A4956" t="str">
            <v>HD SET BRDPS029</v>
          </cell>
          <cell r="B4956" t="str">
            <v>HEMODIALISA SET BPJS REUSE</v>
          </cell>
          <cell r="C4956" t="str">
            <v>HD</v>
          </cell>
        </row>
        <row r="4957">
          <cell r="A4957" t="str">
            <v>HD SET BRJKT001</v>
          </cell>
          <cell r="B4957" t="str">
            <v>HEMODIALISA SET BPJS REUSE</v>
          </cell>
          <cell r="C4957" t="str">
            <v>HD</v>
          </cell>
        </row>
        <row r="4958">
          <cell r="A4958" t="str">
            <v>HD SET BRJKT001-NAK</v>
          </cell>
          <cell r="B4958" t="str">
            <v>HEMODIALISA SET BPJS REUSE (PAKET I)</v>
          </cell>
          <cell r="C4958" t="str">
            <v>HD</v>
          </cell>
        </row>
        <row r="4959">
          <cell r="A4959" t="str">
            <v>HD SET BRJKT001-NAVF</v>
          </cell>
          <cell r="B4959" t="str">
            <v>HEMODIALISA SET BPJS REUSE NON AVFISTULA</v>
          </cell>
          <cell r="C4959" t="str">
            <v>HD</v>
          </cell>
        </row>
        <row r="4960">
          <cell r="A4960" t="str">
            <v>HD SET BRJKT002</v>
          </cell>
          <cell r="B4960" t="str">
            <v>HEMODIALISA SET BPJS REUSE</v>
          </cell>
          <cell r="C4960" t="str">
            <v>HD</v>
          </cell>
        </row>
        <row r="4961">
          <cell r="A4961" t="str">
            <v>HD SET BRJKT002-ANAK</v>
          </cell>
          <cell r="B4961" t="str">
            <v>HEMODIALISA SET BPJS LENGKAP ANAK</v>
          </cell>
          <cell r="C4961" t="str">
            <v>HD</v>
          </cell>
        </row>
        <row r="4962">
          <cell r="A4962" t="str">
            <v>HD SET BRJKT003</v>
          </cell>
          <cell r="B4962" t="str">
            <v>HEMODIALISA SET BPJS REUSE</v>
          </cell>
          <cell r="C4962" t="str">
            <v>HD</v>
          </cell>
        </row>
        <row r="4963">
          <cell r="A4963" t="str">
            <v>HD SET BRJKT003-NAVF</v>
          </cell>
          <cell r="B4963" t="str">
            <v>HEMODIALISA SET BPJS REUSE NON AVFISTULA</v>
          </cell>
          <cell r="C4963" t="str">
            <v>HD</v>
          </cell>
        </row>
        <row r="4964">
          <cell r="A4964" t="str">
            <v>HD SET BRJKT004</v>
          </cell>
          <cell r="B4964" t="str">
            <v>HEMODIALISA SET BPJS REUSE</v>
          </cell>
          <cell r="C4964" t="str">
            <v>HD</v>
          </cell>
        </row>
        <row r="4965">
          <cell r="A4965" t="str">
            <v>HD SET BRJKT005-NAT</v>
          </cell>
          <cell r="B4965" t="str">
            <v>HEMODIALISA SET BPJS REUSE NON AT</v>
          </cell>
          <cell r="C4965" t="str">
            <v>HD</v>
          </cell>
        </row>
        <row r="4966">
          <cell r="A4966" t="str">
            <v>HD SET BRJKT006</v>
          </cell>
          <cell r="B4966" t="str">
            <v>HEMODIALISA SET BPJS REUSE (PAKET B)</v>
          </cell>
          <cell r="C4966" t="str">
            <v>HD</v>
          </cell>
        </row>
        <row r="4967">
          <cell r="A4967" t="str">
            <v>HD SET BRJKT006-BTS</v>
          </cell>
          <cell r="B4967" t="str">
            <v>HEMODIALISA SET BPJS REUSE (PAKET A)</v>
          </cell>
          <cell r="C4967" t="str">
            <v>HD</v>
          </cell>
        </row>
        <row r="4968">
          <cell r="A4968" t="str">
            <v>HD SET BRJKT006NAVAT</v>
          </cell>
          <cell r="B4968" t="str">
            <v>HEMODIALISA SET BPJS REUSE (PAKET A)</v>
          </cell>
          <cell r="C4968" t="str">
            <v>HD</v>
          </cell>
        </row>
        <row r="4969">
          <cell r="A4969" t="str">
            <v>HD SET BRJKT006-NAVF</v>
          </cell>
          <cell r="B4969" t="str">
            <v>HEMODIALISA SET BPJS REUSE TANPA AVFISTULA</v>
          </cell>
          <cell r="C4969" t="str">
            <v>HD</v>
          </cell>
        </row>
        <row r="4970">
          <cell r="A4970" t="str">
            <v>HD SET BRJKT007</v>
          </cell>
          <cell r="B4970" t="str">
            <v>HEMODIALISA SET BPJS REUSE</v>
          </cell>
          <cell r="C4970" t="str">
            <v>HD</v>
          </cell>
        </row>
        <row r="4971">
          <cell r="A4971" t="str">
            <v>HD SET BRJKT007-NAVF</v>
          </cell>
          <cell r="B4971" t="str">
            <v>HEMODIALISA SET BPJS REUSE NON AVFISTULA</v>
          </cell>
          <cell r="C4971" t="str">
            <v>HD</v>
          </cell>
        </row>
        <row r="4972">
          <cell r="A4972" t="str">
            <v>HD SET BRJKT008</v>
          </cell>
          <cell r="B4972" t="str">
            <v>HEMODIALISA SET BPJS REUSE</v>
          </cell>
          <cell r="C4972" t="str">
            <v>HD</v>
          </cell>
        </row>
        <row r="4973">
          <cell r="A4973" t="str">
            <v>HD SET BRJKT009</v>
          </cell>
          <cell r="B4973" t="str">
            <v>HEMODIALISA SET BPJS REUSE</v>
          </cell>
          <cell r="C4973" t="str">
            <v>HD</v>
          </cell>
        </row>
        <row r="4974">
          <cell r="A4974" t="str">
            <v>HD SET BRJKT010</v>
          </cell>
          <cell r="B4974" t="str">
            <v>HEMODIALISA SET BPJS REUSE</v>
          </cell>
          <cell r="C4974" t="str">
            <v>HD</v>
          </cell>
        </row>
        <row r="4975">
          <cell r="A4975" t="str">
            <v>HD SET BRJKT010-NAVF</v>
          </cell>
          <cell r="B4975" t="str">
            <v>HEMODIALISA SET BPJS REUSE NON AVFISTULA</v>
          </cell>
          <cell r="C4975" t="str">
            <v>HD</v>
          </cell>
        </row>
        <row r="4976">
          <cell r="A4976" t="str">
            <v>HD SET BRJKT011</v>
          </cell>
          <cell r="B4976" t="str">
            <v>HEMODIALISA SET BPJS REUSE</v>
          </cell>
          <cell r="C4976" t="str">
            <v>HD</v>
          </cell>
        </row>
        <row r="4977">
          <cell r="A4977" t="str">
            <v>HD SET BRJKT011 NAK</v>
          </cell>
          <cell r="B4977" t="str">
            <v>HEMODIALISA SET BPJS REUSE NON AK</v>
          </cell>
          <cell r="C4977" t="str">
            <v>HD</v>
          </cell>
        </row>
        <row r="4978">
          <cell r="A4978" t="str">
            <v>HD SET BRJKT011 NAT</v>
          </cell>
          <cell r="B4978" t="str">
            <v>HEMODIALISA SET BPJS REUSE NON AT</v>
          </cell>
          <cell r="C4978" t="str">
            <v>HD</v>
          </cell>
        </row>
        <row r="4979">
          <cell r="A4979" t="str">
            <v>HD SET BRJKT011-NAVF</v>
          </cell>
          <cell r="B4979" t="str">
            <v>HEMODIALISA SET BPJS REUSE TANPA AVFISTULA</v>
          </cell>
          <cell r="C4979" t="str">
            <v>HD</v>
          </cell>
        </row>
        <row r="4980">
          <cell r="A4980" t="str">
            <v>HD SET BRJKT012</v>
          </cell>
          <cell r="B4980" t="str">
            <v>HEMODIALISA SET BPJS REUSE</v>
          </cell>
          <cell r="C4980" t="str">
            <v>HD</v>
          </cell>
        </row>
        <row r="4981">
          <cell r="A4981" t="str">
            <v>HD SET BRJKT013</v>
          </cell>
          <cell r="B4981" t="str">
            <v>HEMODIALISA SET BPJS REUSE</v>
          </cell>
          <cell r="C4981" t="str">
            <v>HD</v>
          </cell>
        </row>
        <row r="4982">
          <cell r="A4982" t="str">
            <v>HD SET BRJKT013-NAK</v>
          </cell>
          <cell r="B4982" t="str">
            <v>HEMODIALISA SET BPJS REUSE NON AK</v>
          </cell>
          <cell r="C4982" t="str">
            <v>HD</v>
          </cell>
        </row>
        <row r="4983">
          <cell r="A4983" t="str">
            <v>HD SET BRJKT013-NAT</v>
          </cell>
          <cell r="B4983" t="str">
            <v>HEMODIALISA SET BPJS REUSE NON AT</v>
          </cell>
          <cell r="C4983" t="str">
            <v>HD</v>
          </cell>
        </row>
        <row r="4984">
          <cell r="A4984" t="str">
            <v>HD SET BRJKT013-NAVF</v>
          </cell>
          <cell r="B4984" t="str">
            <v>HEMODIALISA SET BPJS REUSE</v>
          </cell>
          <cell r="C4984" t="str">
            <v>HD</v>
          </cell>
        </row>
        <row r="4985">
          <cell r="A4985" t="str">
            <v>HD SET BRJKT014</v>
          </cell>
          <cell r="B4985" t="str">
            <v>HEMODIALISA SET BPJS REUSE</v>
          </cell>
          <cell r="C4985" t="str">
            <v>HD</v>
          </cell>
        </row>
        <row r="4986">
          <cell r="A4986" t="str">
            <v>HD SET BRJKT015</v>
          </cell>
          <cell r="B4986" t="str">
            <v>HEMODIALISA SET BPJS REUSE</v>
          </cell>
          <cell r="C4986" t="str">
            <v>HD</v>
          </cell>
        </row>
        <row r="4987">
          <cell r="A4987" t="str">
            <v>HD SET BRJKT016</v>
          </cell>
          <cell r="B4987" t="str">
            <v>HEMODIALISA SET BPJS REUSE</v>
          </cell>
          <cell r="C4987" t="str">
            <v>HD</v>
          </cell>
        </row>
        <row r="4988">
          <cell r="A4988" t="str">
            <v>HD SET BRJKT016-NAV</v>
          </cell>
          <cell r="B4988" t="str">
            <v>HEMODIALISA SET BPJS REUSE</v>
          </cell>
          <cell r="C4988" t="str">
            <v>HD</v>
          </cell>
        </row>
        <row r="4989">
          <cell r="A4989" t="str">
            <v>HD SET BRJKT016-NAVF</v>
          </cell>
          <cell r="B4989" t="str">
            <v>HEMODIALISA SET BPJS REUSE</v>
          </cell>
          <cell r="C4989" t="str">
            <v>HD</v>
          </cell>
        </row>
        <row r="4990">
          <cell r="A4990" t="str">
            <v>HD SET BRJKT019</v>
          </cell>
          <cell r="B4990" t="str">
            <v>HEMODIALISA SET BPJS REUSE</v>
          </cell>
          <cell r="C4990" t="str">
            <v>HD</v>
          </cell>
        </row>
        <row r="4991">
          <cell r="A4991" t="str">
            <v>HD SET BRJKT019-NAVF</v>
          </cell>
          <cell r="B4991" t="str">
            <v>HEMODIALISA SET BPJS REUSE NON AV FISTULA</v>
          </cell>
          <cell r="C4991" t="str">
            <v>HD</v>
          </cell>
        </row>
        <row r="4992">
          <cell r="A4992" t="str">
            <v>HD SET BRJKT021</v>
          </cell>
          <cell r="B4992" t="str">
            <v>HEMODIALISA SET BPJS REUSE</v>
          </cell>
          <cell r="C4992" t="str">
            <v>HD</v>
          </cell>
        </row>
        <row r="4993">
          <cell r="A4993" t="str">
            <v>HD SET BRJKT021-NAVF</v>
          </cell>
          <cell r="B4993" t="str">
            <v>HEMODIALISA SET BPJS REUSE NON AV FISTULA</v>
          </cell>
          <cell r="C4993" t="str">
            <v>HD</v>
          </cell>
        </row>
        <row r="4994">
          <cell r="A4994" t="str">
            <v>HD SET BRJKT022</v>
          </cell>
          <cell r="B4994" t="str">
            <v>HEMODIALISA SET BPJS REUSE</v>
          </cell>
          <cell r="C4994" t="str">
            <v>HD</v>
          </cell>
        </row>
        <row r="4995">
          <cell r="A4995" t="str">
            <v>HD SET BRJKT022-NAVF</v>
          </cell>
          <cell r="B4995" t="str">
            <v>HEMODIALISA SET BPJS REUSE NON AVFISTULA</v>
          </cell>
          <cell r="C4995" t="str">
            <v>HD</v>
          </cell>
        </row>
        <row r="4996">
          <cell r="A4996" t="str">
            <v>HD SET BRJKT024</v>
          </cell>
          <cell r="B4996" t="str">
            <v>HEMODIALISA SET BPJS REUSE</v>
          </cell>
          <cell r="C4996" t="str">
            <v>HD</v>
          </cell>
        </row>
        <row r="4997">
          <cell r="A4997" t="str">
            <v>HD SET BRJKT024-NAVF</v>
          </cell>
          <cell r="B4997" t="str">
            <v>HEMODIALISA SET BPJS REUSE NON AVFISTULA</v>
          </cell>
          <cell r="C4997" t="str">
            <v>HD</v>
          </cell>
        </row>
        <row r="4998">
          <cell r="A4998" t="str">
            <v>HD SET BRJKT025</v>
          </cell>
          <cell r="B4998" t="str">
            <v>HEMODIALISA SET BPJS REUSE</v>
          </cell>
          <cell r="C4998" t="str">
            <v>HD</v>
          </cell>
        </row>
        <row r="4999">
          <cell r="A4999" t="str">
            <v>HD SET BRJKT026</v>
          </cell>
          <cell r="B4999" t="str">
            <v>HEMODIALISA SET BPJS REUSE</v>
          </cell>
          <cell r="C4999" t="str">
            <v>HD</v>
          </cell>
        </row>
        <row r="5000">
          <cell r="A5000" t="str">
            <v>HD SET BRJKT026-NAK</v>
          </cell>
          <cell r="B5000" t="str">
            <v>HEMODIALISA SET BPJS REUSE tanpa AK</v>
          </cell>
          <cell r="C5000" t="str">
            <v>HD</v>
          </cell>
        </row>
        <row r="5001">
          <cell r="A5001" t="str">
            <v>HD SET BRJKT026NAVAK</v>
          </cell>
          <cell r="B5001" t="str">
            <v>HEMODIALISA SET BPJS REUSE NON AVFISTULA DAN AK</v>
          </cell>
          <cell r="C5001" t="str">
            <v>HD</v>
          </cell>
        </row>
        <row r="5002">
          <cell r="A5002" t="str">
            <v>HD SET BRJKT026NAVAT</v>
          </cell>
          <cell r="B5002" t="str">
            <v>HEMODIALISA SET BPJS REUSE NON AVFISTULA DAN AT</v>
          </cell>
          <cell r="C5002" t="str">
            <v>HD</v>
          </cell>
        </row>
        <row r="5003">
          <cell r="A5003" t="str">
            <v>HD SET BRJKT026-NAVF</v>
          </cell>
          <cell r="B5003" t="str">
            <v>HEMODIALISA SET BPJS REUSE NON AV FISTULA</v>
          </cell>
          <cell r="C5003" t="str">
            <v>HD</v>
          </cell>
        </row>
        <row r="5004">
          <cell r="A5004" t="str">
            <v>HD SET BRJKT027</v>
          </cell>
          <cell r="B5004" t="str">
            <v>HEMODIALISA SET BPJS REUSE</v>
          </cell>
          <cell r="C5004" t="str">
            <v>HD</v>
          </cell>
        </row>
        <row r="5005">
          <cell r="A5005" t="str">
            <v>HD SET BRJKT027-NAVF</v>
          </cell>
          <cell r="B5005" t="str">
            <v>HEMODIALISA SET BPJS REUSE NON AV FISTULA</v>
          </cell>
          <cell r="C5005" t="str">
            <v>HD</v>
          </cell>
        </row>
        <row r="5006">
          <cell r="A5006" t="str">
            <v>HD SET BRJKT028</v>
          </cell>
          <cell r="B5006" t="str">
            <v>HEMODIALISA SET BPJS REUSE</v>
          </cell>
          <cell r="C5006" t="str">
            <v>HD</v>
          </cell>
        </row>
        <row r="5007">
          <cell r="A5007" t="str">
            <v>HD SET BRJKT030</v>
          </cell>
          <cell r="B5007" t="str">
            <v>HEMODIALISA SET BPJS REUSE</v>
          </cell>
          <cell r="C5007" t="str">
            <v>HD</v>
          </cell>
        </row>
        <row r="5008">
          <cell r="A5008" t="str">
            <v>HD SET BRJKT031</v>
          </cell>
          <cell r="B5008" t="str">
            <v>HEMODIALISA SET BPJS REUSE</v>
          </cell>
          <cell r="C5008" t="str">
            <v>HD</v>
          </cell>
        </row>
        <row r="5009">
          <cell r="A5009" t="str">
            <v>HD SET BRJKT031-NAVF</v>
          </cell>
          <cell r="B5009" t="str">
            <v>HEMODIALISA SET BPJS REUSE</v>
          </cell>
          <cell r="C5009" t="str">
            <v>HD</v>
          </cell>
        </row>
        <row r="5010">
          <cell r="A5010" t="str">
            <v>HD SET BRJKT032</v>
          </cell>
          <cell r="B5010" t="str">
            <v>HEMODIALISA SET BPJS REUSE</v>
          </cell>
          <cell r="C5010" t="str">
            <v>HD</v>
          </cell>
        </row>
        <row r="5011">
          <cell r="A5011" t="str">
            <v>HD SET BRJKT033</v>
          </cell>
          <cell r="B5011" t="str">
            <v>HEMODIALISA SET BPJS REUSE</v>
          </cell>
          <cell r="C5011" t="str">
            <v>HD</v>
          </cell>
        </row>
        <row r="5012">
          <cell r="A5012" t="str">
            <v>HD SET BRJKT033-NAVF</v>
          </cell>
          <cell r="B5012" t="str">
            <v>HEMODIALISA SET BPJS REUSE NON AVFISTULA</v>
          </cell>
          <cell r="C5012" t="str">
            <v>HD</v>
          </cell>
        </row>
        <row r="5013">
          <cell r="A5013" t="str">
            <v>HD SET BRJKT034</v>
          </cell>
          <cell r="B5013" t="str">
            <v>HEMODIALISA SET BPJS REUSE</v>
          </cell>
          <cell r="C5013" t="str">
            <v>HD</v>
          </cell>
        </row>
        <row r="5014">
          <cell r="A5014" t="str">
            <v>HD SET BRJKT037</v>
          </cell>
          <cell r="B5014" t="str">
            <v>HEMODIALISA SET BPJS REUSE</v>
          </cell>
          <cell r="C5014" t="str">
            <v>HD</v>
          </cell>
        </row>
        <row r="5015">
          <cell r="A5015" t="str">
            <v>HD SET BRJKT038</v>
          </cell>
          <cell r="B5015" t="str">
            <v>HEMODIALISA SET BPJS REUSE</v>
          </cell>
          <cell r="C5015" t="str">
            <v>HD</v>
          </cell>
        </row>
        <row r="5016">
          <cell r="A5016" t="str">
            <v>HD SET BRJKT038-NAVF</v>
          </cell>
          <cell r="B5016" t="str">
            <v>HEMODIALISA SET BPJS REUSE NON AVFISTULA</v>
          </cell>
          <cell r="C5016" t="str">
            <v>HD</v>
          </cell>
        </row>
        <row r="5017">
          <cell r="A5017" t="str">
            <v>HD SET BRJKT039</v>
          </cell>
          <cell r="B5017" t="str">
            <v>HEMODIALISA SET BPJS REUSE</v>
          </cell>
          <cell r="C5017" t="str">
            <v>HD</v>
          </cell>
        </row>
        <row r="5018">
          <cell r="A5018" t="str">
            <v>HD SET BRJKT039 NAVF</v>
          </cell>
          <cell r="B5018" t="str">
            <v>HEMODIALISA SET BPJS REUSE Non AVFISTULA</v>
          </cell>
          <cell r="C5018" t="str">
            <v>HD</v>
          </cell>
        </row>
        <row r="5019">
          <cell r="A5019" t="str">
            <v>HD SET BRJKT040</v>
          </cell>
          <cell r="B5019" t="str">
            <v>HEMODIALISA SET BPJS REUSE</v>
          </cell>
          <cell r="C5019" t="str">
            <v>HD</v>
          </cell>
        </row>
        <row r="5020">
          <cell r="A5020" t="str">
            <v>HD SET BRJKT041</v>
          </cell>
          <cell r="B5020" t="str">
            <v>HEMODIALISA SET BPJS REUSE</v>
          </cell>
          <cell r="C5020" t="str">
            <v>HD</v>
          </cell>
        </row>
        <row r="5021">
          <cell r="A5021" t="str">
            <v>HD SET BRJKT042</v>
          </cell>
          <cell r="B5021" t="str">
            <v>HEMODIALISA SET BPJS REUSE</v>
          </cell>
          <cell r="C5021" t="str">
            <v>HD</v>
          </cell>
        </row>
        <row r="5022">
          <cell r="A5022" t="str">
            <v>HD SET BRJKT042-NAVF</v>
          </cell>
          <cell r="B5022" t="str">
            <v>HEMODIALISA SET BPJS REUSE NON AVFISTULA</v>
          </cell>
          <cell r="C5022" t="str">
            <v>HD</v>
          </cell>
        </row>
        <row r="5023">
          <cell r="A5023" t="str">
            <v>HD SET BRJKT043NAVAT</v>
          </cell>
          <cell r="B5023" t="str">
            <v>HEMODIALISA SET BPJS REUSE NON AVF AT</v>
          </cell>
          <cell r="C5023" t="str">
            <v>HD</v>
          </cell>
        </row>
        <row r="5024">
          <cell r="A5024" t="str">
            <v>HD SET BRJKT043-NAVF</v>
          </cell>
          <cell r="B5024" t="str">
            <v>HEMODIALISA SET BPJS REUSE NON AVFISTULA</v>
          </cell>
          <cell r="C5024" t="str">
            <v>HD</v>
          </cell>
        </row>
        <row r="5025">
          <cell r="A5025" t="str">
            <v>HD SET BRJKT044</v>
          </cell>
          <cell r="B5025" t="str">
            <v>HEMODIALISA SET BPJS REUSE</v>
          </cell>
          <cell r="C5025" t="str">
            <v>HD</v>
          </cell>
        </row>
        <row r="5026">
          <cell r="A5026" t="str">
            <v>HD SET BRJKT044-NAK</v>
          </cell>
          <cell r="B5026" t="str">
            <v>HEMODIALISA SET BPJS REUSE NON AK</v>
          </cell>
          <cell r="C5026" t="str">
            <v>HD</v>
          </cell>
        </row>
        <row r="5027">
          <cell r="A5027" t="str">
            <v>HD SET BRJKT044NAKAT</v>
          </cell>
          <cell r="B5027" t="str">
            <v>HEMODIALISA SET BPJS REUSE NON AK &amp; AT</v>
          </cell>
          <cell r="C5027" t="str">
            <v>HD</v>
          </cell>
        </row>
        <row r="5028">
          <cell r="A5028" t="str">
            <v>HD SET BRJKT044-NAVF</v>
          </cell>
          <cell r="B5028" t="str">
            <v>HEMODIALISA SET BPJS REUSE</v>
          </cell>
          <cell r="C5028" t="str">
            <v>HD</v>
          </cell>
        </row>
        <row r="5029">
          <cell r="A5029" t="str">
            <v>HD SET BRJKT045</v>
          </cell>
          <cell r="B5029" t="str">
            <v>HEMODIALISA SET BPJS REUSE</v>
          </cell>
          <cell r="C5029" t="str">
            <v>HD</v>
          </cell>
        </row>
        <row r="5030">
          <cell r="A5030" t="str">
            <v>HD SET BRJKT045-ATAK</v>
          </cell>
          <cell r="B5030" t="str">
            <v>HEMODIALISA SET BPJS REUSE (PAKET I/II)</v>
          </cell>
          <cell r="C5030" t="str">
            <v>HD</v>
          </cell>
        </row>
        <row r="5031">
          <cell r="A5031" t="str">
            <v>HD SET BRJKT045-NBL</v>
          </cell>
          <cell r="B5031" t="str">
            <v>HEMODIALISA SET BPJS REUSE (PAKET A)</v>
          </cell>
          <cell r="C5031" t="str">
            <v>HD</v>
          </cell>
        </row>
        <row r="5032">
          <cell r="A5032" t="str">
            <v>HD SET BRJKT047</v>
          </cell>
          <cell r="B5032" t="str">
            <v>HEMODIALISA SET BPJS REUSE</v>
          </cell>
          <cell r="C5032" t="str">
            <v>HD</v>
          </cell>
        </row>
        <row r="5033">
          <cell r="A5033" t="str">
            <v>HD SET BRJKT048</v>
          </cell>
          <cell r="B5033" t="str">
            <v>HEMODIALISA SET BPJS REUSE</v>
          </cell>
          <cell r="C5033" t="str">
            <v>HD</v>
          </cell>
        </row>
        <row r="5034">
          <cell r="A5034" t="str">
            <v>HD SET BRJKT048-NAT</v>
          </cell>
          <cell r="B5034" t="str">
            <v>HEMODIALISA SET BPJS REUSE NON AT</v>
          </cell>
          <cell r="C5034" t="str">
            <v>HD</v>
          </cell>
        </row>
        <row r="5035">
          <cell r="A5035" t="str">
            <v>HD SET BRJKT049</v>
          </cell>
          <cell r="B5035" t="str">
            <v>HEMODIALISA SET BPJS REUSE</v>
          </cell>
          <cell r="C5035" t="str">
            <v>HD</v>
          </cell>
        </row>
        <row r="5036">
          <cell r="A5036" t="str">
            <v>HD SET BRJKT049-NAVF</v>
          </cell>
          <cell r="B5036" t="str">
            <v>HEMODIALISA SET BPJS REUSE (PAKET II)</v>
          </cell>
          <cell r="C5036" t="str">
            <v>HD</v>
          </cell>
        </row>
        <row r="5037">
          <cell r="A5037" t="str">
            <v>HD SET BRJKT049NBLAV</v>
          </cell>
          <cell r="B5037" t="str">
            <v>HEMODIALISA SET BPJS REUSE NON BL &amp; AVFISTULA</v>
          </cell>
          <cell r="C5037" t="str">
            <v>HD</v>
          </cell>
        </row>
        <row r="5038">
          <cell r="A5038" t="str">
            <v>HD SET BRJKT050</v>
          </cell>
          <cell r="B5038" t="str">
            <v>HEMODIALISA SET BPJS REUSE</v>
          </cell>
          <cell r="C5038" t="str">
            <v>HD</v>
          </cell>
        </row>
        <row r="5039">
          <cell r="A5039" t="str">
            <v>HD SET BRJKT051</v>
          </cell>
          <cell r="B5039" t="str">
            <v>HEMODIALISA SET BPJS REUSE</v>
          </cell>
          <cell r="C5039" t="str">
            <v>HD</v>
          </cell>
        </row>
        <row r="5040">
          <cell r="A5040" t="str">
            <v>HD SET BRJKT052</v>
          </cell>
          <cell r="B5040" t="str">
            <v>HEMODIALISA SET BPJS REUSE</v>
          </cell>
          <cell r="C5040" t="str">
            <v>HD</v>
          </cell>
        </row>
        <row r="5041">
          <cell r="A5041" t="str">
            <v>HD SET BRJKT052-NAVF</v>
          </cell>
          <cell r="B5041" t="str">
            <v>HEMODIALISA SET BPJS REUSE</v>
          </cell>
          <cell r="C5041" t="str">
            <v>HD</v>
          </cell>
        </row>
        <row r="5042">
          <cell r="A5042" t="str">
            <v>HD SET BRJKT053</v>
          </cell>
          <cell r="B5042" t="str">
            <v>HEMODIALISA SET BPJS REUSE</v>
          </cell>
          <cell r="C5042" t="str">
            <v>HD</v>
          </cell>
        </row>
        <row r="5043">
          <cell r="A5043" t="str">
            <v>HD SET BRJKT053NAVAK</v>
          </cell>
          <cell r="B5043" t="str">
            <v>HEMODIALISA SET BPJS REUSE NON AV FISTULA &amp; AK</v>
          </cell>
          <cell r="C5043" t="str">
            <v>HD</v>
          </cell>
        </row>
        <row r="5044">
          <cell r="A5044" t="str">
            <v>HD SET BRJKT053NAVAT</v>
          </cell>
          <cell r="B5044" t="str">
            <v>HEMODIALISA SET BPJS REUSE NON AV FISTULA &amp; AT</v>
          </cell>
          <cell r="C5044" t="str">
            <v>HD</v>
          </cell>
        </row>
        <row r="5045">
          <cell r="A5045" t="str">
            <v>HD SET BRJKT053-NAVE</v>
          </cell>
          <cell r="B5045" t="str">
            <v>HEMODIALISA SET BPJS REUSE NON AV AT &amp; ELISIO</v>
          </cell>
          <cell r="C5045" t="str">
            <v>HD</v>
          </cell>
        </row>
        <row r="5046">
          <cell r="A5046" t="str">
            <v>HD SET BRJKT053-NAVF</v>
          </cell>
          <cell r="B5046" t="str">
            <v>HEMODIALISA SET BPJS REUSE NON AVFISTULA</v>
          </cell>
          <cell r="C5046" t="str">
            <v>HD</v>
          </cell>
        </row>
        <row r="5047">
          <cell r="A5047" t="str">
            <v>HD SET BRJKT054</v>
          </cell>
          <cell r="B5047" t="str">
            <v>HEMODIALISA SET BPJS REUSE</v>
          </cell>
          <cell r="C5047" t="str">
            <v>HD</v>
          </cell>
        </row>
        <row r="5048">
          <cell r="A5048" t="str">
            <v>HD SET BRJKT055</v>
          </cell>
          <cell r="B5048" t="str">
            <v>HEMODIALISA SET BPJS REUSE</v>
          </cell>
          <cell r="C5048" t="str">
            <v>HD</v>
          </cell>
        </row>
        <row r="5049">
          <cell r="A5049" t="str">
            <v>HD SET BRJKT055-NAVF</v>
          </cell>
          <cell r="B5049" t="str">
            <v>HEMODIALISA SET BPJS REUSE NON AVFISTULA</v>
          </cell>
          <cell r="C5049" t="str">
            <v>HD</v>
          </cell>
        </row>
        <row r="5050">
          <cell r="A5050" t="str">
            <v>HD SET BRJKT056</v>
          </cell>
          <cell r="B5050" t="str">
            <v>HEMODIALISA SET BPJS REUSE</v>
          </cell>
          <cell r="C5050" t="str">
            <v>HD</v>
          </cell>
        </row>
        <row r="5051">
          <cell r="A5051" t="str">
            <v>HD SET BRJKT056-NAVF</v>
          </cell>
          <cell r="B5051" t="str">
            <v>HEMODIALISA SET BPJS REUSE</v>
          </cell>
          <cell r="C5051" t="str">
            <v>HD</v>
          </cell>
        </row>
        <row r="5052">
          <cell r="A5052" t="str">
            <v>HD SET BRJKT057</v>
          </cell>
          <cell r="B5052" t="str">
            <v>HEMODIALISA SET BPJS REUSE</v>
          </cell>
          <cell r="C5052" t="str">
            <v>HD</v>
          </cell>
        </row>
        <row r="5053">
          <cell r="A5053" t="str">
            <v>HD SET BRJKT060</v>
          </cell>
          <cell r="B5053" t="str">
            <v>HEMODIALISA SET BPJS REUSE</v>
          </cell>
          <cell r="C5053" t="str">
            <v>HD</v>
          </cell>
        </row>
        <row r="5054">
          <cell r="A5054" t="str">
            <v>HD SET BRJKT062</v>
          </cell>
          <cell r="B5054" t="str">
            <v>HEMODIALISA SET BPJS REUSE</v>
          </cell>
          <cell r="C5054" t="str">
            <v>HD</v>
          </cell>
        </row>
        <row r="5055">
          <cell r="A5055" t="str">
            <v>HD SET BRJKT062-NAVF</v>
          </cell>
          <cell r="B5055" t="str">
            <v>HEMODIALISA SET BPJS REUSE NON AVFISTULA</v>
          </cell>
          <cell r="C5055" t="str">
            <v>HD</v>
          </cell>
        </row>
        <row r="5056">
          <cell r="A5056" t="str">
            <v>HD SET BRJKT063-NAK</v>
          </cell>
          <cell r="B5056" t="str">
            <v>HEMODIALISA SET BPJS REUSE NON AK</v>
          </cell>
          <cell r="C5056" t="str">
            <v>HD</v>
          </cell>
        </row>
        <row r="5057">
          <cell r="A5057" t="str">
            <v>HD SET BRJKT063NAVAK</v>
          </cell>
          <cell r="B5057" t="str">
            <v>HEMODIALISA SET BPJS REUSE NON AV FISTULA &amp; AK</v>
          </cell>
          <cell r="C5057" t="str">
            <v>HD</v>
          </cell>
        </row>
        <row r="5058">
          <cell r="A5058" t="str">
            <v>HD SET BRJKT066</v>
          </cell>
          <cell r="B5058" t="str">
            <v>HEMODIALISA SET BPJS REUSE</v>
          </cell>
          <cell r="C5058" t="str">
            <v>HD</v>
          </cell>
        </row>
        <row r="5059">
          <cell r="A5059" t="str">
            <v>HD SET BRJKT066-NAVF</v>
          </cell>
          <cell r="B5059" t="str">
            <v>HEMODIALISA SET BPJS REUSE</v>
          </cell>
          <cell r="C5059" t="str">
            <v>HD</v>
          </cell>
        </row>
        <row r="5060">
          <cell r="A5060" t="str">
            <v>HD SET BRJKT067</v>
          </cell>
          <cell r="B5060" t="str">
            <v>HEMODIALISA SET BPJS REUSE</v>
          </cell>
          <cell r="C5060" t="str">
            <v>HD</v>
          </cell>
        </row>
        <row r="5061">
          <cell r="A5061" t="str">
            <v>HD SET BRJKT068</v>
          </cell>
          <cell r="B5061" t="str">
            <v>HEMODIALISA SET BPJS REUSE</v>
          </cell>
          <cell r="C5061" t="str">
            <v>HD</v>
          </cell>
        </row>
        <row r="5062">
          <cell r="A5062" t="str">
            <v>HD SET BRJKT069</v>
          </cell>
          <cell r="B5062" t="str">
            <v>HEMODIALISA SET BPJS REUSE</v>
          </cell>
          <cell r="C5062" t="str">
            <v>HD</v>
          </cell>
        </row>
        <row r="5063">
          <cell r="A5063" t="str">
            <v>HD SET BRJKT069-NAVF</v>
          </cell>
          <cell r="B5063" t="str">
            <v>HEMODIALISA SET BPJS REUSE NON AVFISTULA</v>
          </cell>
          <cell r="C5063" t="str">
            <v>HD</v>
          </cell>
        </row>
        <row r="5064">
          <cell r="A5064" t="str">
            <v>HD SET BRJKT070</v>
          </cell>
          <cell r="B5064" t="str">
            <v>HEMODIALISA SET BPJS REUSE</v>
          </cell>
          <cell r="C5064" t="str">
            <v>HD</v>
          </cell>
        </row>
        <row r="5065">
          <cell r="A5065" t="str">
            <v>HD SET BRJKT070-NAVF</v>
          </cell>
          <cell r="B5065" t="str">
            <v>HEMODIALISA SET BPJS REUSE NON AVFISTULA</v>
          </cell>
          <cell r="C5065" t="str">
            <v>HD</v>
          </cell>
        </row>
        <row r="5066">
          <cell r="A5066" t="str">
            <v>HD SET BRJKT071</v>
          </cell>
          <cell r="B5066" t="str">
            <v>HEMODIALISA SET BPJS REUSE</v>
          </cell>
          <cell r="C5066" t="str">
            <v>HD</v>
          </cell>
        </row>
        <row r="5067">
          <cell r="A5067" t="str">
            <v>HD SET BRJKT072</v>
          </cell>
          <cell r="B5067" t="str">
            <v>HEMODIALISA SET BPJS REUSE</v>
          </cell>
          <cell r="C5067" t="str">
            <v>HD</v>
          </cell>
        </row>
        <row r="5068">
          <cell r="A5068" t="str">
            <v>HD SET BRJKT073-NAV</v>
          </cell>
          <cell r="B5068" t="str">
            <v>HEMODIALISA SET BPJS REUSE</v>
          </cell>
          <cell r="C5068" t="str">
            <v>HD</v>
          </cell>
        </row>
        <row r="5069">
          <cell r="A5069" t="str">
            <v>HD SET BRJKT073-NAVF</v>
          </cell>
          <cell r="B5069" t="str">
            <v>HEMODIALISA SET BPJS REUSE</v>
          </cell>
          <cell r="C5069" t="str">
            <v>HD</v>
          </cell>
        </row>
        <row r="5070">
          <cell r="A5070" t="str">
            <v>HD SET BRJKT074</v>
          </cell>
          <cell r="B5070" t="str">
            <v>HEMODIALISA SET BPJS REUSE (B)</v>
          </cell>
          <cell r="C5070" t="str">
            <v>HD</v>
          </cell>
        </row>
        <row r="5071">
          <cell r="A5071" t="str">
            <v>HD SET BRJKT074-NAV</v>
          </cell>
          <cell r="B5071" t="str">
            <v>HEMODIALISA SET BPJS REUSE</v>
          </cell>
          <cell r="C5071" t="str">
            <v>HD</v>
          </cell>
        </row>
        <row r="5072">
          <cell r="A5072" t="str">
            <v>HD SET BRJKT074-NAVF</v>
          </cell>
          <cell r="B5072" t="str">
            <v>HEMODIALISA SET BPJS REUSE</v>
          </cell>
          <cell r="C5072" t="str">
            <v>HD</v>
          </cell>
        </row>
        <row r="5073">
          <cell r="A5073" t="str">
            <v>HD SET BRJKT075-NAVF</v>
          </cell>
          <cell r="B5073" t="str">
            <v>HEMODIALISA SET BPJS REUSE NON AVFISTULA</v>
          </cell>
          <cell r="C5073" t="str">
            <v>HD</v>
          </cell>
        </row>
        <row r="5074">
          <cell r="A5074" t="str">
            <v>HD SET BRJKT076</v>
          </cell>
          <cell r="B5074" t="str">
            <v>HEMODIALISA SET BPJS REUSE</v>
          </cell>
          <cell r="C5074" t="str">
            <v>HD</v>
          </cell>
        </row>
        <row r="5075">
          <cell r="A5075" t="str">
            <v>HD SET BRJKT077</v>
          </cell>
          <cell r="B5075" t="str">
            <v>HEMODIALISA SET BPJS REUSE</v>
          </cell>
          <cell r="C5075" t="str">
            <v>HD</v>
          </cell>
        </row>
        <row r="5076">
          <cell r="A5076" t="str">
            <v>HD SET BRJKT078</v>
          </cell>
          <cell r="B5076" t="str">
            <v>HEMODIALISA SET BPJS REUSE</v>
          </cell>
          <cell r="C5076" t="str">
            <v>HD</v>
          </cell>
        </row>
        <row r="5077">
          <cell r="A5077" t="str">
            <v>HD SET BRJKT079</v>
          </cell>
          <cell r="B5077" t="str">
            <v>HEMODIALISA SET BPJS REUSE</v>
          </cell>
          <cell r="C5077" t="str">
            <v>HD</v>
          </cell>
        </row>
        <row r="5078">
          <cell r="A5078" t="str">
            <v>HD SET BRJKT079-NAV</v>
          </cell>
          <cell r="B5078" t="str">
            <v>HEMODIALISA SET BPJS REUSE</v>
          </cell>
          <cell r="C5078" t="str">
            <v>HD</v>
          </cell>
        </row>
        <row r="5079">
          <cell r="A5079" t="str">
            <v>HD SET BRJKT079-NAVF</v>
          </cell>
          <cell r="B5079" t="str">
            <v>HEMODIALISA SET BPJS REUSE</v>
          </cell>
          <cell r="C5079" t="str">
            <v>HD</v>
          </cell>
        </row>
        <row r="5080">
          <cell r="A5080" t="str">
            <v>HD SET BRJKT080</v>
          </cell>
          <cell r="B5080" t="str">
            <v>HEMODIALISA SET BPJS REUSE</v>
          </cell>
          <cell r="C5080" t="str">
            <v>HD</v>
          </cell>
        </row>
        <row r="5081">
          <cell r="A5081" t="str">
            <v>HD SET BRJKT080-NAV</v>
          </cell>
          <cell r="B5081" t="str">
            <v>HEMODIALISA SET BPJS REUSE</v>
          </cell>
          <cell r="C5081" t="str">
            <v>HD</v>
          </cell>
        </row>
        <row r="5082">
          <cell r="A5082" t="str">
            <v>HD SET BRJKT080-NAVF</v>
          </cell>
          <cell r="B5082" t="str">
            <v>HEMODIALISA SET BPJS REUSE</v>
          </cell>
          <cell r="C5082" t="str">
            <v>HD</v>
          </cell>
        </row>
        <row r="5083">
          <cell r="A5083" t="str">
            <v>HD SET BRJKT081</v>
          </cell>
          <cell r="B5083" t="str">
            <v>HEMODIALISA SET BPJS REUSE</v>
          </cell>
          <cell r="C5083" t="str">
            <v>HD</v>
          </cell>
        </row>
        <row r="5084">
          <cell r="A5084" t="str">
            <v>HD SET BRJKT081-NAV</v>
          </cell>
          <cell r="B5084" t="str">
            <v>HEMODIALISA SET BPJS REUSE</v>
          </cell>
          <cell r="C5084" t="str">
            <v>HD</v>
          </cell>
        </row>
        <row r="5085">
          <cell r="A5085" t="str">
            <v>HD SET BRJKT081-NAVF</v>
          </cell>
          <cell r="B5085" t="str">
            <v>HEMODIALISA SET BPJS REUSE</v>
          </cell>
          <cell r="C5085" t="str">
            <v>HD</v>
          </cell>
        </row>
        <row r="5086">
          <cell r="A5086" t="str">
            <v>HD SET BRJKT082</v>
          </cell>
          <cell r="B5086" t="str">
            <v>HEMODIALISA SET BPJS REUSE</v>
          </cell>
          <cell r="C5086" t="str">
            <v>HD</v>
          </cell>
        </row>
        <row r="5087">
          <cell r="A5087" t="str">
            <v>HD SET BRJKT082-NAV</v>
          </cell>
          <cell r="B5087" t="str">
            <v>HEMODIALISA SET BPJS REUSE</v>
          </cell>
          <cell r="C5087" t="str">
            <v>HD</v>
          </cell>
        </row>
        <row r="5088">
          <cell r="A5088" t="str">
            <v>HD SET BRJKT082-NAVF</v>
          </cell>
          <cell r="B5088" t="str">
            <v>HEMODIALISA SET BPJS REUSE</v>
          </cell>
          <cell r="C5088" t="str">
            <v>HD</v>
          </cell>
        </row>
        <row r="5089">
          <cell r="A5089" t="str">
            <v>HD SET BRJKT083</v>
          </cell>
          <cell r="B5089" t="str">
            <v>HEMODIALISA SET BPJS REUSE</v>
          </cell>
          <cell r="C5089" t="str">
            <v>HD</v>
          </cell>
        </row>
        <row r="5090">
          <cell r="A5090" t="str">
            <v>HD SET BRJKT083-NAVF</v>
          </cell>
          <cell r="B5090" t="str">
            <v>HEMODIALISA SET BPJS REUSE NON AVFISTULA</v>
          </cell>
          <cell r="C5090" t="str">
            <v>HD</v>
          </cell>
        </row>
        <row r="5091">
          <cell r="A5091" t="str">
            <v>HD SET BRJKT084 NAK</v>
          </cell>
          <cell r="B5091" t="str">
            <v>HEMODIALISA SET BPJS REUSE</v>
          </cell>
          <cell r="C5091" t="str">
            <v>HD</v>
          </cell>
        </row>
        <row r="5092">
          <cell r="A5092" t="str">
            <v>HD SET BRJKT084 NAVF</v>
          </cell>
          <cell r="B5092" t="str">
            <v>HEMODIALISA SET BPJS REUSE NON AVFISTULA</v>
          </cell>
          <cell r="C5092" t="str">
            <v>HD</v>
          </cell>
        </row>
        <row r="5093">
          <cell r="A5093" t="str">
            <v>HD SET BRJKT084-NAK</v>
          </cell>
          <cell r="B5093" t="str">
            <v>HEMODIALISA SET BPJS REUSE</v>
          </cell>
          <cell r="C5093" t="str">
            <v>HD</v>
          </cell>
        </row>
        <row r="5094">
          <cell r="A5094" t="str">
            <v>HD SET BRJKT085</v>
          </cell>
          <cell r="B5094" t="str">
            <v>HEMODIALISA SET BPJS REUSE</v>
          </cell>
          <cell r="C5094" t="str">
            <v>HD</v>
          </cell>
        </row>
        <row r="5095">
          <cell r="A5095" t="str">
            <v>HD SET BRJKT085 NAT</v>
          </cell>
          <cell r="B5095" t="str">
            <v>HEMODIALISA SET BPJS REUSE</v>
          </cell>
          <cell r="C5095" t="str">
            <v>HD</v>
          </cell>
        </row>
        <row r="5096">
          <cell r="A5096" t="str">
            <v>HD SET BRJKT085-NAT</v>
          </cell>
          <cell r="B5096" t="str">
            <v>HEMODIALISA SET BPJS REUSE</v>
          </cell>
          <cell r="C5096" t="str">
            <v>HD</v>
          </cell>
        </row>
        <row r="5097">
          <cell r="A5097" t="str">
            <v>HD SET BRJKT085NAVAK</v>
          </cell>
          <cell r="B5097" t="str">
            <v>HEMODIALISA SET BPJS REUSE NON AV FISTULA &amp; AK</v>
          </cell>
          <cell r="C5097" t="str">
            <v>HD</v>
          </cell>
        </row>
        <row r="5098">
          <cell r="A5098" t="str">
            <v>HD SET BRJKT085-NAVF</v>
          </cell>
          <cell r="B5098" t="str">
            <v>HEMODIALISA SET BPJS REUSE NON AVFISTULA</v>
          </cell>
          <cell r="C5098" t="str">
            <v>HD</v>
          </cell>
        </row>
        <row r="5099">
          <cell r="A5099" t="str">
            <v>HD SET BRJKT086</v>
          </cell>
          <cell r="B5099" t="str">
            <v>HEMODIALISA SET BPJS REUSE</v>
          </cell>
          <cell r="C5099" t="str">
            <v>HD</v>
          </cell>
        </row>
        <row r="5100">
          <cell r="A5100" t="str">
            <v>HD SET BRJKT087</v>
          </cell>
          <cell r="B5100" t="str">
            <v>HEMODIALISA SET BPJS REUSE</v>
          </cell>
          <cell r="C5100" t="str">
            <v>HD</v>
          </cell>
        </row>
        <row r="5101">
          <cell r="A5101" t="str">
            <v>HD SET BRJKT087 NAVF</v>
          </cell>
          <cell r="B5101" t="str">
            <v>HEMODIALISA SET BPJS REUSE NON AVFISTULA</v>
          </cell>
          <cell r="C5101" t="str">
            <v>HD</v>
          </cell>
        </row>
        <row r="5102">
          <cell r="A5102" t="str">
            <v>HD SET BRJKT087-NAV</v>
          </cell>
          <cell r="B5102" t="str">
            <v>HEMODIALISA SET BPJS REUSE</v>
          </cell>
          <cell r="C5102" t="str">
            <v>HD</v>
          </cell>
        </row>
        <row r="5103">
          <cell r="A5103" t="str">
            <v>HD SET BRJKT088</v>
          </cell>
          <cell r="B5103" t="str">
            <v>HEMODIALISA SET BPJS REUSE</v>
          </cell>
          <cell r="C5103" t="str">
            <v>HD</v>
          </cell>
        </row>
        <row r="5104">
          <cell r="A5104" t="str">
            <v>HD SET BRJKT088 NAVF</v>
          </cell>
          <cell r="B5104" t="str">
            <v>HEMODIALISA SET BPJS REUSE NON AVFISTULA</v>
          </cell>
          <cell r="C5104" t="str">
            <v>HD</v>
          </cell>
        </row>
        <row r="5105">
          <cell r="A5105" t="str">
            <v>HD SET BRJKT088NAFAT</v>
          </cell>
          <cell r="B5105" t="str">
            <v>HEMODIALISA SET BPJS REUSE</v>
          </cell>
          <cell r="C5105" t="str">
            <v>HD</v>
          </cell>
        </row>
        <row r="5106">
          <cell r="A5106" t="str">
            <v>HD SET BRJKT088-NAK</v>
          </cell>
          <cell r="B5106" t="str">
            <v>HEMODIALISA SET BPJS REUSE NON AK</v>
          </cell>
          <cell r="C5106" t="str">
            <v>HD</v>
          </cell>
        </row>
        <row r="5107">
          <cell r="A5107" t="str">
            <v>HD SET BRJKT088-NAV</v>
          </cell>
          <cell r="B5107" t="str">
            <v>HEMODIALISA SET BPJS REUSE</v>
          </cell>
          <cell r="C5107" t="str">
            <v>HD</v>
          </cell>
        </row>
        <row r="5108">
          <cell r="A5108" t="str">
            <v>HD SET BRJKT088-NVT</v>
          </cell>
          <cell r="B5108" t="str">
            <v>HEMODIALISA SET BPJS REUSE</v>
          </cell>
          <cell r="C5108" t="str">
            <v>HD</v>
          </cell>
        </row>
        <row r="5109">
          <cell r="A5109" t="str">
            <v>HD SET BRJKT089</v>
          </cell>
          <cell r="B5109" t="str">
            <v>HEMODIALISA SET BPJS REUSE</v>
          </cell>
          <cell r="C5109" t="str">
            <v>HD</v>
          </cell>
        </row>
        <row r="5110">
          <cell r="A5110" t="str">
            <v>HD SET BRJKT089 NAVF</v>
          </cell>
          <cell r="B5110" t="str">
            <v>HEMODIALISA SET BPJS REUSE</v>
          </cell>
          <cell r="C5110" t="str">
            <v>HD</v>
          </cell>
        </row>
        <row r="5111">
          <cell r="A5111" t="str">
            <v>HD SET BRJKT089-NAV</v>
          </cell>
          <cell r="B5111" t="str">
            <v>HEMODIALISA SET BPJS REUSE</v>
          </cell>
          <cell r="C5111" t="str">
            <v>HD</v>
          </cell>
        </row>
        <row r="5112">
          <cell r="A5112" t="str">
            <v>HD SET BRJKT090 NAVF</v>
          </cell>
          <cell r="B5112" t="str">
            <v>HEMODIALISA SET BPJS REUSE</v>
          </cell>
          <cell r="C5112" t="str">
            <v>HD</v>
          </cell>
        </row>
        <row r="5113">
          <cell r="A5113" t="str">
            <v>HD SET BRJKT090-NAV</v>
          </cell>
          <cell r="B5113" t="str">
            <v>HEMODIALISA SET BPJS REUSE</v>
          </cell>
          <cell r="C5113" t="str">
            <v>HD</v>
          </cell>
        </row>
        <row r="5114">
          <cell r="A5114" t="str">
            <v>HD SET BRJKT091NAKAT</v>
          </cell>
          <cell r="B5114" t="str">
            <v>HEMODIALISA SET BPJS REUSE</v>
          </cell>
          <cell r="C5114" t="str">
            <v>HD</v>
          </cell>
        </row>
        <row r="5115">
          <cell r="A5115" t="str">
            <v>HD SET BRJKT092</v>
          </cell>
          <cell r="B5115" t="str">
            <v>HEMODIALISA SET BPJS REUSE</v>
          </cell>
          <cell r="C5115" t="str">
            <v>HD</v>
          </cell>
        </row>
        <row r="5116">
          <cell r="A5116" t="str">
            <v>HD SET BRJKT092-NAVF</v>
          </cell>
          <cell r="B5116" t="str">
            <v>HEMODIALISA SET BPJS REUSE NON AVFISTULA</v>
          </cell>
          <cell r="C5116" t="str">
            <v>HD</v>
          </cell>
        </row>
        <row r="5117">
          <cell r="A5117" t="str">
            <v>HD SET BRJKT094</v>
          </cell>
          <cell r="B5117" t="str">
            <v>HEMODIALISA SET BPJS REUSE</v>
          </cell>
          <cell r="C5117" t="str">
            <v>HD</v>
          </cell>
        </row>
        <row r="5118">
          <cell r="A5118" t="str">
            <v>HD SET BRJKT094-NAVF</v>
          </cell>
          <cell r="B5118" t="str">
            <v>HEMODIALISA SET BPJS REUSE NON AVFISTULA</v>
          </cell>
          <cell r="C5118" t="str">
            <v>HD</v>
          </cell>
        </row>
        <row r="5119">
          <cell r="A5119" t="str">
            <v>HD SET BRJKT095</v>
          </cell>
          <cell r="B5119" t="str">
            <v>HEMODIALISA SET BPJS REUSE</v>
          </cell>
          <cell r="C5119" t="str">
            <v>HD</v>
          </cell>
        </row>
        <row r="5120">
          <cell r="A5120" t="str">
            <v>HD SET BRJKT095-NAVF</v>
          </cell>
          <cell r="B5120" t="str">
            <v>HEMODIALISA SET BPJS REUSE NON AVFISTULA</v>
          </cell>
          <cell r="C5120" t="str">
            <v>HD</v>
          </cell>
        </row>
        <row r="5121">
          <cell r="A5121" t="str">
            <v>HD SET BRJKT096</v>
          </cell>
          <cell r="B5121" t="str">
            <v>HEMODIALISA SET BPJS REUSE</v>
          </cell>
          <cell r="C5121" t="str">
            <v>HD</v>
          </cell>
        </row>
        <row r="5122">
          <cell r="A5122" t="str">
            <v>HD SET BRJKT097-NAV</v>
          </cell>
          <cell r="B5122" t="str">
            <v>HEMODIALISA SET BPJS REUSE</v>
          </cell>
          <cell r="C5122" t="str">
            <v>HD</v>
          </cell>
        </row>
        <row r="5123">
          <cell r="A5123" t="str">
            <v>HD SET BRJKT098-ANAK</v>
          </cell>
          <cell r="B5123" t="str">
            <v>HEMODIALISA SET REUSE ANAK NON AVF</v>
          </cell>
          <cell r="C5123" t="str">
            <v>HD</v>
          </cell>
        </row>
        <row r="5124">
          <cell r="A5124" t="str">
            <v>HD SET BRJKT098-NAV</v>
          </cell>
          <cell r="B5124" t="str">
            <v>HEMODIALISA SET BPJS REUSE</v>
          </cell>
          <cell r="C5124" t="str">
            <v>HD</v>
          </cell>
        </row>
        <row r="5125">
          <cell r="A5125" t="str">
            <v>HD SET BRJKT099</v>
          </cell>
          <cell r="B5125" t="str">
            <v>HEMODIALISA SET BPJS REUSE</v>
          </cell>
          <cell r="C5125" t="str">
            <v>HD</v>
          </cell>
        </row>
        <row r="5126">
          <cell r="A5126" t="str">
            <v>HD SET BRJKT099-NAV</v>
          </cell>
          <cell r="B5126" t="str">
            <v>HEMODIALISA SET BPJS REUSE</v>
          </cell>
          <cell r="C5126" t="str">
            <v>HD</v>
          </cell>
        </row>
        <row r="5127">
          <cell r="A5127" t="str">
            <v>HD SET BRJKT099-NEAK</v>
          </cell>
          <cell r="B5127" t="str">
            <v>HEMODIALISA SET BPJS REUSE NON ELISIO &amp; AK</v>
          </cell>
          <cell r="C5127" t="str">
            <v>HD</v>
          </cell>
        </row>
        <row r="5128">
          <cell r="A5128" t="str">
            <v>HD SET BRJKT106-NAVF</v>
          </cell>
          <cell r="B5128" t="str">
            <v>HEMODIALISA SET BPJS LENGKAP</v>
          </cell>
          <cell r="C5128" t="str">
            <v>HD</v>
          </cell>
        </row>
        <row r="5129">
          <cell r="A5129" t="str">
            <v>HD SET BRJKT107-NAVF</v>
          </cell>
          <cell r="B5129" t="str">
            <v>HEMODIALISA SET BPJS LENGKAP</v>
          </cell>
          <cell r="C5129" t="str">
            <v>HD</v>
          </cell>
        </row>
        <row r="5130">
          <cell r="A5130" t="str">
            <v>HD SET BRJKT108-NAVF</v>
          </cell>
          <cell r="B5130" t="str">
            <v>HEMODIALISA SET BPJS LENGKAP</v>
          </cell>
          <cell r="C5130" t="str">
            <v>HD</v>
          </cell>
        </row>
        <row r="5131">
          <cell r="A5131" t="str">
            <v>HD SET BRJKT109-NAVF</v>
          </cell>
          <cell r="B5131" t="str">
            <v>HEMODIALISA SET BPJS LENGKAP</v>
          </cell>
          <cell r="C5131" t="str">
            <v>HD</v>
          </cell>
        </row>
        <row r="5132">
          <cell r="A5132" t="str">
            <v>HD SET BRJKT110-NAVF</v>
          </cell>
          <cell r="B5132" t="str">
            <v>HEMODIALISA SET BPJS REUSE</v>
          </cell>
          <cell r="C5132" t="str">
            <v>HD</v>
          </cell>
        </row>
        <row r="5133">
          <cell r="A5133" t="str">
            <v>HD SET BRJKT111-NAVF</v>
          </cell>
          <cell r="B5133" t="str">
            <v>HEMODIALISA SET BPJS REUSE NON AVF</v>
          </cell>
          <cell r="C5133" t="str">
            <v>HD</v>
          </cell>
        </row>
        <row r="5134">
          <cell r="A5134" t="str">
            <v>HD SET BRJKT111-NTK</v>
          </cell>
          <cell r="B5134" t="str">
            <v>HEMODIALISA SET BPJS REUSE NON BICARBONAT</v>
          </cell>
          <cell r="C5134" t="str">
            <v>HD</v>
          </cell>
        </row>
        <row r="5135">
          <cell r="A5135" t="str">
            <v>HD SET BRJKT112</v>
          </cell>
          <cell r="B5135" t="str">
            <v>HEMODIALISA SET BPJS REUSE</v>
          </cell>
          <cell r="C5135" t="str">
            <v>HD</v>
          </cell>
        </row>
        <row r="5136">
          <cell r="A5136" t="str">
            <v>HD SET BRJKT112-NAVF</v>
          </cell>
          <cell r="B5136" t="str">
            <v>HEMODIALISA SET BPJS REUSE NON AVF</v>
          </cell>
          <cell r="C5136" t="str">
            <v>HD</v>
          </cell>
        </row>
        <row r="5137">
          <cell r="A5137" t="str">
            <v>HD SET BRJKT113-NAVF</v>
          </cell>
          <cell r="B5137" t="str">
            <v>HEMODIALISA SET BPJS REUSE NON AVF</v>
          </cell>
          <cell r="C5137" t="str">
            <v>HD</v>
          </cell>
        </row>
        <row r="5138">
          <cell r="A5138" t="str">
            <v>HD SET BRJKT114-NAVF</v>
          </cell>
          <cell r="B5138" t="str">
            <v>HEMODIALISA SET BPJS REUSE NON AVF</v>
          </cell>
          <cell r="C5138" t="str">
            <v>HD</v>
          </cell>
        </row>
        <row r="5139">
          <cell r="A5139" t="str">
            <v>HD SET BRJKT117-NAVF</v>
          </cell>
          <cell r="B5139" t="str">
            <v>HEMODIALISA SET BPJS REUSE NON AVF</v>
          </cell>
          <cell r="C5139" t="str">
            <v>HD</v>
          </cell>
        </row>
        <row r="5140">
          <cell r="A5140" t="str">
            <v>HD SET BRJKT118-NAK</v>
          </cell>
          <cell r="B5140" t="str">
            <v>HEMODIALISA SET BPJS REUSE NON ACID</v>
          </cell>
          <cell r="C5140" t="str">
            <v>HD</v>
          </cell>
        </row>
        <row r="5141">
          <cell r="A5141" t="str">
            <v>HD SET BRJKT119-NAVF</v>
          </cell>
          <cell r="B5141" t="str">
            <v>HEMODIALISA SET BPJS REUSE NON AVISTULA</v>
          </cell>
          <cell r="C5141" t="str">
            <v>HD</v>
          </cell>
        </row>
        <row r="5142">
          <cell r="A5142" t="str">
            <v>HD SET BRJKT120-NAVF</v>
          </cell>
          <cell r="B5142" t="str">
            <v>HEMODIALISA SET BPJS REUSE NON AVISTULA</v>
          </cell>
          <cell r="C5142" t="str">
            <v>HD</v>
          </cell>
        </row>
        <row r="5143">
          <cell r="A5143" t="str">
            <v>HD SET BRLPG001</v>
          </cell>
          <cell r="B5143" t="str">
            <v>HEMODIALISA SET BPJS REUSE</v>
          </cell>
          <cell r="C5143" t="str">
            <v>HD</v>
          </cell>
        </row>
        <row r="5144">
          <cell r="A5144" t="str">
            <v>HD SET BRLPG001 NAK</v>
          </cell>
          <cell r="B5144" t="str">
            <v>HEMODIALISA SET BPJS REUSE</v>
          </cell>
          <cell r="C5144" t="str">
            <v>HD</v>
          </cell>
        </row>
        <row r="5145">
          <cell r="A5145" t="str">
            <v>HD SET BRLPG001-NAK</v>
          </cell>
          <cell r="B5145" t="str">
            <v>HEMODIALISA SET BPJS REUSE NON AK</v>
          </cell>
          <cell r="C5145" t="str">
            <v>HD</v>
          </cell>
        </row>
        <row r="5146">
          <cell r="A5146" t="str">
            <v>HD SET BRLPG001-NAT</v>
          </cell>
          <cell r="B5146" t="str">
            <v>HEMODIALISA SET BPJS REUSE NON AT</v>
          </cell>
          <cell r="C5146" t="str">
            <v>HD</v>
          </cell>
        </row>
        <row r="5147">
          <cell r="A5147" t="str">
            <v>HD SET BRLPG001NAVAK</v>
          </cell>
          <cell r="B5147" t="str">
            <v>HEMODIALISA SET BPJS REUSE</v>
          </cell>
          <cell r="C5147" t="str">
            <v>HD</v>
          </cell>
        </row>
        <row r="5148">
          <cell r="A5148" t="str">
            <v>HD SET BRLPG001NAVBL</v>
          </cell>
          <cell r="B5148" t="str">
            <v>HEMODIALISA SET BPJS REUSE</v>
          </cell>
          <cell r="C5148" t="str">
            <v>HD</v>
          </cell>
        </row>
        <row r="5149">
          <cell r="A5149" t="str">
            <v>HD SET BRLPG001-NAVF</v>
          </cell>
          <cell r="B5149" t="str">
            <v>HEMODIALISA SET BPJS REUSE</v>
          </cell>
          <cell r="C5149" t="str">
            <v>HD</v>
          </cell>
        </row>
        <row r="5150">
          <cell r="A5150" t="str">
            <v>HD SET BRLPG001-NVK</v>
          </cell>
          <cell r="B5150" t="str">
            <v>HEMODIALISA SET BPJS REUSE</v>
          </cell>
          <cell r="C5150" t="str">
            <v>HD</v>
          </cell>
        </row>
        <row r="5151">
          <cell r="A5151" t="str">
            <v>HD SET BRLPG002</v>
          </cell>
          <cell r="B5151" t="str">
            <v>HEMODIALISA SET BPJS REUSE</v>
          </cell>
          <cell r="C5151" t="str">
            <v>HD</v>
          </cell>
        </row>
        <row r="5152">
          <cell r="A5152" t="str">
            <v>HD SET BRLPG003</v>
          </cell>
          <cell r="B5152" t="str">
            <v>HEMODIALISA SET BPJS REUSE</v>
          </cell>
          <cell r="C5152" t="str">
            <v>HD</v>
          </cell>
        </row>
        <row r="5153">
          <cell r="A5153" t="str">
            <v>HD SET BRLPG003BT+AK</v>
          </cell>
          <cell r="B5153" t="str">
            <v>HEMODIALISA SET BPJS REUSE BLOOD TUBING DAN AK10</v>
          </cell>
          <cell r="C5153" t="str">
            <v>HD</v>
          </cell>
        </row>
        <row r="5154">
          <cell r="A5154" t="str">
            <v>HD SET BRLPG003-NAVF</v>
          </cell>
          <cell r="B5154" t="str">
            <v>HEMODIALISA SET BPJS REUSE NON AVFISTULA</v>
          </cell>
          <cell r="C5154" t="str">
            <v>HD</v>
          </cell>
        </row>
        <row r="5155">
          <cell r="A5155" t="str">
            <v>HD SET BRLPG004</v>
          </cell>
          <cell r="B5155" t="str">
            <v>HEMODIALISA SET BPJS REUSE</v>
          </cell>
          <cell r="C5155" t="str">
            <v>HD</v>
          </cell>
        </row>
        <row r="5156">
          <cell r="A5156" t="str">
            <v>HD SET BRLPG005</v>
          </cell>
          <cell r="B5156" t="str">
            <v>HEMODIALISA SET BPJS REUSE</v>
          </cell>
          <cell r="C5156" t="str">
            <v>HD</v>
          </cell>
        </row>
        <row r="5157">
          <cell r="A5157" t="str">
            <v>HD SET BRLPG005-NAVF</v>
          </cell>
          <cell r="B5157" t="str">
            <v>HEMODIALISA SET BPJS REUSE NON AVFISTULA</v>
          </cell>
          <cell r="C5157" t="str">
            <v>HD</v>
          </cell>
        </row>
        <row r="5158">
          <cell r="A5158" t="str">
            <v>HD SET BRLPG006</v>
          </cell>
          <cell r="B5158" t="str">
            <v>HEMODIALISA SET BPJS REUSE</v>
          </cell>
          <cell r="C5158" t="str">
            <v>HD</v>
          </cell>
        </row>
        <row r="5159">
          <cell r="A5159" t="str">
            <v>HD SET BRLPG006-NAVF</v>
          </cell>
          <cell r="B5159" t="str">
            <v>HEMODIALISA SET BPJS REUSE NON AVFISTULA</v>
          </cell>
          <cell r="C5159" t="str">
            <v>HD</v>
          </cell>
        </row>
        <row r="5160">
          <cell r="A5160" t="str">
            <v>HD SET BRLPG008</v>
          </cell>
          <cell r="B5160" t="str">
            <v>HEMODIALISA SET BPJS REUSE</v>
          </cell>
          <cell r="C5160" t="str">
            <v>HD</v>
          </cell>
        </row>
        <row r="5161">
          <cell r="A5161" t="str">
            <v>HD SET BRLPG008-NAVF</v>
          </cell>
          <cell r="B5161" t="str">
            <v>HEMODIALISA SET BPJS REUSE NON AVFISTULA</v>
          </cell>
          <cell r="C5161" t="str">
            <v>HD</v>
          </cell>
        </row>
        <row r="5162">
          <cell r="A5162" t="str">
            <v>HD SET BRLPG009</v>
          </cell>
          <cell r="B5162" t="str">
            <v>HEMODIALISA SET BPJS REUSE</v>
          </cell>
          <cell r="C5162" t="str">
            <v>HD</v>
          </cell>
        </row>
        <row r="5163">
          <cell r="A5163" t="str">
            <v>HD SET BRLPG009-NAVF</v>
          </cell>
          <cell r="B5163" t="str">
            <v>HEMODIALISA SET BPJS REUSE</v>
          </cell>
          <cell r="C5163" t="str">
            <v>HD</v>
          </cell>
        </row>
        <row r="5164">
          <cell r="A5164" t="str">
            <v>HD SET BRLPG010</v>
          </cell>
          <cell r="B5164" t="str">
            <v>HEMODIALISA SET BPJS REUSE</v>
          </cell>
          <cell r="C5164" t="str">
            <v>HD</v>
          </cell>
        </row>
        <row r="5165">
          <cell r="A5165" t="str">
            <v>HD SET BRLPG011</v>
          </cell>
          <cell r="B5165" t="str">
            <v>HEMODIALISA SET BPJS REUSE</v>
          </cell>
          <cell r="C5165" t="str">
            <v>HD</v>
          </cell>
        </row>
        <row r="5166">
          <cell r="A5166" t="str">
            <v>HD SET BRLPG012</v>
          </cell>
          <cell r="B5166" t="str">
            <v>HEMODIALISA SET BPJS REUSE</v>
          </cell>
          <cell r="C5166" t="str">
            <v>HD</v>
          </cell>
        </row>
        <row r="5167">
          <cell r="A5167" t="str">
            <v>HD SET BRLPG012-NAVF</v>
          </cell>
          <cell r="B5167" t="str">
            <v>HEMODIALISA SET BPJS REUSE NON AV FISTULA</v>
          </cell>
          <cell r="C5167" t="str">
            <v>HD</v>
          </cell>
        </row>
        <row r="5168">
          <cell r="A5168" t="str">
            <v>HD SET BRLPG013</v>
          </cell>
          <cell r="B5168" t="str">
            <v>HEMODIALISA SET BPJS REUSE</v>
          </cell>
          <cell r="C5168" t="str">
            <v>HD</v>
          </cell>
        </row>
        <row r="5169">
          <cell r="A5169" t="str">
            <v>HD SET BRLPG014</v>
          </cell>
          <cell r="B5169" t="str">
            <v>HEMODIALISA SET BPJS REUSE</v>
          </cell>
          <cell r="C5169" t="str">
            <v>HD</v>
          </cell>
        </row>
        <row r="5170">
          <cell r="A5170" t="str">
            <v>HD SET BRLPG014-NAK</v>
          </cell>
          <cell r="B5170" t="str">
            <v>HEMODIALISA SET BPJS REUSE (PAKET 1)</v>
          </cell>
          <cell r="C5170" t="str">
            <v>HD</v>
          </cell>
        </row>
        <row r="5171">
          <cell r="A5171" t="str">
            <v>HD SET BRLPG014-NAVF</v>
          </cell>
          <cell r="B5171" t="str">
            <v>HEMODIALISA SET BPJS REUSE (PAKET II)</v>
          </cell>
          <cell r="C5171" t="str">
            <v>HD</v>
          </cell>
        </row>
        <row r="5172">
          <cell r="A5172" t="str">
            <v>HD SET BRLPG015</v>
          </cell>
          <cell r="B5172" t="str">
            <v>HEMODIALISA SET BPJS REUSE</v>
          </cell>
          <cell r="C5172" t="str">
            <v>HD</v>
          </cell>
        </row>
        <row r="5173">
          <cell r="A5173" t="str">
            <v>HD SET BRLPG017</v>
          </cell>
          <cell r="B5173" t="str">
            <v>HEMODIALISA SET BPJS REUSE</v>
          </cell>
          <cell r="C5173" t="str">
            <v>HD</v>
          </cell>
        </row>
        <row r="5174">
          <cell r="A5174" t="str">
            <v>HD SET BRLPG018</v>
          </cell>
          <cell r="B5174" t="str">
            <v>HEMODIALISA SET BPJS REUSE</v>
          </cell>
          <cell r="C5174" t="str">
            <v>HD</v>
          </cell>
        </row>
        <row r="5175">
          <cell r="A5175" t="str">
            <v>HD SET BRLPG021</v>
          </cell>
          <cell r="B5175" t="str">
            <v>HEMODIALISA SET BPJS REUSE</v>
          </cell>
          <cell r="C5175" t="str">
            <v>HD</v>
          </cell>
        </row>
        <row r="5176">
          <cell r="A5176" t="str">
            <v>HD SET BRLPG023</v>
          </cell>
          <cell r="B5176" t="str">
            <v>HEMODIALISA SET BPJS REUSE</v>
          </cell>
          <cell r="C5176" t="str">
            <v>HD</v>
          </cell>
        </row>
        <row r="5177">
          <cell r="A5177" t="str">
            <v>HD SET BRLPG024</v>
          </cell>
          <cell r="B5177" t="str">
            <v>HEMODIALISA SET BPJS REUSE</v>
          </cell>
          <cell r="C5177" t="str">
            <v>HD</v>
          </cell>
        </row>
        <row r="5178">
          <cell r="A5178" t="str">
            <v>HD SET BRLPG025</v>
          </cell>
          <cell r="B5178" t="str">
            <v>HEMODIALISA SET BPJS REUSE</v>
          </cell>
          <cell r="C5178" t="str">
            <v>HD</v>
          </cell>
        </row>
        <row r="5179">
          <cell r="A5179" t="str">
            <v>HD SET BRLPG027</v>
          </cell>
          <cell r="B5179" t="str">
            <v>HEMODIALISA SET BPJS REUSE</v>
          </cell>
          <cell r="C5179" t="str">
            <v>HD</v>
          </cell>
        </row>
        <row r="5180">
          <cell r="A5180" t="str">
            <v>HD SET BRLPG027-NAVF</v>
          </cell>
          <cell r="B5180" t="str">
            <v>HEMODIALISA SET BPJS REUSE NON AVFISTULA</v>
          </cell>
          <cell r="C5180" t="str">
            <v>HD</v>
          </cell>
        </row>
        <row r="5181">
          <cell r="A5181" t="str">
            <v>HD SET BRLPG028</v>
          </cell>
          <cell r="B5181" t="str">
            <v>HEMODIALISA SET BPJS REUSE</v>
          </cell>
          <cell r="C5181" t="str">
            <v>HD</v>
          </cell>
        </row>
        <row r="5182">
          <cell r="A5182" t="str">
            <v>HD SET BRLPG028NAVAK</v>
          </cell>
          <cell r="B5182" t="str">
            <v>HEMODIALISA SET BPJS REUSE NON AVFISTULA &amp; AK</v>
          </cell>
          <cell r="C5182" t="str">
            <v>HD</v>
          </cell>
        </row>
        <row r="5183">
          <cell r="A5183" t="str">
            <v>HD SET BRLPG028-NAVF</v>
          </cell>
          <cell r="B5183" t="str">
            <v>HEMODIALISA SET BPJS REUSE NON AVFISTULA</v>
          </cell>
          <cell r="C5183" t="str">
            <v>HD</v>
          </cell>
        </row>
        <row r="5184">
          <cell r="A5184" t="str">
            <v>HD SET BRLPG029</v>
          </cell>
          <cell r="B5184" t="str">
            <v>HEMODIALISA SET BPJS REUSE</v>
          </cell>
          <cell r="C5184" t="str">
            <v>HD</v>
          </cell>
        </row>
        <row r="5185">
          <cell r="A5185" t="str">
            <v>HD SET BRLPG029-NAVF</v>
          </cell>
          <cell r="B5185" t="str">
            <v>HEMODIALISA SET BPJS REUSE NON AVFISTULA</v>
          </cell>
          <cell r="C5185" t="str">
            <v>HD</v>
          </cell>
        </row>
        <row r="5186">
          <cell r="A5186" t="str">
            <v>HD SET BRLPG031</v>
          </cell>
          <cell r="B5186" t="str">
            <v>HEMODIALISA SET BPJS REUSE</v>
          </cell>
          <cell r="C5186" t="str">
            <v>HD</v>
          </cell>
        </row>
        <row r="5187">
          <cell r="A5187" t="str">
            <v>HD SET BRLPG031-NAVF</v>
          </cell>
          <cell r="B5187" t="str">
            <v>HEMODIALISA SET BPJS REUSE NON AVFISTULA</v>
          </cell>
          <cell r="C5187" t="str">
            <v>HD</v>
          </cell>
        </row>
        <row r="5188">
          <cell r="A5188" t="str">
            <v>HD SET BRLPG032</v>
          </cell>
          <cell r="B5188" t="str">
            <v>HEMODIALISA SET BPJS REUSE</v>
          </cell>
          <cell r="C5188" t="str">
            <v>HD</v>
          </cell>
        </row>
        <row r="5189">
          <cell r="A5189" t="str">
            <v>HD SET BRLPG032-NAVF</v>
          </cell>
          <cell r="B5189" t="str">
            <v>HEMODIALISA SET BPJS REUSE NON AVFISTULA</v>
          </cell>
          <cell r="C5189" t="str">
            <v>HD</v>
          </cell>
        </row>
        <row r="5190">
          <cell r="A5190" t="str">
            <v>HD SET BRLPG033</v>
          </cell>
          <cell r="B5190" t="str">
            <v>HEMODIALISA SET BPJS REUSE</v>
          </cell>
          <cell r="C5190" t="str">
            <v>HD</v>
          </cell>
        </row>
        <row r="5191">
          <cell r="A5191" t="str">
            <v>HD SET BRLPG034</v>
          </cell>
          <cell r="B5191" t="str">
            <v>HEMODIALISA SET BPJS REUSE</v>
          </cell>
          <cell r="C5191" t="str">
            <v>HD</v>
          </cell>
        </row>
        <row r="5192">
          <cell r="A5192" t="str">
            <v>HD SET BRLPG034-NAVF</v>
          </cell>
          <cell r="B5192" t="str">
            <v>HEMODIALISA SET BPJS REUSE NON AVFISTULA</v>
          </cell>
          <cell r="C5192" t="str">
            <v>HD</v>
          </cell>
        </row>
        <row r="5193">
          <cell r="A5193" t="str">
            <v>HD SET BRLPG035</v>
          </cell>
          <cell r="B5193" t="str">
            <v>HEMODIALISA SET BPJS REUSE</v>
          </cell>
          <cell r="C5193" t="str">
            <v>HD</v>
          </cell>
        </row>
        <row r="5194">
          <cell r="A5194" t="str">
            <v>HD SET BRLPG035-NAVF</v>
          </cell>
          <cell r="B5194" t="str">
            <v>HEMODIALISA SET BPJS REUSE NON AVFISTULA</v>
          </cell>
          <cell r="C5194" t="str">
            <v>HD</v>
          </cell>
        </row>
        <row r="5195">
          <cell r="A5195" t="str">
            <v>HD SET BRMDN001</v>
          </cell>
          <cell r="B5195" t="str">
            <v>HEMODIALISA SET BPJS REUSE</v>
          </cell>
          <cell r="C5195" t="str">
            <v>HD</v>
          </cell>
        </row>
        <row r="5196">
          <cell r="A5196" t="str">
            <v>HD SET BRMDN002</v>
          </cell>
          <cell r="B5196" t="str">
            <v>HEMODIALISA SET BPJS REUSE</v>
          </cell>
          <cell r="C5196" t="str">
            <v>HD</v>
          </cell>
        </row>
        <row r="5197">
          <cell r="A5197" t="str">
            <v>HD SET BRMDN002-NAVF</v>
          </cell>
          <cell r="B5197" t="str">
            <v>HEMODIALISA SET BPJS REUSE NON AVFISTULA</v>
          </cell>
          <cell r="C5197" t="str">
            <v>HD</v>
          </cell>
        </row>
        <row r="5198">
          <cell r="A5198" t="str">
            <v>HD SET BRMDN003</v>
          </cell>
          <cell r="B5198" t="str">
            <v>HEMODIALISA SET BPJS REUSE</v>
          </cell>
          <cell r="C5198" t="str">
            <v>HD</v>
          </cell>
        </row>
        <row r="5199">
          <cell r="A5199" t="str">
            <v>HD SET BRMDN004</v>
          </cell>
          <cell r="B5199" t="str">
            <v>HEMODIALISA SET BPJS REUSE</v>
          </cell>
          <cell r="C5199" t="str">
            <v>HD</v>
          </cell>
        </row>
        <row r="5200">
          <cell r="A5200" t="str">
            <v>HD SET BRMDN004-NAVF</v>
          </cell>
          <cell r="B5200" t="str">
            <v>HEMODIALISA SET BPJS REUSE NON AVFISTULA</v>
          </cell>
          <cell r="C5200" t="str">
            <v>HD</v>
          </cell>
        </row>
        <row r="5201">
          <cell r="A5201" t="str">
            <v>HD SET BRMDN005</v>
          </cell>
          <cell r="B5201" t="str">
            <v>HEMODIALISA SET BPJS REUSE</v>
          </cell>
          <cell r="C5201" t="str">
            <v>HD</v>
          </cell>
        </row>
        <row r="5202">
          <cell r="A5202" t="str">
            <v>HD SET BRMDN005NATAK</v>
          </cell>
          <cell r="B5202" t="str">
            <v>HEMODIALISA SET BPJS REUSE NON AT &amp; AK</v>
          </cell>
          <cell r="C5202" t="str">
            <v>HD</v>
          </cell>
        </row>
        <row r="5203">
          <cell r="A5203" t="str">
            <v>HD SET BRMDN006</v>
          </cell>
          <cell r="B5203" t="str">
            <v>HEMODIALISA SET BPJS REUSE</v>
          </cell>
          <cell r="C5203" t="str">
            <v>HD</v>
          </cell>
        </row>
        <row r="5204">
          <cell r="A5204" t="str">
            <v>HD SET BRMDN007</v>
          </cell>
          <cell r="B5204" t="str">
            <v>HEMODIALISA SET BPJS REUSE</v>
          </cell>
          <cell r="C5204" t="str">
            <v>HD</v>
          </cell>
        </row>
        <row r="5205">
          <cell r="A5205" t="str">
            <v>HD SET BRMDN008</v>
          </cell>
          <cell r="B5205" t="str">
            <v>HEMODIALISA SET BPJS REUSE</v>
          </cell>
          <cell r="C5205" t="str">
            <v>HD</v>
          </cell>
        </row>
        <row r="5206">
          <cell r="A5206" t="str">
            <v>HD SET BRMDN009</v>
          </cell>
          <cell r="B5206" t="str">
            <v>HEMODIALISA SET BPJS REUSE</v>
          </cell>
          <cell r="C5206" t="str">
            <v>HD</v>
          </cell>
        </row>
        <row r="5207">
          <cell r="A5207" t="str">
            <v>HD SET BRMDN009-ATAK</v>
          </cell>
          <cell r="B5207" t="str">
            <v>HEMODIALISA SET BPJS REUSE AK &amp; AT</v>
          </cell>
          <cell r="C5207" t="str">
            <v>HD</v>
          </cell>
        </row>
        <row r="5208">
          <cell r="A5208" t="str">
            <v>HD SET BRMDN010</v>
          </cell>
          <cell r="B5208" t="str">
            <v>HEMODIALISA SET BPJS REUSE</v>
          </cell>
          <cell r="C5208" t="str">
            <v>HD</v>
          </cell>
        </row>
        <row r="5209">
          <cell r="A5209" t="str">
            <v>HD SET BRMDN011</v>
          </cell>
          <cell r="B5209" t="str">
            <v>HEMODIALISA SET BPJS REUSE</v>
          </cell>
          <cell r="C5209" t="str">
            <v>HD</v>
          </cell>
        </row>
        <row r="5210">
          <cell r="A5210" t="str">
            <v>HD SET BRMDN012</v>
          </cell>
          <cell r="B5210" t="str">
            <v>HEMODIALISA SET BPJS REUSE</v>
          </cell>
          <cell r="C5210" t="str">
            <v>HD</v>
          </cell>
        </row>
        <row r="5211">
          <cell r="A5211" t="str">
            <v>HD SET BRMDN013</v>
          </cell>
          <cell r="B5211" t="str">
            <v>HEMODIALISA SET BPJS REUSE</v>
          </cell>
          <cell r="C5211" t="str">
            <v>HD</v>
          </cell>
        </row>
        <row r="5212">
          <cell r="A5212" t="str">
            <v>HD SET BRMDN013-NAK</v>
          </cell>
          <cell r="B5212" t="str">
            <v>HEMODIALISA SET BPJS REUSE non AK</v>
          </cell>
          <cell r="C5212" t="str">
            <v>HD</v>
          </cell>
        </row>
        <row r="5213">
          <cell r="A5213" t="str">
            <v>HD SET BRMDN013-NAT</v>
          </cell>
          <cell r="B5213" t="str">
            <v>HEMODIALISA SET BPJS REUSE NON AT</v>
          </cell>
          <cell r="C5213" t="str">
            <v>HD</v>
          </cell>
        </row>
        <row r="5214">
          <cell r="A5214" t="str">
            <v>HD SET BRMDN013-NAVF</v>
          </cell>
          <cell r="B5214" t="str">
            <v>HEMODIALISA SET BPJS REUSE non AV-FISTULA</v>
          </cell>
          <cell r="C5214" t="str">
            <v>HD</v>
          </cell>
        </row>
        <row r="5215">
          <cell r="A5215" t="str">
            <v>HD SET BRMDN014</v>
          </cell>
          <cell r="B5215" t="str">
            <v>HEMODIALISA SET BPJS REUSE</v>
          </cell>
          <cell r="C5215" t="str">
            <v>HD</v>
          </cell>
        </row>
        <row r="5216">
          <cell r="A5216" t="str">
            <v>HD SET BRMDN014-NAV</v>
          </cell>
          <cell r="B5216" t="str">
            <v>HEMODIALISA SET BPJS REUSE</v>
          </cell>
          <cell r="C5216" t="str">
            <v>HD</v>
          </cell>
        </row>
        <row r="5217">
          <cell r="A5217" t="str">
            <v>HD SET BRMDN014-NAVF</v>
          </cell>
          <cell r="B5217" t="str">
            <v>HEMODIALISA SET BPJS REUSE NON AV FISTULA</v>
          </cell>
          <cell r="C5217" t="str">
            <v>HD</v>
          </cell>
        </row>
        <row r="5218">
          <cell r="A5218" t="str">
            <v>HD SET BRMDN015</v>
          </cell>
          <cell r="B5218" t="str">
            <v>HEMODIALISA SET BPJS REUSE</v>
          </cell>
          <cell r="C5218" t="str">
            <v>HD</v>
          </cell>
        </row>
        <row r="5219">
          <cell r="A5219" t="str">
            <v>HD SET BRMDN015-NAVF</v>
          </cell>
          <cell r="B5219" t="str">
            <v>HEMODIALISA SET BPJS REUSE NON AVISTULA</v>
          </cell>
          <cell r="C5219" t="str">
            <v>HD</v>
          </cell>
        </row>
        <row r="5220">
          <cell r="A5220" t="str">
            <v>HD SET BRMDN016</v>
          </cell>
          <cell r="B5220" t="str">
            <v>HEMODIALISA SET BPJS REUSE</v>
          </cell>
          <cell r="C5220" t="str">
            <v>HD</v>
          </cell>
        </row>
        <row r="5221">
          <cell r="A5221" t="str">
            <v>HD SET BRMDN016-NAVF</v>
          </cell>
          <cell r="B5221" t="str">
            <v>HEMODIALISA SET BPJS REUSE NON AVISTULA</v>
          </cell>
          <cell r="C5221" t="str">
            <v>HD</v>
          </cell>
        </row>
        <row r="5222">
          <cell r="A5222" t="str">
            <v>HD SET BRMDN017-NAK</v>
          </cell>
          <cell r="B5222" t="str">
            <v>HEMODIALISA SET BPJS REUSE NON ACID</v>
          </cell>
          <cell r="C5222" t="str">
            <v>HD</v>
          </cell>
        </row>
        <row r="5223">
          <cell r="A5223" t="str">
            <v>HD SET BRMDN017-NAT</v>
          </cell>
          <cell r="B5223" t="str">
            <v>HEMODIALISA SET BPJS REUSE NON CNCRT</v>
          </cell>
          <cell r="C5223" t="str">
            <v>HD</v>
          </cell>
        </row>
        <row r="5224">
          <cell r="A5224" t="str">
            <v>HD SET BRMDN017-NAVF</v>
          </cell>
          <cell r="B5224" t="str">
            <v>HEMODIALISA SET BPJS REUSE NON AVISTULA</v>
          </cell>
          <cell r="C5224" t="str">
            <v>HD</v>
          </cell>
        </row>
        <row r="5225">
          <cell r="A5225" t="str">
            <v>HD SET BRMDN021</v>
          </cell>
          <cell r="B5225" t="str">
            <v>HEMODIALISA SET BPJS REUSE</v>
          </cell>
          <cell r="C5225" t="str">
            <v>HD</v>
          </cell>
        </row>
        <row r="5226">
          <cell r="A5226" t="str">
            <v>HD SET BRMDN021-NAVF</v>
          </cell>
          <cell r="B5226" t="str">
            <v>HEMODIALISA SET BPJS REUSE NON AVISTULA</v>
          </cell>
          <cell r="C5226" t="str">
            <v>HD</v>
          </cell>
        </row>
        <row r="5227">
          <cell r="A5227" t="str">
            <v>HD SET BRMDN022</v>
          </cell>
          <cell r="B5227" t="str">
            <v>HEMODIALISA SET BPJS REUSE</v>
          </cell>
          <cell r="C5227" t="str">
            <v>HD</v>
          </cell>
        </row>
        <row r="5228">
          <cell r="A5228" t="str">
            <v>HD SET BRMDN022NAVAK</v>
          </cell>
          <cell r="B5228" t="str">
            <v>HEMODIALISA SET BPJS REUSE NON AV FISTULA &amp; AK</v>
          </cell>
          <cell r="C5228" t="str">
            <v>HD</v>
          </cell>
        </row>
        <row r="5229">
          <cell r="A5229" t="str">
            <v>HD SET BRMDN022-NAVF</v>
          </cell>
          <cell r="B5229" t="str">
            <v>HEMODIALISA SET BPJS REUSE NON AVISTULA</v>
          </cell>
          <cell r="C5229" t="str">
            <v>HD</v>
          </cell>
        </row>
        <row r="5230">
          <cell r="A5230" t="str">
            <v>HD SET BRMDN023</v>
          </cell>
          <cell r="B5230" t="str">
            <v>HEMODIALISA SET BPJS REUSE</v>
          </cell>
          <cell r="C5230" t="str">
            <v>HD</v>
          </cell>
        </row>
        <row r="5231">
          <cell r="A5231" t="str">
            <v>HD SET BRMDN025</v>
          </cell>
          <cell r="B5231" t="str">
            <v>HEMODIALISA SET BPJS REUSE</v>
          </cell>
          <cell r="C5231" t="str">
            <v>HD</v>
          </cell>
        </row>
        <row r="5232">
          <cell r="A5232" t="str">
            <v>HD SET BRMDN025-NAK</v>
          </cell>
          <cell r="B5232" t="str">
            <v>HEMODIALISA SET BPJS REUSE NON AK</v>
          </cell>
          <cell r="C5232" t="str">
            <v>HD</v>
          </cell>
        </row>
        <row r="5233">
          <cell r="A5233" t="str">
            <v>HD SET BRMDN025-NAVF</v>
          </cell>
          <cell r="B5233" t="str">
            <v>HEMODIALISA SET BPJS REUSE NON AVISTULA</v>
          </cell>
          <cell r="C5233" t="str">
            <v>HD</v>
          </cell>
        </row>
        <row r="5234">
          <cell r="A5234" t="str">
            <v>HD SET BRMDN026</v>
          </cell>
          <cell r="B5234" t="str">
            <v>HEMODIALISA SET BPJS REUSE</v>
          </cell>
          <cell r="C5234" t="str">
            <v>HD</v>
          </cell>
        </row>
        <row r="5235">
          <cell r="A5235" t="str">
            <v>HD SET BRMDN026NAVAK</v>
          </cell>
          <cell r="B5235" t="str">
            <v>HEMODIALISA SET BPJS REUSE NON AVF &amp; AK</v>
          </cell>
          <cell r="C5235" t="str">
            <v>HD</v>
          </cell>
        </row>
        <row r="5236">
          <cell r="A5236" t="str">
            <v>HD SET BRMDN026-NAVF</v>
          </cell>
          <cell r="B5236" t="str">
            <v>HEMODIALISA SET BPJS REUSE</v>
          </cell>
          <cell r="C5236" t="str">
            <v>HD</v>
          </cell>
        </row>
        <row r="5237">
          <cell r="A5237" t="str">
            <v>HD SET BRMDN028</v>
          </cell>
          <cell r="B5237" t="str">
            <v>HEMODIALISA SET BPJS REUSE</v>
          </cell>
          <cell r="C5237" t="str">
            <v>HD</v>
          </cell>
        </row>
        <row r="5238">
          <cell r="A5238" t="str">
            <v>HD SET BRMDN028BL+AT</v>
          </cell>
          <cell r="B5238" t="str">
            <v>HEMODIALISA SET BPJS LENGKAP BTS &amp; AT10</v>
          </cell>
          <cell r="C5238" t="str">
            <v>HD</v>
          </cell>
        </row>
        <row r="5239">
          <cell r="A5239" t="str">
            <v>HD SET BRMDN028NAVAK</v>
          </cell>
          <cell r="B5239" t="str">
            <v>HEMODIALISA SET BPJS REUSE NON AV FISTULA &amp; AK</v>
          </cell>
          <cell r="C5239" t="str">
            <v>HD</v>
          </cell>
        </row>
        <row r="5240">
          <cell r="A5240" t="str">
            <v>HD SET BRMDN029</v>
          </cell>
          <cell r="B5240" t="str">
            <v>HEMODIALISA SET BPJS REUSE</v>
          </cell>
          <cell r="C5240" t="str">
            <v>HD</v>
          </cell>
        </row>
        <row r="5241">
          <cell r="A5241" t="str">
            <v>HD SET BRMDN030</v>
          </cell>
          <cell r="B5241" t="str">
            <v>HEMODIALISA SET BPJS REUSE</v>
          </cell>
          <cell r="C5241" t="str">
            <v>HD</v>
          </cell>
        </row>
        <row r="5242">
          <cell r="A5242" t="str">
            <v>HD SET BRMDN030-NAVF</v>
          </cell>
          <cell r="B5242" t="str">
            <v>HEMODIALISA SET BPJS REUSE NON AV FISTULA</v>
          </cell>
          <cell r="C5242" t="str">
            <v>HD</v>
          </cell>
        </row>
        <row r="5243">
          <cell r="A5243" t="str">
            <v>HD SET BRMDN031</v>
          </cell>
          <cell r="B5243" t="str">
            <v>HEMODIALISA SET BPJS REUSE</v>
          </cell>
          <cell r="C5243" t="str">
            <v>HD</v>
          </cell>
        </row>
        <row r="5244">
          <cell r="A5244" t="str">
            <v>HD SET BRMDN032</v>
          </cell>
          <cell r="B5244" t="str">
            <v>HEMODIALISA SET BPJS REUSE</v>
          </cell>
          <cell r="C5244" t="str">
            <v>HD</v>
          </cell>
        </row>
        <row r="5245">
          <cell r="A5245" t="str">
            <v>HD SET BRMDN033</v>
          </cell>
          <cell r="B5245" t="str">
            <v>HEMODIALISA SET BPJS REUSE</v>
          </cell>
          <cell r="C5245" t="str">
            <v>HD</v>
          </cell>
        </row>
        <row r="5246">
          <cell r="A5246" t="str">
            <v>HD SET BRMDN033-NAVF</v>
          </cell>
          <cell r="B5246" t="str">
            <v>HEMODIALISA SET BPJS REUSE NON AVFISTULA</v>
          </cell>
          <cell r="C5246" t="str">
            <v>HD</v>
          </cell>
        </row>
        <row r="5247">
          <cell r="A5247" t="str">
            <v>HD SET BRMDN034</v>
          </cell>
          <cell r="B5247" t="str">
            <v>HEMODIALISA SET BPJS REUSE</v>
          </cell>
          <cell r="C5247" t="str">
            <v>HD</v>
          </cell>
        </row>
        <row r="5248">
          <cell r="A5248" t="str">
            <v>HD SET BRMDN034NAVAK</v>
          </cell>
          <cell r="B5248" t="str">
            <v>HEMODIALISA SET BPJS REUSE NON AV FISTULA &amp; AK</v>
          </cell>
          <cell r="C5248" t="str">
            <v>HD</v>
          </cell>
        </row>
        <row r="5249">
          <cell r="A5249" t="str">
            <v>HD SET BRMDN034-NAVF</v>
          </cell>
          <cell r="B5249" t="str">
            <v>HEMODIALISA SET BPJS REUSE NON AVFISTULA</v>
          </cell>
          <cell r="C5249" t="str">
            <v>HD</v>
          </cell>
        </row>
        <row r="5250">
          <cell r="A5250" t="str">
            <v>HD SET BRMDN035</v>
          </cell>
          <cell r="B5250" t="str">
            <v>HEMODIALISA SET BPJS REUSE</v>
          </cell>
          <cell r="C5250" t="str">
            <v>HD</v>
          </cell>
        </row>
        <row r="5251">
          <cell r="A5251" t="str">
            <v>HD SET BRMDN035-NAVF</v>
          </cell>
          <cell r="B5251" t="str">
            <v>HEMODIALISA SET BPJS REUSE NON AV FISTULA</v>
          </cell>
          <cell r="C5251" t="str">
            <v>HD</v>
          </cell>
        </row>
        <row r="5252">
          <cell r="A5252" t="str">
            <v>HD SET BRMKS001-NAVF</v>
          </cell>
          <cell r="B5252" t="str">
            <v>HEMODIALISA SET BPJS REUSE</v>
          </cell>
          <cell r="C5252" t="str">
            <v>HD</v>
          </cell>
        </row>
        <row r="5253">
          <cell r="A5253" t="str">
            <v>HD SET BRMKS002</v>
          </cell>
          <cell r="B5253" t="str">
            <v>HEMODIALISA SET BPJS REUSE</v>
          </cell>
          <cell r="C5253" t="str">
            <v>HD</v>
          </cell>
        </row>
        <row r="5254">
          <cell r="A5254" t="str">
            <v>HD SET BRMKS003</v>
          </cell>
          <cell r="B5254" t="str">
            <v>HEMODIALISA SET BPJS REUSE</v>
          </cell>
          <cell r="C5254" t="str">
            <v>HD</v>
          </cell>
        </row>
        <row r="5255">
          <cell r="A5255" t="str">
            <v>HD SET BRMKS004</v>
          </cell>
          <cell r="B5255" t="str">
            <v>HEMODIALISA SET BPJS REUSE</v>
          </cell>
          <cell r="C5255" t="str">
            <v>HD</v>
          </cell>
        </row>
        <row r="5256">
          <cell r="A5256" t="str">
            <v>HD SET BRMKS007</v>
          </cell>
          <cell r="B5256" t="str">
            <v>HEMODIALISA SET BPJS REUSE</v>
          </cell>
          <cell r="C5256" t="str">
            <v>HD</v>
          </cell>
        </row>
        <row r="5257">
          <cell r="A5257" t="str">
            <v>HD SET BRMKS009</v>
          </cell>
          <cell r="B5257" t="str">
            <v>HEMODIALISA SET BPJS REUSE</v>
          </cell>
          <cell r="C5257" t="str">
            <v>HD</v>
          </cell>
        </row>
        <row r="5258">
          <cell r="A5258" t="str">
            <v>HD SET BRMKS010</v>
          </cell>
          <cell r="B5258" t="str">
            <v>HEMODIALISA SET BPJS REUSE</v>
          </cell>
          <cell r="C5258" t="str">
            <v>HD</v>
          </cell>
        </row>
        <row r="5259">
          <cell r="A5259" t="str">
            <v>HD SET BRMKS010-NAVF</v>
          </cell>
          <cell r="B5259" t="str">
            <v>HEMODIALISA SET BPJS REUSE NON AVFISTULA</v>
          </cell>
          <cell r="C5259" t="str">
            <v>HD</v>
          </cell>
        </row>
        <row r="5260">
          <cell r="A5260" t="str">
            <v>HD SET BRMKS011-P</v>
          </cell>
          <cell r="B5260" t="str">
            <v>HEMODIALISA SET BPJS REUSE</v>
          </cell>
          <cell r="C5260" t="str">
            <v>HD</v>
          </cell>
        </row>
        <row r="5261">
          <cell r="A5261" t="str">
            <v>HD SET BRMKS012</v>
          </cell>
          <cell r="B5261" t="str">
            <v>HEMODIALISA SET BPJS REUSE</v>
          </cell>
          <cell r="C5261" t="str">
            <v>HD</v>
          </cell>
        </row>
        <row r="5262">
          <cell r="A5262" t="str">
            <v>HD SET BRMKS012NAVAK</v>
          </cell>
          <cell r="B5262" t="str">
            <v>HEMODIALISA SET BPJS REUSE NON AVF &amp; AK</v>
          </cell>
          <cell r="C5262" t="str">
            <v>HD</v>
          </cell>
        </row>
        <row r="5263">
          <cell r="A5263" t="str">
            <v>HD SET BRMKS014</v>
          </cell>
          <cell r="B5263" t="str">
            <v>HEMODIALISA SET BPJS REUSE</v>
          </cell>
          <cell r="C5263" t="str">
            <v>HD</v>
          </cell>
        </row>
        <row r="5264">
          <cell r="A5264" t="str">
            <v>HD SET BRMKS015</v>
          </cell>
          <cell r="B5264" t="str">
            <v>HEMODIALISA SET BPJS REUSE</v>
          </cell>
          <cell r="C5264" t="str">
            <v>HD</v>
          </cell>
        </row>
        <row r="5265">
          <cell r="A5265" t="str">
            <v>HD SET BRMKS016</v>
          </cell>
          <cell r="B5265" t="str">
            <v>HEMODIALISA SET BPJS REUSE</v>
          </cell>
          <cell r="C5265" t="str">
            <v>HD</v>
          </cell>
        </row>
        <row r="5266">
          <cell r="A5266" t="str">
            <v>HD SET BRMKS017</v>
          </cell>
          <cell r="B5266" t="str">
            <v>HEMODIALISA SET BPJS REUSE</v>
          </cell>
          <cell r="C5266" t="str">
            <v>HD</v>
          </cell>
        </row>
        <row r="5267">
          <cell r="A5267" t="str">
            <v>HD SET BRMKS018</v>
          </cell>
          <cell r="B5267" t="str">
            <v>HEMODIALISA SET BPJS REUSE</v>
          </cell>
          <cell r="C5267" t="str">
            <v>HD</v>
          </cell>
        </row>
        <row r="5268">
          <cell r="A5268" t="str">
            <v>HD SET BRMKS018-NAVF</v>
          </cell>
          <cell r="B5268" t="str">
            <v>HEMODIALISA SET BPJS REUSE NON AVFISTULA</v>
          </cell>
          <cell r="C5268" t="str">
            <v>HD</v>
          </cell>
        </row>
        <row r="5269">
          <cell r="A5269" t="str">
            <v>HD SET BRMKS019</v>
          </cell>
          <cell r="B5269" t="str">
            <v>HEMODIALISA SET BPJS REUSE</v>
          </cell>
          <cell r="C5269" t="str">
            <v>HD</v>
          </cell>
        </row>
        <row r="5270">
          <cell r="A5270" t="str">
            <v>HD SET BRMKS019 NAVF</v>
          </cell>
          <cell r="B5270" t="str">
            <v>HEMODIALISA SET BPJS REUSE</v>
          </cell>
          <cell r="C5270" t="str">
            <v>HD</v>
          </cell>
        </row>
        <row r="5271">
          <cell r="A5271" t="str">
            <v>HD SET BRMKS021</v>
          </cell>
          <cell r="B5271" t="str">
            <v>HEMODIALISA SET BPJS REUSE</v>
          </cell>
          <cell r="C5271" t="str">
            <v>HD</v>
          </cell>
        </row>
        <row r="5272">
          <cell r="A5272" t="str">
            <v>HD SET BRMKS021-NAVF</v>
          </cell>
          <cell r="B5272" t="str">
            <v>HEMODIALISA SET BPJS REUSE NON AVFISTULA</v>
          </cell>
          <cell r="C5272" t="str">
            <v>HD</v>
          </cell>
        </row>
        <row r="5273">
          <cell r="A5273" t="str">
            <v>HD SET BRMKS022</v>
          </cell>
          <cell r="B5273" t="str">
            <v>HEMODIALISA SET BPJS REUSE</v>
          </cell>
          <cell r="C5273" t="str">
            <v>HD</v>
          </cell>
        </row>
        <row r="5274">
          <cell r="A5274" t="str">
            <v>HD SET BRMKS023</v>
          </cell>
          <cell r="B5274" t="str">
            <v>HEMODIALISA SET BPJS REUSE</v>
          </cell>
          <cell r="C5274" t="str">
            <v>HD</v>
          </cell>
        </row>
        <row r="5275">
          <cell r="A5275" t="str">
            <v>HD SET BRMKS024</v>
          </cell>
          <cell r="B5275" t="str">
            <v>HEMODIALISA SET BPJS REUSE</v>
          </cell>
          <cell r="C5275" t="str">
            <v>HD</v>
          </cell>
        </row>
        <row r="5276">
          <cell r="A5276" t="str">
            <v>HD SET BRMKS030</v>
          </cell>
          <cell r="B5276" t="str">
            <v>HEMODIALISA SET BPJS REUSE</v>
          </cell>
          <cell r="C5276" t="str">
            <v>HD</v>
          </cell>
        </row>
        <row r="5277">
          <cell r="A5277" t="str">
            <v>HD SET BRPWK001</v>
          </cell>
          <cell r="B5277" t="str">
            <v>HEMODIALISA SET BPJS REUSE</v>
          </cell>
          <cell r="C5277" t="str">
            <v>HD</v>
          </cell>
        </row>
        <row r="5278">
          <cell r="A5278" t="str">
            <v>HD SET BRPWK002</v>
          </cell>
          <cell r="B5278" t="str">
            <v>HEMODIALISA SET BPJS REUSE</v>
          </cell>
          <cell r="C5278" t="str">
            <v>HD</v>
          </cell>
        </row>
        <row r="5279">
          <cell r="A5279" t="str">
            <v>HD SET BRPWK002-NAK</v>
          </cell>
          <cell r="B5279" t="str">
            <v>HEMODIALISA SET BPJS REUSE NON AK</v>
          </cell>
          <cell r="C5279" t="str">
            <v>HD</v>
          </cell>
        </row>
        <row r="5280">
          <cell r="A5280" t="str">
            <v>HD SET BRPWK003</v>
          </cell>
          <cell r="B5280" t="str">
            <v>HEMODIALISA SET BPJS REUSE</v>
          </cell>
          <cell r="C5280" t="str">
            <v>HD</v>
          </cell>
        </row>
        <row r="5281">
          <cell r="A5281" t="str">
            <v>HD SET BRPWK004</v>
          </cell>
          <cell r="B5281" t="str">
            <v>HEMODIALISA SET BPJS REUSE</v>
          </cell>
          <cell r="C5281" t="str">
            <v>HD</v>
          </cell>
        </row>
        <row r="5282">
          <cell r="A5282" t="str">
            <v>HD SET BRPWK004NAVAT</v>
          </cell>
          <cell r="B5282" t="str">
            <v>HEMODIALISA SET BPJS REUSE NON AVFISTULA &amp; AT</v>
          </cell>
          <cell r="C5282" t="str">
            <v>HD</v>
          </cell>
        </row>
        <row r="5283">
          <cell r="A5283" t="str">
            <v>HD SET BRPWK005</v>
          </cell>
          <cell r="B5283" t="str">
            <v>HEMODIALISA SET BPJS REUSE</v>
          </cell>
          <cell r="C5283" t="str">
            <v>HD</v>
          </cell>
        </row>
        <row r="5284">
          <cell r="A5284" t="str">
            <v>HD SET BRPWK006</v>
          </cell>
          <cell r="B5284" t="str">
            <v>HEMODIALISA SET BPJS REUSE</v>
          </cell>
          <cell r="C5284" t="str">
            <v>HD</v>
          </cell>
        </row>
        <row r="5285">
          <cell r="A5285" t="str">
            <v>HD SET BRPWK007</v>
          </cell>
          <cell r="B5285" t="str">
            <v>HEMODIALISA SET BPJS REUSE</v>
          </cell>
          <cell r="C5285" t="str">
            <v>HD</v>
          </cell>
        </row>
        <row r="5286">
          <cell r="A5286" t="str">
            <v>HD SET BRPWK008</v>
          </cell>
          <cell r="B5286" t="str">
            <v>HEMODIALISA SET BPJS REUSE</v>
          </cell>
          <cell r="C5286" t="str">
            <v>HD</v>
          </cell>
        </row>
        <row r="5287">
          <cell r="A5287" t="str">
            <v>HD SET BRPWK008-AT</v>
          </cell>
          <cell r="B5287" t="str">
            <v>HEMODIALISA SET BPJS REUSE AT</v>
          </cell>
          <cell r="C5287" t="str">
            <v>HD</v>
          </cell>
        </row>
        <row r="5288">
          <cell r="A5288" t="str">
            <v>HD SET BRPWK008-NAK</v>
          </cell>
          <cell r="B5288" t="str">
            <v>HEMODIALISA SET BPJS REUSE NON ACID</v>
          </cell>
          <cell r="C5288" t="str">
            <v>HD</v>
          </cell>
        </row>
        <row r="5289">
          <cell r="A5289" t="str">
            <v>HD SET BRPWK009</v>
          </cell>
          <cell r="B5289" t="str">
            <v>HEMODIALISA SET BPJS REUSE</v>
          </cell>
          <cell r="C5289" t="str">
            <v>HD</v>
          </cell>
        </row>
        <row r="5290">
          <cell r="A5290" t="str">
            <v>HD SET BRPWK012</v>
          </cell>
          <cell r="B5290" t="str">
            <v>HEMODIALISA SET BPJS REUSE</v>
          </cell>
          <cell r="C5290" t="str">
            <v>HD</v>
          </cell>
        </row>
        <row r="5291">
          <cell r="A5291" t="str">
            <v>HD SET BRPWK013</v>
          </cell>
          <cell r="B5291" t="str">
            <v>HEMODIALISA SET BPJS REUSE</v>
          </cell>
          <cell r="C5291" t="str">
            <v>HD</v>
          </cell>
        </row>
        <row r="5292">
          <cell r="A5292" t="str">
            <v>HD SET BRPWK013-NAVF</v>
          </cell>
          <cell r="B5292" t="str">
            <v>HEMODIALISA SET BPJS REUSE NON AVFISTULA</v>
          </cell>
          <cell r="C5292" t="str">
            <v>HD</v>
          </cell>
        </row>
        <row r="5293">
          <cell r="A5293" t="str">
            <v>HD SET BRPWK014</v>
          </cell>
          <cell r="B5293" t="str">
            <v>HEMODIALISA SET BPJS REUSE</v>
          </cell>
          <cell r="C5293" t="str">
            <v>HD</v>
          </cell>
        </row>
        <row r="5294">
          <cell r="A5294" t="str">
            <v>HD SET BRPWK014-NAVF</v>
          </cell>
          <cell r="B5294" t="str">
            <v>HEMODIALISA SET BPJS REUSE NON AVFISTULA</v>
          </cell>
          <cell r="C5294" t="str">
            <v>HD</v>
          </cell>
        </row>
        <row r="5295">
          <cell r="A5295" t="str">
            <v>HD SET BRPWK015</v>
          </cell>
          <cell r="B5295" t="str">
            <v>HEMODIALISA SET BPJS REUSE</v>
          </cell>
          <cell r="C5295" t="str">
            <v>HD</v>
          </cell>
        </row>
        <row r="5296">
          <cell r="A5296" t="str">
            <v>HD SET BRPWK016</v>
          </cell>
          <cell r="B5296" t="str">
            <v>HEMODIALISA SET BPJS REUSE</v>
          </cell>
          <cell r="C5296" t="str">
            <v>HD</v>
          </cell>
        </row>
        <row r="5297">
          <cell r="A5297" t="str">
            <v>HD SET BRPWK017</v>
          </cell>
          <cell r="B5297" t="str">
            <v>HEMODIALISA SET BPJS REUSE</v>
          </cell>
          <cell r="C5297" t="str">
            <v>HD</v>
          </cell>
        </row>
        <row r="5298">
          <cell r="A5298" t="str">
            <v>HD SET BRSBY001</v>
          </cell>
          <cell r="B5298" t="str">
            <v>HEMODIALISA SET BPJS REUSE</v>
          </cell>
          <cell r="C5298" t="str">
            <v>HD</v>
          </cell>
        </row>
        <row r="5299">
          <cell r="A5299" t="str">
            <v>HD SET BRSBY001NAVBL</v>
          </cell>
          <cell r="B5299" t="str">
            <v>HEMODIALISA SET BPJS REUSE NON AV FISTULA &amp; BL</v>
          </cell>
          <cell r="C5299" t="str">
            <v>HD</v>
          </cell>
        </row>
        <row r="5300">
          <cell r="A5300" t="str">
            <v>HD SET BRSBY002</v>
          </cell>
          <cell r="B5300" t="str">
            <v>HEMODIALISA SET BPJS REUSE</v>
          </cell>
          <cell r="C5300" t="str">
            <v>HD</v>
          </cell>
        </row>
        <row r="5301">
          <cell r="A5301" t="str">
            <v>HD SET BRSBY003</v>
          </cell>
          <cell r="B5301" t="str">
            <v>HEMODIALISA SET BPJS REUSE</v>
          </cell>
          <cell r="C5301" t="str">
            <v>HD</v>
          </cell>
        </row>
        <row r="5302">
          <cell r="A5302" t="str">
            <v>HD SET BRSBY003-NAVF</v>
          </cell>
          <cell r="B5302" t="str">
            <v>HEMODIALISA SET BPJS REUSE NON AVFISTULA</v>
          </cell>
          <cell r="C5302" t="str">
            <v>HD</v>
          </cell>
        </row>
        <row r="5303">
          <cell r="A5303" t="str">
            <v>HD SET BRSBY004</v>
          </cell>
          <cell r="B5303" t="str">
            <v>HEMODIALISA SET BPJS REUSE</v>
          </cell>
          <cell r="C5303" t="str">
            <v>HD</v>
          </cell>
        </row>
        <row r="5304">
          <cell r="A5304" t="str">
            <v>HD SET BRSBY004-NAVF</v>
          </cell>
          <cell r="B5304" t="str">
            <v>HEMODIALISA SET BPJS REUSE NON AVFISTULA</v>
          </cell>
          <cell r="C5304" t="str">
            <v>HD</v>
          </cell>
        </row>
        <row r="5305">
          <cell r="A5305" t="str">
            <v>HD SET BRSBY006</v>
          </cell>
          <cell r="B5305" t="str">
            <v>HEMODIALISA SET BPJS REUSE</v>
          </cell>
          <cell r="C5305" t="str">
            <v>HD</v>
          </cell>
        </row>
        <row r="5306">
          <cell r="A5306" t="str">
            <v>HD SET BRSBY006-NAVF</v>
          </cell>
          <cell r="B5306" t="str">
            <v>HEMODIALISA SET BPJS REUSE NON AVFISTULA</v>
          </cell>
          <cell r="C5306" t="str">
            <v>HD</v>
          </cell>
        </row>
        <row r="5307">
          <cell r="A5307" t="str">
            <v>HD SET BRSBY007</v>
          </cell>
          <cell r="B5307" t="str">
            <v>HEMODIALISA SET BPJS REUSE</v>
          </cell>
          <cell r="C5307" t="str">
            <v>HD</v>
          </cell>
        </row>
        <row r="5308">
          <cell r="A5308" t="str">
            <v>HD SET BRSBY007-NAK</v>
          </cell>
          <cell r="B5308" t="str">
            <v>HEMODIALISA SET BPJS REUSE NON ACID</v>
          </cell>
          <cell r="C5308" t="str">
            <v>HD</v>
          </cell>
        </row>
        <row r="5309">
          <cell r="A5309" t="str">
            <v>HD SET BRSBY007-NAVF</v>
          </cell>
          <cell r="B5309" t="str">
            <v>HEMODIALISA SET BPJS REUSE NON AVFISTULA</v>
          </cell>
          <cell r="C5309" t="str">
            <v>HD</v>
          </cell>
        </row>
        <row r="5310">
          <cell r="A5310" t="str">
            <v>HD SET BRSBY008</v>
          </cell>
          <cell r="B5310" t="str">
            <v>HEMODIALISA SET BPJS REUSE</v>
          </cell>
          <cell r="C5310" t="str">
            <v>HD</v>
          </cell>
        </row>
        <row r="5311">
          <cell r="A5311" t="str">
            <v>HD SET BRSBY010</v>
          </cell>
          <cell r="B5311" t="str">
            <v>HEMODIALISA SET BPJS REUSE</v>
          </cell>
          <cell r="C5311" t="str">
            <v>HD</v>
          </cell>
        </row>
        <row r="5312">
          <cell r="A5312" t="str">
            <v>HD SET BRSBY011</v>
          </cell>
          <cell r="B5312" t="str">
            <v>HEMODIALISA SET BPJS REUSE</v>
          </cell>
          <cell r="C5312" t="str">
            <v>HD</v>
          </cell>
        </row>
        <row r="5313">
          <cell r="A5313" t="str">
            <v>HD SET BRSBY012</v>
          </cell>
          <cell r="B5313" t="str">
            <v>HEMODIALISA SET BPJS REUSE</v>
          </cell>
          <cell r="C5313" t="str">
            <v>HD</v>
          </cell>
        </row>
        <row r="5314">
          <cell r="A5314" t="str">
            <v>HD SET BRSBY012HRSUG</v>
          </cell>
          <cell r="B5314" t="str">
            <v>HEMODIALISA SET BPJS REUSE</v>
          </cell>
          <cell r="C5314" t="str">
            <v>HD</v>
          </cell>
        </row>
        <row r="5315">
          <cell r="A5315" t="str">
            <v>HD SET BRSBY012-P</v>
          </cell>
          <cell r="B5315" t="str">
            <v>HEMODIALISA SET BPJS REUSE</v>
          </cell>
          <cell r="C5315" t="str">
            <v>HD</v>
          </cell>
        </row>
        <row r="5316">
          <cell r="A5316" t="str">
            <v>HD SET BRSBY012-RSUG</v>
          </cell>
          <cell r="B5316" t="str">
            <v>HEMODIALISA SET BPJS REUSE</v>
          </cell>
          <cell r="C5316" t="str">
            <v>HD</v>
          </cell>
        </row>
        <row r="5317">
          <cell r="A5317" t="str">
            <v>HD SET BRSBY013</v>
          </cell>
          <cell r="B5317" t="str">
            <v>HEMODIALISA SET BPJS REUSE</v>
          </cell>
          <cell r="C5317" t="str">
            <v>HD</v>
          </cell>
        </row>
        <row r="5318">
          <cell r="A5318" t="str">
            <v>HD SET BRSBY014</v>
          </cell>
          <cell r="B5318" t="str">
            <v>HEMODIALISA SET BPJS REUSE</v>
          </cell>
          <cell r="C5318" t="str">
            <v>HD</v>
          </cell>
        </row>
        <row r="5319">
          <cell r="A5319" t="str">
            <v>HD SET BRSBY015</v>
          </cell>
          <cell r="B5319" t="str">
            <v>HEMODIALISA SET BPJS REUSE</v>
          </cell>
          <cell r="C5319" t="str">
            <v>HD</v>
          </cell>
        </row>
        <row r="5320">
          <cell r="A5320" t="str">
            <v>HD SET BRSBY015-NAK</v>
          </cell>
          <cell r="B5320" t="str">
            <v>HEMODIALISA SET BPJS REUSE NON ACID</v>
          </cell>
          <cell r="C5320" t="str">
            <v>HD</v>
          </cell>
        </row>
        <row r="5321">
          <cell r="A5321" t="str">
            <v>HD SET BRSBY015-NAVF</v>
          </cell>
          <cell r="B5321" t="str">
            <v>HEMODIALISA SET BPJS REUSE NON AVFISTULA</v>
          </cell>
          <cell r="C5321" t="str">
            <v>HD</v>
          </cell>
        </row>
        <row r="5322">
          <cell r="A5322" t="str">
            <v>HD SET BRSBY016</v>
          </cell>
          <cell r="B5322" t="str">
            <v>HEMODIALISA SET BPJS REUSE</v>
          </cell>
          <cell r="C5322" t="str">
            <v>HD</v>
          </cell>
        </row>
        <row r="5323">
          <cell r="A5323" t="str">
            <v>HD SET BRSBY017</v>
          </cell>
          <cell r="B5323" t="str">
            <v>HEMODIALISA SET BPJS REUSE</v>
          </cell>
          <cell r="C5323" t="str">
            <v>HD</v>
          </cell>
        </row>
        <row r="5324">
          <cell r="A5324" t="str">
            <v>HD SET BRSBY018</v>
          </cell>
          <cell r="B5324" t="str">
            <v>HEMODIALISA SET BPJS LENGKAP</v>
          </cell>
          <cell r="C5324" t="str">
            <v>HD</v>
          </cell>
        </row>
        <row r="5325">
          <cell r="A5325" t="str">
            <v>HD SET BRSBY019</v>
          </cell>
          <cell r="B5325" t="str">
            <v>HEMODIALISA SET BPJS REUSE</v>
          </cell>
          <cell r="C5325" t="str">
            <v>HD</v>
          </cell>
        </row>
        <row r="5326">
          <cell r="A5326" t="str">
            <v>HD SET BRSBY019 ANAK</v>
          </cell>
          <cell r="B5326" t="str">
            <v>HEMODIALISA SET BPJS REUSE ANAK</v>
          </cell>
          <cell r="C5326" t="str">
            <v>HD</v>
          </cell>
        </row>
        <row r="5327">
          <cell r="A5327" t="str">
            <v>HD SET BRSBY020</v>
          </cell>
          <cell r="B5327" t="str">
            <v>HEMODIALISA SET BPJS REUSE</v>
          </cell>
          <cell r="C5327" t="str">
            <v>HD</v>
          </cell>
        </row>
        <row r="5328">
          <cell r="A5328" t="str">
            <v>HD SET BRSBY021</v>
          </cell>
          <cell r="B5328" t="str">
            <v>HEMODIALISA SET BPJS REUSE</v>
          </cell>
          <cell r="C5328" t="str">
            <v>HD</v>
          </cell>
        </row>
        <row r="5329">
          <cell r="A5329" t="str">
            <v>HD SET BRSBY021-01</v>
          </cell>
          <cell r="B5329" t="str">
            <v>HEMODIALISA SET BPJS REUSE</v>
          </cell>
          <cell r="C5329" t="str">
            <v>HD</v>
          </cell>
        </row>
        <row r="5330">
          <cell r="A5330" t="str">
            <v>HD SET BRSBY021-NAVF</v>
          </cell>
          <cell r="B5330" t="str">
            <v>HEMODIALISA SET BPJS REUSE NON AV FISTULA</v>
          </cell>
          <cell r="C5330" t="str">
            <v>HD</v>
          </cell>
        </row>
        <row r="5331">
          <cell r="A5331" t="str">
            <v>HD SET BRSBY022</v>
          </cell>
          <cell r="B5331" t="str">
            <v>HEMODIALISA SET BPJS REUSE</v>
          </cell>
          <cell r="C5331" t="str">
            <v>HD</v>
          </cell>
        </row>
        <row r="5332">
          <cell r="A5332" t="str">
            <v>HD SET BRSBY023</v>
          </cell>
          <cell r="B5332" t="str">
            <v>HEMODIALISA SET BPJS REUSE</v>
          </cell>
          <cell r="C5332" t="str">
            <v>HD</v>
          </cell>
        </row>
        <row r="5333">
          <cell r="A5333" t="str">
            <v>HD SET BRSBY023-NAVF</v>
          </cell>
          <cell r="B5333" t="str">
            <v>HEMODIALISA SET BPJS REUSE TANPA AVFISTULA</v>
          </cell>
          <cell r="C5333" t="str">
            <v>HD</v>
          </cell>
        </row>
        <row r="5334">
          <cell r="A5334" t="str">
            <v>HD SET BRSBY024</v>
          </cell>
          <cell r="B5334" t="str">
            <v>HEMODIALISA SET BPJS REUSE</v>
          </cell>
          <cell r="C5334" t="str">
            <v>HD</v>
          </cell>
        </row>
        <row r="5335">
          <cell r="A5335" t="str">
            <v>HD SET BRSBY025</v>
          </cell>
          <cell r="B5335" t="str">
            <v>HEMODIALISA SET BPJS REUSE</v>
          </cell>
          <cell r="C5335" t="str">
            <v>HD</v>
          </cell>
        </row>
        <row r="5336">
          <cell r="A5336" t="str">
            <v>HD SET BRSBY025 ANAK</v>
          </cell>
          <cell r="B5336" t="str">
            <v>HEMODIALISA SET BPJS REUSE UNTUK ANAK</v>
          </cell>
          <cell r="C5336" t="str">
            <v>HD</v>
          </cell>
        </row>
        <row r="5337">
          <cell r="A5337" t="str">
            <v>HD SET BRSBY026</v>
          </cell>
          <cell r="B5337" t="str">
            <v>HEMODIALISA SET BPJS REUSE</v>
          </cell>
          <cell r="C5337" t="str">
            <v>HD</v>
          </cell>
        </row>
        <row r="5338">
          <cell r="A5338" t="str">
            <v>HD SET BRSBY026-NA1</v>
          </cell>
          <cell r="B5338" t="str">
            <v>HEMODIALISA SET BPJS REUSE</v>
          </cell>
          <cell r="C5338" t="str">
            <v>HD</v>
          </cell>
        </row>
        <row r="5339">
          <cell r="A5339" t="str">
            <v>HD SET BRSBY026-NAVF</v>
          </cell>
          <cell r="B5339" t="str">
            <v>HEMODIALISA SET BPJS REUSE</v>
          </cell>
          <cell r="C5339" t="str">
            <v>HD</v>
          </cell>
        </row>
        <row r="5340">
          <cell r="A5340" t="str">
            <v>HD SET BRSBY026-NB1</v>
          </cell>
          <cell r="B5340" t="str">
            <v>HEMODIALISA SET BPJS REUSE</v>
          </cell>
          <cell r="C5340" t="str">
            <v>HD</v>
          </cell>
        </row>
        <row r="5341">
          <cell r="A5341" t="str">
            <v>HD SET BRSBY026-NCON</v>
          </cell>
          <cell r="B5341" t="str">
            <v>HEMODIALISA SET BPJS REUSE</v>
          </cell>
          <cell r="C5341" t="str">
            <v>HD</v>
          </cell>
        </row>
        <row r="5342">
          <cell r="A5342" t="str">
            <v>HD SET BRSBY027</v>
          </cell>
          <cell r="B5342" t="str">
            <v>HEMODIALISA SET BPJS REUSE</v>
          </cell>
          <cell r="C5342" t="str">
            <v>HD</v>
          </cell>
        </row>
        <row r="5343">
          <cell r="A5343" t="str">
            <v>HD SET BRSBY027-NAVF</v>
          </cell>
          <cell r="B5343" t="str">
            <v>HEMODIALISA SET BPJS REUSE NON AVFISTULA</v>
          </cell>
          <cell r="C5343" t="str">
            <v>HD</v>
          </cell>
        </row>
        <row r="5344">
          <cell r="A5344" t="str">
            <v>HD SET BRSBY027-P</v>
          </cell>
          <cell r="B5344" t="str">
            <v>HEMODIALISA SET BPJS REUSE</v>
          </cell>
          <cell r="C5344" t="str">
            <v>HD</v>
          </cell>
        </row>
        <row r="5345">
          <cell r="A5345" t="str">
            <v>HD SET BRSBY028</v>
          </cell>
          <cell r="B5345" t="str">
            <v>HEMODIALISA SET BPJS REUSE</v>
          </cell>
          <cell r="C5345" t="str">
            <v>HD</v>
          </cell>
        </row>
        <row r="5346">
          <cell r="A5346" t="str">
            <v>HD SET BRSBY028-NAVF</v>
          </cell>
          <cell r="B5346" t="str">
            <v>HEMODIALISA SET BPJS REUSE NON AVFISTULA</v>
          </cell>
          <cell r="C5346" t="str">
            <v>HD</v>
          </cell>
        </row>
        <row r="5347">
          <cell r="A5347" t="str">
            <v>HD SET BRSBY029</v>
          </cell>
          <cell r="B5347" t="str">
            <v>HEMODIALISA SET BPJS REUSE</v>
          </cell>
          <cell r="C5347" t="str">
            <v>HD</v>
          </cell>
        </row>
        <row r="5348">
          <cell r="A5348" t="str">
            <v>HD SET BRSBY029-NAVF</v>
          </cell>
          <cell r="B5348" t="str">
            <v>HEMODIALISA SET BPJS REUSE NON AVFISTULA</v>
          </cell>
          <cell r="C5348" t="str">
            <v>HD</v>
          </cell>
        </row>
        <row r="5349">
          <cell r="A5349" t="str">
            <v>HD SET BRSBY030</v>
          </cell>
          <cell r="B5349" t="str">
            <v>HEMODIALISA SET BPJS REUSE</v>
          </cell>
          <cell r="C5349" t="str">
            <v>HD</v>
          </cell>
        </row>
        <row r="5350">
          <cell r="A5350" t="str">
            <v>HD SET BRSBY030-NAVF</v>
          </cell>
          <cell r="B5350" t="str">
            <v>HEMODIALISA SET BPJS REUSE  NON AVFISTULA</v>
          </cell>
          <cell r="C5350" t="str">
            <v>HD</v>
          </cell>
        </row>
        <row r="5351">
          <cell r="A5351" t="str">
            <v>HD SET BRSBY031</v>
          </cell>
          <cell r="B5351" t="str">
            <v>HEMODIALISA SET BPJS REUSE</v>
          </cell>
          <cell r="C5351" t="str">
            <v>HD</v>
          </cell>
        </row>
        <row r="5352">
          <cell r="A5352" t="str">
            <v>HD SET BRSBY032</v>
          </cell>
          <cell r="B5352" t="str">
            <v>HEMODIALISA SET BPJS REUSE</v>
          </cell>
          <cell r="C5352" t="str">
            <v>HD</v>
          </cell>
        </row>
        <row r="5353">
          <cell r="A5353" t="str">
            <v>HD SET BRSBY032-CON</v>
          </cell>
          <cell r="B5353" t="str">
            <v>HEMODIALISA SET BPJS ( CON )</v>
          </cell>
          <cell r="C5353" t="str">
            <v>HD</v>
          </cell>
        </row>
        <row r="5354">
          <cell r="A5354" t="str">
            <v>HD SET BRSBY032-P</v>
          </cell>
          <cell r="B5354" t="str">
            <v>HEMODIALISA SET BPJS REUSE ( ALK )</v>
          </cell>
          <cell r="C5354" t="str">
            <v>HD</v>
          </cell>
        </row>
        <row r="5355">
          <cell r="A5355" t="str">
            <v>HD SET BRSBY033</v>
          </cell>
          <cell r="B5355" t="str">
            <v>HEMODIALISA SET BPJS REUSE</v>
          </cell>
          <cell r="C5355" t="str">
            <v>HD</v>
          </cell>
        </row>
        <row r="5356">
          <cell r="A5356" t="str">
            <v>HD SET BRSBY033-ATAK</v>
          </cell>
          <cell r="B5356" t="str">
            <v>HEMODIALISA SET BPJS REUSE AK &amp; AT</v>
          </cell>
          <cell r="C5356" t="str">
            <v>HD</v>
          </cell>
        </row>
        <row r="5357">
          <cell r="A5357" t="str">
            <v>HD SET BRSBY034 LP1</v>
          </cell>
          <cell r="B5357" t="str">
            <v>HEMODIALISA SET BPJS REUSE</v>
          </cell>
          <cell r="C5357" t="str">
            <v>HD</v>
          </cell>
        </row>
        <row r="5358">
          <cell r="A5358" t="str">
            <v>HD SET BRSBY034-LP1</v>
          </cell>
          <cell r="B5358" t="str">
            <v>HEMODIALISA SET BPJS REUSE</v>
          </cell>
          <cell r="C5358" t="str">
            <v>HD</v>
          </cell>
        </row>
        <row r="5359">
          <cell r="A5359" t="str">
            <v>HD SET BRSBY035</v>
          </cell>
          <cell r="B5359" t="str">
            <v>HEMODIALISA SET BPJS REUSE</v>
          </cell>
          <cell r="C5359" t="str">
            <v>HD</v>
          </cell>
        </row>
        <row r="5360">
          <cell r="A5360" t="str">
            <v>HD SET BRSBY037</v>
          </cell>
          <cell r="B5360" t="str">
            <v>HEMODIALISA SET BPJS REUSE</v>
          </cell>
          <cell r="C5360" t="str">
            <v>HD</v>
          </cell>
        </row>
        <row r="5361">
          <cell r="A5361" t="str">
            <v>HD SET BRSBY038</v>
          </cell>
          <cell r="B5361" t="str">
            <v>HEMODIALISA SET BPJS REUSE</v>
          </cell>
          <cell r="C5361" t="str">
            <v>HD</v>
          </cell>
        </row>
        <row r="5362">
          <cell r="A5362" t="str">
            <v>HD SET BRSBY039</v>
          </cell>
          <cell r="B5362" t="str">
            <v>HEMODIALISA SET BPJS REUSE</v>
          </cell>
          <cell r="C5362" t="str">
            <v>HD</v>
          </cell>
        </row>
        <row r="5363">
          <cell r="A5363" t="str">
            <v>HD SET BRSBY039-NAK</v>
          </cell>
          <cell r="B5363" t="str">
            <v>HEMODIALISA SET BPJS REUSE NON AK</v>
          </cell>
          <cell r="C5363" t="str">
            <v>HD</v>
          </cell>
        </row>
        <row r="5364">
          <cell r="A5364" t="str">
            <v>HD SET BRSBY040</v>
          </cell>
          <cell r="B5364" t="str">
            <v>HEMODIALISA SET BPJS REUSE</v>
          </cell>
          <cell r="C5364" t="str">
            <v>HD</v>
          </cell>
        </row>
        <row r="5365">
          <cell r="A5365" t="str">
            <v>HD SET BRSBY041</v>
          </cell>
          <cell r="B5365" t="str">
            <v>HEMODIALISA SET BPJS REUSE</v>
          </cell>
          <cell r="C5365" t="str">
            <v>HD</v>
          </cell>
        </row>
        <row r="5366">
          <cell r="A5366" t="str">
            <v>HD SET BRSBY042</v>
          </cell>
          <cell r="B5366" t="str">
            <v>HEMODIALISA SET BPJS REUSE</v>
          </cell>
          <cell r="C5366" t="str">
            <v>HD</v>
          </cell>
        </row>
        <row r="5367">
          <cell r="A5367" t="str">
            <v>HD SET BRSBY042NAVAK</v>
          </cell>
          <cell r="B5367" t="str">
            <v>HEMODIALISA SET BPJS REUSE NON AVF &amp; AK</v>
          </cell>
          <cell r="C5367" t="str">
            <v>HD</v>
          </cell>
        </row>
        <row r="5368">
          <cell r="A5368" t="str">
            <v>HD SET BRSBY043</v>
          </cell>
          <cell r="B5368" t="str">
            <v>HEMODIALISA SET BPJS REUSE</v>
          </cell>
          <cell r="C5368" t="str">
            <v>HD</v>
          </cell>
        </row>
        <row r="5369">
          <cell r="A5369" t="str">
            <v>HD SET BRSBY043 ANAK</v>
          </cell>
          <cell r="B5369" t="str">
            <v>HEMODIALISA SET BPJS REUSE ANAK</v>
          </cell>
          <cell r="C5369" t="str">
            <v>HD</v>
          </cell>
        </row>
        <row r="5370">
          <cell r="A5370" t="str">
            <v>HD SET BRSBY044</v>
          </cell>
          <cell r="B5370" t="str">
            <v>HEMODIALISA SET BPJS REUSE</v>
          </cell>
          <cell r="C5370" t="str">
            <v>HD</v>
          </cell>
        </row>
        <row r="5371">
          <cell r="A5371" t="str">
            <v>HD SET BRSBY044ANAVF</v>
          </cell>
          <cell r="B5371" t="str">
            <v>HEMODIALISA SET REUSE ANAK NON AVFISTULA</v>
          </cell>
          <cell r="C5371" t="str">
            <v>HD</v>
          </cell>
        </row>
        <row r="5372">
          <cell r="A5372" t="str">
            <v>HD SET BRSBY044-NAVF</v>
          </cell>
          <cell r="B5372" t="str">
            <v>HEMODIALISA SET REUSE NON AVFISTULA</v>
          </cell>
          <cell r="C5372" t="str">
            <v>HD</v>
          </cell>
        </row>
        <row r="5373">
          <cell r="A5373" t="str">
            <v>HD SET BRSBY045</v>
          </cell>
          <cell r="B5373" t="str">
            <v>HEMODIALISA SET BPJS REUSE</v>
          </cell>
          <cell r="C5373" t="str">
            <v>HD</v>
          </cell>
        </row>
        <row r="5374">
          <cell r="A5374" t="str">
            <v>HD SET BRSBY045-NAVF</v>
          </cell>
          <cell r="B5374" t="str">
            <v>HEMODIALISA SET BPJS REUSE  NON AVFISTULA</v>
          </cell>
          <cell r="C5374" t="str">
            <v>HD</v>
          </cell>
        </row>
        <row r="5375">
          <cell r="A5375" t="str">
            <v>HD SET BRSBY045-P</v>
          </cell>
          <cell r="B5375" t="str">
            <v>HEMODIALISA SET BPJS REUSE</v>
          </cell>
          <cell r="C5375" t="str">
            <v>HD</v>
          </cell>
        </row>
        <row r="5376">
          <cell r="A5376" t="str">
            <v>HD SET BRSBY046</v>
          </cell>
          <cell r="B5376" t="str">
            <v>HEMODIALISA SET BPJS REUSE</v>
          </cell>
          <cell r="C5376" t="str">
            <v>HD</v>
          </cell>
        </row>
        <row r="5377">
          <cell r="A5377" t="str">
            <v>HD SET BRSBY046NATAK</v>
          </cell>
          <cell r="B5377" t="str">
            <v>HEMODIALISA SET BPJS REUSE NON AT &amp; AK</v>
          </cell>
          <cell r="C5377" t="str">
            <v>HD</v>
          </cell>
        </row>
        <row r="5378">
          <cell r="A5378" t="str">
            <v>HD SET BRSBY047</v>
          </cell>
          <cell r="B5378" t="str">
            <v>HEMODIALISA SET BPJS REUSE</v>
          </cell>
          <cell r="C5378" t="str">
            <v>HD</v>
          </cell>
        </row>
        <row r="5379">
          <cell r="A5379" t="str">
            <v>HD SET BRSBY047-NA1</v>
          </cell>
          <cell r="B5379" t="str">
            <v>HEMODIALISA SET BPJS REUSE</v>
          </cell>
          <cell r="C5379" t="str">
            <v>HD</v>
          </cell>
        </row>
        <row r="5380">
          <cell r="A5380" t="str">
            <v>HD SET BRSBY047-NAVF</v>
          </cell>
          <cell r="B5380" t="str">
            <v>HEMODIALISA SET BPJS REUSE</v>
          </cell>
          <cell r="C5380" t="str">
            <v>HD</v>
          </cell>
        </row>
        <row r="5381">
          <cell r="A5381" t="str">
            <v>HD SET BRSBY047-NB1</v>
          </cell>
          <cell r="B5381" t="str">
            <v>HEMODIALISA SET BPJS REUSE</v>
          </cell>
          <cell r="C5381" t="str">
            <v>HD</v>
          </cell>
        </row>
        <row r="5382">
          <cell r="A5382" t="str">
            <v>HD SET BRSBY047-NCON</v>
          </cell>
          <cell r="B5382" t="str">
            <v>HEMODIALISA SET BPJS REUSE</v>
          </cell>
          <cell r="C5382" t="str">
            <v>HD</v>
          </cell>
        </row>
        <row r="5383">
          <cell r="A5383" t="str">
            <v>HD SET BRSBY048</v>
          </cell>
          <cell r="B5383" t="str">
            <v>HEMODIALISA SET BPJS REUSE</v>
          </cell>
          <cell r="C5383" t="str">
            <v>HD</v>
          </cell>
        </row>
        <row r="5384">
          <cell r="A5384" t="str">
            <v>HD SET BRSBY049</v>
          </cell>
          <cell r="B5384" t="str">
            <v>HEMODIALISA SET BPJS REUSE</v>
          </cell>
          <cell r="C5384" t="str">
            <v>HD</v>
          </cell>
        </row>
        <row r="5385">
          <cell r="A5385" t="str">
            <v>HD SET BRSBY050</v>
          </cell>
          <cell r="B5385" t="str">
            <v>HEMODIALISA SET BPJS REUSE</v>
          </cell>
          <cell r="C5385" t="str">
            <v>HD</v>
          </cell>
        </row>
        <row r="5386">
          <cell r="A5386" t="str">
            <v>HD SET BRSBY050-NA1</v>
          </cell>
          <cell r="B5386" t="str">
            <v>HEMODIALISA SET BPJS REUSE</v>
          </cell>
          <cell r="C5386" t="str">
            <v>HD</v>
          </cell>
        </row>
        <row r="5387">
          <cell r="A5387" t="str">
            <v>HD SET BRSBY050-NAVF</v>
          </cell>
          <cell r="B5387" t="str">
            <v>HEMODIALISA SET BPJS REUSE</v>
          </cell>
          <cell r="C5387" t="str">
            <v>HD</v>
          </cell>
        </row>
        <row r="5388">
          <cell r="A5388" t="str">
            <v>HD SET BRSBY050-NB1</v>
          </cell>
          <cell r="B5388" t="str">
            <v>HEMODIALISA SET BPJS REUSE</v>
          </cell>
          <cell r="C5388" t="str">
            <v>HD</v>
          </cell>
        </row>
        <row r="5389">
          <cell r="A5389" t="str">
            <v>HD SET BRSBY050-NCON</v>
          </cell>
          <cell r="B5389" t="str">
            <v>HEMODIALISA SET BPJS REUSE</v>
          </cell>
          <cell r="C5389" t="str">
            <v>HD</v>
          </cell>
        </row>
        <row r="5390">
          <cell r="A5390" t="str">
            <v>HD SET BRSBY051</v>
          </cell>
          <cell r="B5390" t="str">
            <v>HEMODIALISA SET BPJS REUSE</v>
          </cell>
          <cell r="C5390" t="str">
            <v>HD</v>
          </cell>
        </row>
        <row r="5391">
          <cell r="A5391" t="str">
            <v>HD SET BRSBY051NAVAK</v>
          </cell>
          <cell r="B5391" t="str">
            <v>HEMODIALISA SET BPJS REUSE NON AVF &amp; AK</v>
          </cell>
          <cell r="C5391" t="str">
            <v>HD</v>
          </cell>
        </row>
        <row r="5392">
          <cell r="A5392" t="str">
            <v>HD SET BRSBY051-NAVF</v>
          </cell>
          <cell r="B5392" t="str">
            <v>HEMODIALISA SET BPJS REUSE NON AVFISTULA</v>
          </cell>
          <cell r="C5392" t="str">
            <v>HD</v>
          </cell>
        </row>
        <row r="5393">
          <cell r="A5393" t="str">
            <v>HD SET BRSBY052</v>
          </cell>
          <cell r="B5393" t="str">
            <v>HEMODIALISA SET BPJS REUSE</v>
          </cell>
          <cell r="C5393" t="str">
            <v>HD</v>
          </cell>
        </row>
        <row r="5394">
          <cell r="A5394" t="str">
            <v>HD SET BRSBY053</v>
          </cell>
          <cell r="B5394" t="str">
            <v>HEMODIALISA SET BPJS REUSE</v>
          </cell>
          <cell r="C5394" t="str">
            <v>HD</v>
          </cell>
        </row>
        <row r="5395">
          <cell r="A5395" t="str">
            <v>HD SET BRSBY054</v>
          </cell>
          <cell r="B5395" t="str">
            <v>HEMODIALISA SET BPJS REUSE</v>
          </cell>
          <cell r="C5395" t="str">
            <v>HD</v>
          </cell>
        </row>
        <row r="5396">
          <cell r="A5396" t="str">
            <v>HD SET BRSBY055</v>
          </cell>
          <cell r="B5396" t="str">
            <v>HEMODIALISA SET BPJS REUSE</v>
          </cell>
          <cell r="C5396" t="str">
            <v>HD</v>
          </cell>
        </row>
        <row r="5397">
          <cell r="A5397" t="str">
            <v>HD SET BRSBY055-NA1</v>
          </cell>
          <cell r="B5397" t="str">
            <v>HEMODIALISA SET BPJS REUSE</v>
          </cell>
          <cell r="C5397" t="str">
            <v>HD</v>
          </cell>
        </row>
        <row r="5398">
          <cell r="A5398" t="str">
            <v>HD SET BRSBY055-NAV</v>
          </cell>
          <cell r="B5398" t="str">
            <v>HEMODIALISA SET BPJS REUSE</v>
          </cell>
          <cell r="C5398" t="str">
            <v>HD</v>
          </cell>
        </row>
        <row r="5399">
          <cell r="A5399" t="str">
            <v>HD SET BRSBY055-NAVF</v>
          </cell>
          <cell r="B5399" t="str">
            <v>HEMODIALISA SET BPJS REUSE</v>
          </cell>
          <cell r="C5399" t="str">
            <v>HD</v>
          </cell>
        </row>
        <row r="5400">
          <cell r="A5400" t="str">
            <v>HD SET BRSBY055NCON</v>
          </cell>
          <cell r="B5400" t="str">
            <v>HEMODIALISA SET BPJS REUSE</v>
          </cell>
          <cell r="C5400" t="str">
            <v>HD</v>
          </cell>
        </row>
        <row r="5401">
          <cell r="A5401" t="str">
            <v>HD SET BRSBY056</v>
          </cell>
          <cell r="B5401" t="str">
            <v>HEMODIALISA SET BPJS REUSE</v>
          </cell>
          <cell r="C5401" t="str">
            <v>HD</v>
          </cell>
        </row>
        <row r="5402">
          <cell r="A5402" t="str">
            <v>HD SET BRSBY056NAKAT</v>
          </cell>
          <cell r="B5402" t="str">
            <v>HEMODIALISA SET BPJS REUSE</v>
          </cell>
          <cell r="C5402" t="str">
            <v>HD</v>
          </cell>
        </row>
        <row r="5403">
          <cell r="A5403" t="str">
            <v>HD SET BRSBY056-P</v>
          </cell>
          <cell r="B5403" t="str">
            <v>HEMODIALISA SET BPJS REUSE</v>
          </cell>
          <cell r="C5403" t="str">
            <v>HD</v>
          </cell>
        </row>
        <row r="5404">
          <cell r="A5404" t="str">
            <v>HD SET BRSBY056-P1</v>
          </cell>
          <cell r="B5404" t="str">
            <v>HEMODIALISA SET BPJS REUSE</v>
          </cell>
          <cell r="C5404" t="str">
            <v>HD</v>
          </cell>
        </row>
        <row r="5405">
          <cell r="A5405" t="str">
            <v>HD SET BRSBY057</v>
          </cell>
          <cell r="B5405" t="str">
            <v>HEMODIALISA SET BPJS REUSE</v>
          </cell>
          <cell r="C5405" t="str">
            <v>HD</v>
          </cell>
        </row>
        <row r="5406">
          <cell r="A5406" t="str">
            <v>HD SET BRSBY058</v>
          </cell>
          <cell r="B5406" t="str">
            <v>HEMODIALISA SET BPJS REUSE</v>
          </cell>
          <cell r="C5406" t="str">
            <v>HD</v>
          </cell>
        </row>
        <row r="5407">
          <cell r="A5407" t="str">
            <v>HD SET BRSBY058-P</v>
          </cell>
          <cell r="B5407" t="str">
            <v>HEMODIALISA SET BPJS REUSE</v>
          </cell>
          <cell r="C5407" t="str">
            <v>HD</v>
          </cell>
        </row>
        <row r="5408">
          <cell r="A5408" t="str">
            <v>HD SET BRSBY058-P2</v>
          </cell>
          <cell r="B5408" t="str">
            <v>HEMODIALISA SET BPJS REUSE</v>
          </cell>
          <cell r="C5408" t="str">
            <v>HD</v>
          </cell>
        </row>
        <row r="5409">
          <cell r="A5409" t="str">
            <v>HD SET BRSBY059</v>
          </cell>
          <cell r="B5409" t="str">
            <v>HEMODIALISA SET BPJS REUSE</v>
          </cell>
          <cell r="C5409" t="str">
            <v>HD</v>
          </cell>
        </row>
        <row r="5410">
          <cell r="A5410" t="str">
            <v>HD SET BRSBY059 ATAK</v>
          </cell>
          <cell r="B5410" t="str">
            <v>HEMODIALISA SET BPJS REUSE AK &amp; AT</v>
          </cell>
          <cell r="C5410" t="str">
            <v>HD</v>
          </cell>
        </row>
        <row r="5411">
          <cell r="A5411" t="str">
            <v>HD SET BRSBY059NAKAT</v>
          </cell>
          <cell r="B5411" t="str">
            <v>HEMODIALISA SET BPJS REUSE NON AK &amp; AT</v>
          </cell>
          <cell r="C5411" t="str">
            <v>HD</v>
          </cell>
        </row>
        <row r="5412">
          <cell r="A5412" t="str">
            <v>HD SET BRSBY060</v>
          </cell>
          <cell r="B5412" t="str">
            <v>HEMODIALISA SET BPJS REUSE</v>
          </cell>
          <cell r="C5412" t="str">
            <v>HD</v>
          </cell>
        </row>
        <row r="5413">
          <cell r="A5413" t="str">
            <v>HD SET BRSBY061</v>
          </cell>
          <cell r="B5413" t="str">
            <v>HEMODIALISA SET BPJS REUSE</v>
          </cell>
          <cell r="C5413" t="str">
            <v>HD</v>
          </cell>
        </row>
        <row r="5414">
          <cell r="A5414" t="str">
            <v>HD SET BRSBY061-NAVF</v>
          </cell>
          <cell r="B5414" t="str">
            <v>HEMODIALISA SET BPJS REUSE NON AVFISTULA</v>
          </cell>
          <cell r="C5414" t="str">
            <v>HD</v>
          </cell>
        </row>
        <row r="5415">
          <cell r="A5415" t="str">
            <v>HD SET BRSBY062</v>
          </cell>
          <cell r="B5415" t="str">
            <v>HEMODIALISA SET BPJS REUSE</v>
          </cell>
          <cell r="C5415" t="str">
            <v>HD</v>
          </cell>
        </row>
        <row r="5416">
          <cell r="A5416" t="str">
            <v>HD SET BRSBY062NAVFT</v>
          </cell>
          <cell r="B5416" t="str">
            <v>HEMODIALISA SET BPJS REUSE NON AVFISTULA</v>
          </cell>
          <cell r="C5416" t="str">
            <v>HD</v>
          </cell>
        </row>
        <row r="5417">
          <cell r="A5417" t="str">
            <v>HD SET BRSBY062-NVT</v>
          </cell>
          <cell r="B5417" t="str">
            <v>HEMODIALISA SET BPJS REUSE</v>
          </cell>
          <cell r="C5417" t="str">
            <v>HD</v>
          </cell>
        </row>
        <row r="5418">
          <cell r="A5418" t="str">
            <v>HD SET BRSBY063</v>
          </cell>
          <cell r="B5418" t="str">
            <v>HEMODIALISA SET BPJS REUSE</v>
          </cell>
          <cell r="C5418" t="str">
            <v>HD</v>
          </cell>
        </row>
        <row r="5419">
          <cell r="A5419" t="str">
            <v>HD SET BRSBY064</v>
          </cell>
          <cell r="B5419" t="str">
            <v>HEMODIALISA SET BPJS REUSE</v>
          </cell>
          <cell r="C5419" t="str">
            <v>HD</v>
          </cell>
        </row>
        <row r="5420">
          <cell r="A5420" t="str">
            <v>HD SET BRSBY064-P</v>
          </cell>
          <cell r="B5420" t="str">
            <v>HEMODIALISA SET BPJS LENGKAP</v>
          </cell>
          <cell r="C5420" t="str">
            <v>HD</v>
          </cell>
        </row>
        <row r="5421">
          <cell r="A5421" t="str">
            <v>HD SET BRSBY065</v>
          </cell>
          <cell r="B5421" t="str">
            <v>HEMODIALISA SET BPJS REUSE</v>
          </cell>
          <cell r="C5421" t="str">
            <v>HD</v>
          </cell>
        </row>
        <row r="5422">
          <cell r="A5422" t="str">
            <v>HD SET BRSBY065-P</v>
          </cell>
          <cell r="B5422" t="str">
            <v>HEMODIALISA SET BPJS REUSE</v>
          </cell>
          <cell r="C5422" t="str">
            <v>HD</v>
          </cell>
        </row>
        <row r="5423">
          <cell r="A5423" t="str">
            <v>HD SET BRSBY066</v>
          </cell>
          <cell r="B5423" t="str">
            <v>HEMODIALISA SET BPJS REUSE</v>
          </cell>
          <cell r="C5423" t="str">
            <v>HD</v>
          </cell>
        </row>
        <row r="5424">
          <cell r="A5424" t="str">
            <v>HD SET BRSBY067</v>
          </cell>
          <cell r="B5424" t="str">
            <v>HEMODIALISA SET BPJS REUSE</v>
          </cell>
          <cell r="C5424" t="str">
            <v>HD</v>
          </cell>
        </row>
        <row r="5425">
          <cell r="A5425" t="str">
            <v>HD SET BRSBY067NAVAK</v>
          </cell>
          <cell r="B5425" t="str">
            <v>HEMODIALISA SET BPJS REUSE NON AVF &amp; AK</v>
          </cell>
          <cell r="C5425" t="str">
            <v>HD</v>
          </cell>
        </row>
        <row r="5426">
          <cell r="A5426" t="str">
            <v>HD SET BRSBY068</v>
          </cell>
          <cell r="B5426" t="str">
            <v>HEMODIALISA SET BPJS REUSE</v>
          </cell>
          <cell r="C5426" t="str">
            <v>HD</v>
          </cell>
        </row>
        <row r="5427">
          <cell r="A5427" t="str">
            <v>HD SET BRSBY068-NAVF</v>
          </cell>
          <cell r="B5427" t="str">
            <v>HEMODIALISA SET BPJS REUSE NON AVFISTULA</v>
          </cell>
          <cell r="C5427" t="str">
            <v>HD</v>
          </cell>
        </row>
        <row r="5428">
          <cell r="A5428" t="str">
            <v>HD SET BRSBY069</v>
          </cell>
          <cell r="B5428" t="str">
            <v>HEMODIALISA SET BPJS REUSE</v>
          </cell>
          <cell r="C5428" t="str">
            <v>HD</v>
          </cell>
        </row>
        <row r="5429">
          <cell r="A5429" t="str">
            <v>HD SET BRSBY070</v>
          </cell>
          <cell r="B5429" t="str">
            <v>HEMODIALISA SET BPJS REUSE</v>
          </cell>
          <cell r="C5429" t="str">
            <v>HD</v>
          </cell>
        </row>
        <row r="5430">
          <cell r="A5430" t="str">
            <v>HD SET BRSBY071</v>
          </cell>
          <cell r="B5430" t="str">
            <v>HEMODIALISA SET BPJS REUSE</v>
          </cell>
          <cell r="C5430" t="str">
            <v>HD</v>
          </cell>
        </row>
        <row r="5431">
          <cell r="A5431" t="str">
            <v>HD SET BRSBY072</v>
          </cell>
          <cell r="B5431" t="str">
            <v>HEMODIALISA SET BPJS REUSE</v>
          </cell>
          <cell r="C5431" t="str">
            <v>HD</v>
          </cell>
        </row>
        <row r="5432">
          <cell r="A5432" t="str">
            <v>HD SET BRSBY073</v>
          </cell>
          <cell r="B5432" t="str">
            <v>HEMODIALISA SET BPJS REUSE</v>
          </cell>
          <cell r="C5432" t="str">
            <v>HD</v>
          </cell>
        </row>
        <row r="5433">
          <cell r="A5433" t="str">
            <v>HD SET BRSBY074</v>
          </cell>
          <cell r="B5433" t="str">
            <v>HEMODIALISA SET BPJS REUSE</v>
          </cell>
          <cell r="C5433" t="str">
            <v>HD</v>
          </cell>
        </row>
        <row r="5434">
          <cell r="A5434" t="str">
            <v>HD SET BRSBY074-P</v>
          </cell>
          <cell r="B5434" t="str">
            <v>HEMODIALISA SET BPJS REUSE</v>
          </cell>
          <cell r="C5434" t="str">
            <v>HD</v>
          </cell>
        </row>
        <row r="5435">
          <cell r="A5435" t="str">
            <v>HD SET BRSBY075</v>
          </cell>
          <cell r="B5435" t="str">
            <v>HEMODIALISA SET BPJS REUSE</v>
          </cell>
          <cell r="C5435" t="str">
            <v>HD</v>
          </cell>
        </row>
        <row r="5436">
          <cell r="A5436" t="str">
            <v>HD SET BRSBY078</v>
          </cell>
          <cell r="B5436" t="str">
            <v>HEMODIALISA SET BPJS REUSE</v>
          </cell>
          <cell r="C5436" t="str">
            <v>HD</v>
          </cell>
        </row>
        <row r="5437">
          <cell r="A5437" t="str">
            <v>HD SET BRSBY078-NAVF</v>
          </cell>
          <cell r="B5437" t="str">
            <v>HEMODIALISA SET BPJS REUSE NON AVFISTULA</v>
          </cell>
          <cell r="C5437" t="str">
            <v>HD</v>
          </cell>
        </row>
        <row r="5438">
          <cell r="A5438" t="str">
            <v>HD SET BRSBY080</v>
          </cell>
          <cell r="B5438" t="str">
            <v>HEMODIALISA SET BPJS REUSE</v>
          </cell>
          <cell r="C5438" t="str">
            <v>HD</v>
          </cell>
        </row>
        <row r="5439">
          <cell r="A5439" t="str">
            <v>HD SET BRSBY081</v>
          </cell>
          <cell r="B5439" t="str">
            <v>HEMODIALISA SET BPJS REUSE</v>
          </cell>
          <cell r="C5439" t="str">
            <v>HD</v>
          </cell>
        </row>
        <row r="5440">
          <cell r="A5440" t="str">
            <v>HD SET BRSBY082</v>
          </cell>
          <cell r="B5440" t="str">
            <v>HEMODIALISA SET BPJS REUSE</v>
          </cell>
          <cell r="C5440" t="str">
            <v>HD</v>
          </cell>
        </row>
        <row r="5441">
          <cell r="A5441" t="str">
            <v>HD SET BRSBY083</v>
          </cell>
          <cell r="B5441" t="str">
            <v>HEMODIALISA SET BPJS REUSE</v>
          </cell>
          <cell r="C5441" t="str">
            <v>HD</v>
          </cell>
        </row>
        <row r="5442">
          <cell r="A5442" t="str">
            <v>HD SET BRSBY084</v>
          </cell>
          <cell r="B5442" t="str">
            <v>HEMODIALISA SET BPJS REUSE</v>
          </cell>
          <cell r="C5442" t="str">
            <v>HD</v>
          </cell>
        </row>
        <row r="5443">
          <cell r="A5443" t="str">
            <v>HD SET BRSBY085</v>
          </cell>
          <cell r="B5443" t="str">
            <v>HEMODIALISA SET BPJS REUSE</v>
          </cell>
          <cell r="C5443" t="str">
            <v>HD</v>
          </cell>
        </row>
        <row r="5444">
          <cell r="A5444" t="str">
            <v>HD SET BRSBY086</v>
          </cell>
          <cell r="B5444" t="str">
            <v>HEMODIALISA SET BPJS REUSE</v>
          </cell>
          <cell r="C5444" t="str">
            <v>HD</v>
          </cell>
        </row>
        <row r="5445">
          <cell r="A5445" t="str">
            <v>HD SET BRSBY087</v>
          </cell>
          <cell r="B5445" t="str">
            <v>HEMODIALISA SET BPJS REUSE</v>
          </cell>
          <cell r="C5445" t="str">
            <v>HD</v>
          </cell>
        </row>
        <row r="5446">
          <cell r="A5446" t="str">
            <v>HD SET BRSBY087-NAVF</v>
          </cell>
          <cell r="B5446" t="str">
            <v>HEMODIALISA SET BPJS REUSE NON AVFISTULA</v>
          </cell>
          <cell r="C5446" t="str">
            <v>HD</v>
          </cell>
        </row>
        <row r="5447">
          <cell r="A5447" t="str">
            <v>HD SET BRSBY089</v>
          </cell>
          <cell r="B5447" t="str">
            <v>HEMODIALISA SET BPJS REUSE</v>
          </cell>
          <cell r="C5447" t="str">
            <v>HD</v>
          </cell>
        </row>
        <row r="5448">
          <cell r="A5448" t="str">
            <v>HD SET BRSBY089-NAVF</v>
          </cell>
          <cell r="B5448" t="str">
            <v>HEMODIALISA SET BPJS REUSE NON AVFISTULA</v>
          </cell>
          <cell r="C5448" t="str">
            <v>HD</v>
          </cell>
        </row>
        <row r="5449">
          <cell r="A5449" t="str">
            <v>HD SET BRSBY090</v>
          </cell>
          <cell r="B5449" t="str">
            <v>HEMODIALISA SET BPJS REUSE</v>
          </cell>
          <cell r="C5449" t="str">
            <v>HD</v>
          </cell>
        </row>
        <row r="5450">
          <cell r="A5450" t="str">
            <v>HD SET BRSBY092</v>
          </cell>
          <cell r="B5450" t="str">
            <v>HEMODIALISA SET BPJS REUSE</v>
          </cell>
          <cell r="C5450" t="str">
            <v>HD</v>
          </cell>
        </row>
        <row r="5451">
          <cell r="A5451" t="str">
            <v>HD SET BRSBY093</v>
          </cell>
          <cell r="B5451" t="str">
            <v>HEMODIALISA SET BPJS REUSE</v>
          </cell>
          <cell r="C5451" t="str">
            <v>HD</v>
          </cell>
        </row>
        <row r="5452">
          <cell r="A5452" t="str">
            <v>HD SET BRSBY094 HDP</v>
          </cell>
          <cell r="B5452" t="str">
            <v>HEMODIALISA SET BPJS REUSE DENGAN HD PACK</v>
          </cell>
          <cell r="C5452" t="str">
            <v>HD</v>
          </cell>
        </row>
        <row r="5453">
          <cell r="A5453" t="str">
            <v>HD SET BRSBY095</v>
          </cell>
          <cell r="B5453" t="str">
            <v>HEMODIALISA SET BPJS REUSE</v>
          </cell>
          <cell r="C5453" t="str">
            <v>HD</v>
          </cell>
        </row>
        <row r="5454">
          <cell r="A5454" t="str">
            <v>HD SET BRSBY095 HDP</v>
          </cell>
          <cell r="B5454" t="str">
            <v>HEMODIALISA SET BPJS REUSE DENGAN HD PACK</v>
          </cell>
          <cell r="C5454" t="str">
            <v>HD</v>
          </cell>
        </row>
        <row r="5455">
          <cell r="A5455" t="str">
            <v>HD SET BRSBY096</v>
          </cell>
          <cell r="B5455" t="str">
            <v>HEMODIALISA SET BPJS REUSE</v>
          </cell>
          <cell r="C5455" t="str">
            <v>HD</v>
          </cell>
        </row>
        <row r="5456">
          <cell r="A5456" t="str">
            <v>HD SET BRSBY097</v>
          </cell>
          <cell r="B5456" t="str">
            <v>HEMODIALISA SET BPJS REUSE</v>
          </cell>
          <cell r="C5456" t="str">
            <v>HD</v>
          </cell>
        </row>
        <row r="5457">
          <cell r="A5457" t="str">
            <v>HD SET BRSBY097-NAVF</v>
          </cell>
          <cell r="B5457" t="str">
            <v>HEMODIALISA SET BPJS REUSE TANPA AV FISTULA</v>
          </cell>
          <cell r="C5457" t="str">
            <v>HD</v>
          </cell>
        </row>
        <row r="5458">
          <cell r="A5458" t="str">
            <v>HD SET BRSBY098</v>
          </cell>
          <cell r="B5458" t="str">
            <v>HEMODIALISA SET BPJS REUSE</v>
          </cell>
          <cell r="C5458" t="str">
            <v>HD</v>
          </cell>
        </row>
        <row r="5459">
          <cell r="A5459" t="str">
            <v>HD SET BRSBY099</v>
          </cell>
          <cell r="B5459" t="str">
            <v>HEMODIALISA SET BPJS REUSE</v>
          </cell>
          <cell r="C5459" t="str">
            <v>HD</v>
          </cell>
        </row>
        <row r="5460">
          <cell r="A5460" t="str">
            <v>HD SET BRSBY100</v>
          </cell>
          <cell r="B5460" t="str">
            <v>HEMODIALISA SET BPJS REUSE</v>
          </cell>
          <cell r="C5460" t="str">
            <v>HD</v>
          </cell>
        </row>
        <row r="5461">
          <cell r="A5461" t="str">
            <v>HD SET BRSMG001</v>
          </cell>
          <cell r="B5461" t="str">
            <v>HEMODIALISA SET BPJS REUSE</v>
          </cell>
          <cell r="C5461" t="str">
            <v>HD</v>
          </cell>
        </row>
        <row r="5462">
          <cell r="A5462" t="str">
            <v>HD SET BRSMG001-NAK</v>
          </cell>
          <cell r="B5462" t="str">
            <v>HEMODIALISA SET BPJS REUSE NON AK</v>
          </cell>
          <cell r="C5462" t="str">
            <v>HD</v>
          </cell>
        </row>
        <row r="5463">
          <cell r="A5463" t="str">
            <v>HD SET BRSMG002</v>
          </cell>
          <cell r="B5463" t="str">
            <v>HEMODIALISA SET BPJS REUSE</v>
          </cell>
          <cell r="C5463" t="str">
            <v>HD</v>
          </cell>
        </row>
        <row r="5464">
          <cell r="A5464" t="str">
            <v>HD SET BRSMG003</v>
          </cell>
          <cell r="B5464" t="str">
            <v>HEMODIALISA SET BPJS REUSE</v>
          </cell>
          <cell r="C5464" t="str">
            <v>HD</v>
          </cell>
        </row>
        <row r="5465">
          <cell r="A5465" t="str">
            <v>HD SET BRSMG004</v>
          </cell>
          <cell r="B5465" t="str">
            <v>HEMODIALISA SET BPJS REUSE</v>
          </cell>
          <cell r="C5465" t="str">
            <v>HD</v>
          </cell>
        </row>
        <row r="5466">
          <cell r="A5466" t="str">
            <v>HD SET BRSMG004-NAVF</v>
          </cell>
          <cell r="B5466" t="str">
            <v>HEMODIALISA SET BPJS REUSE NON AV FISTULA</v>
          </cell>
          <cell r="C5466" t="str">
            <v>HD</v>
          </cell>
        </row>
        <row r="5467">
          <cell r="A5467" t="str">
            <v>HD SET BRSMG005</v>
          </cell>
          <cell r="B5467" t="str">
            <v>HEMODIALISA SET BPJS REUSE</v>
          </cell>
          <cell r="C5467" t="str">
            <v>HD</v>
          </cell>
        </row>
        <row r="5468">
          <cell r="A5468" t="str">
            <v>HD SET BRSMG005-NAVF</v>
          </cell>
          <cell r="B5468" t="str">
            <v>HEMODIALISA SET BPJS REUSE NON AVFISTULA</v>
          </cell>
          <cell r="C5468" t="str">
            <v>HD</v>
          </cell>
        </row>
        <row r="5469">
          <cell r="A5469" t="str">
            <v>HD SET BRSMG006</v>
          </cell>
          <cell r="B5469" t="str">
            <v>HEMODIALISA SET BPJS REUSE</v>
          </cell>
          <cell r="C5469" t="str">
            <v>HD</v>
          </cell>
        </row>
        <row r="5470">
          <cell r="A5470" t="str">
            <v>HD SET BRSMG006-AVAK</v>
          </cell>
          <cell r="B5470" t="str">
            <v>HEMODIALISA SET BPJS REUSE AVF DAN AK</v>
          </cell>
          <cell r="C5470" t="str">
            <v>HD</v>
          </cell>
        </row>
        <row r="5471">
          <cell r="A5471" t="str">
            <v>HD SET BRSMG006NATAK</v>
          </cell>
          <cell r="B5471" t="str">
            <v>HEMODIALISA SET BPJS REUSE NON AT &amp; AK</v>
          </cell>
          <cell r="C5471" t="str">
            <v>HD</v>
          </cell>
        </row>
        <row r="5472">
          <cell r="A5472" t="str">
            <v>HD SET BRSMG006-NAVF</v>
          </cell>
          <cell r="B5472" t="str">
            <v>HEMODIALISA SET REUSE REUSE NON AVFISTULA</v>
          </cell>
          <cell r="C5472" t="str">
            <v>HD</v>
          </cell>
        </row>
        <row r="5473">
          <cell r="A5473" t="str">
            <v>HD SET BRSMG006-NBTS</v>
          </cell>
          <cell r="B5473" t="str">
            <v>HEMODIALISA SET BPJS REUSE NON BTS</v>
          </cell>
          <cell r="C5473" t="str">
            <v>HD</v>
          </cell>
        </row>
        <row r="5474">
          <cell r="A5474" t="str">
            <v>HD SET BRSMG007</v>
          </cell>
          <cell r="B5474" t="str">
            <v>HEMODIALISA SET BPJS REUSE</v>
          </cell>
          <cell r="C5474" t="str">
            <v>HD</v>
          </cell>
        </row>
        <row r="5475">
          <cell r="A5475" t="str">
            <v>HD SET BRSMG007-NAVF</v>
          </cell>
          <cell r="B5475" t="str">
            <v>HEMODIALISA SET BPJS REUSE NON AVFISTULA</v>
          </cell>
          <cell r="C5475" t="str">
            <v>HD</v>
          </cell>
        </row>
        <row r="5476">
          <cell r="A5476" t="str">
            <v>HD SET BRSMG008</v>
          </cell>
          <cell r="B5476" t="str">
            <v>HEMODIALISA SET BPJS REUSE</v>
          </cell>
          <cell r="C5476" t="str">
            <v>HD</v>
          </cell>
        </row>
        <row r="5477">
          <cell r="A5477" t="str">
            <v>HD SET BRSMG009</v>
          </cell>
          <cell r="B5477" t="str">
            <v>HEMODIALISA SET BPJS REUSE</v>
          </cell>
          <cell r="C5477" t="str">
            <v>HD</v>
          </cell>
        </row>
        <row r="5478">
          <cell r="A5478" t="str">
            <v>HD SET BRSMG010</v>
          </cell>
          <cell r="B5478" t="str">
            <v>HEMODIALISA SET BPJS REUSE</v>
          </cell>
          <cell r="C5478" t="str">
            <v>HD</v>
          </cell>
        </row>
        <row r="5479">
          <cell r="A5479" t="str">
            <v>HD SET BRSMG010-NAVF</v>
          </cell>
          <cell r="B5479" t="str">
            <v>HEMODIALISA SET BPJS REUSE NON AVFISTULA</v>
          </cell>
          <cell r="C5479" t="str">
            <v>HD</v>
          </cell>
        </row>
        <row r="5480">
          <cell r="A5480" t="str">
            <v>HD SET BRSMG013</v>
          </cell>
          <cell r="B5480" t="str">
            <v>HEMODIALISA SET BPJS REUSE</v>
          </cell>
          <cell r="C5480" t="str">
            <v>HD</v>
          </cell>
        </row>
        <row r="5481">
          <cell r="A5481" t="str">
            <v>HD SET BRSMG013-NAVF</v>
          </cell>
          <cell r="B5481" t="str">
            <v>HEMODIALISA SET BPJS REUSE NON AVFISTULA</v>
          </cell>
          <cell r="C5481" t="str">
            <v>HD</v>
          </cell>
        </row>
        <row r="5482">
          <cell r="A5482" t="str">
            <v>HD SET BRSMG014</v>
          </cell>
          <cell r="B5482" t="str">
            <v>HEMODIALISA SET BPJS REUSE</v>
          </cell>
          <cell r="C5482" t="str">
            <v>HD</v>
          </cell>
        </row>
        <row r="5483">
          <cell r="A5483" t="str">
            <v>HD SET BRSMG015</v>
          </cell>
          <cell r="B5483" t="str">
            <v>HEMODIALISA SET BPJS REUSE</v>
          </cell>
          <cell r="C5483" t="str">
            <v>HD</v>
          </cell>
        </row>
        <row r="5484">
          <cell r="A5484" t="str">
            <v>HD SET BRSMG015-NAVF</v>
          </cell>
          <cell r="B5484" t="str">
            <v>HEMODIALISA SET BPJS REUSE NON AVFISTULA</v>
          </cell>
          <cell r="C5484" t="str">
            <v>HD</v>
          </cell>
        </row>
        <row r="5485">
          <cell r="A5485" t="str">
            <v>HD SET BRSMG017</v>
          </cell>
          <cell r="B5485" t="str">
            <v>HEMODIALISA SET BPJS REUSE</v>
          </cell>
          <cell r="C5485" t="str">
            <v>HD</v>
          </cell>
        </row>
        <row r="5486">
          <cell r="A5486" t="str">
            <v>HD SET BRSMG022</v>
          </cell>
          <cell r="B5486" t="str">
            <v>HEMODIALISA SET BPJS REUSE</v>
          </cell>
          <cell r="C5486" t="str">
            <v>HD</v>
          </cell>
        </row>
        <row r="5487">
          <cell r="A5487" t="str">
            <v>HD SET BRSMG022-NAVF</v>
          </cell>
          <cell r="B5487" t="str">
            <v>HEMODIALISA SET BPJS REUSE NON AVFISTULA</v>
          </cell>
          <cell r="C5487" t="str">
            <v>HD</v>
          </cell>
        </row>
        <row r="5488">
          <cell r="A5488" t="str">
            <v>HD SET BRSMG023</v>
          </cell>
          <cell r="B5488" t="str">
            <v>HEMODIALISA SET BPJS REUSE</v>
          </cell>
          <cell r="C5488" t="str">
            <v>HD</v>
          </cell>
        </row>
        <row r="5489">
          <cell r="A5489" t="str">
            <v>HD SET BRSMG024</v>
          </cell>
          <cell r="B5489" t="str">
            <v>HEMODIALISA SET BPJS REUSE</v>
          </cell>
          <cell r="C5489" t="str">
            <v>HD</v>
          </cell>
        </row>
        <row r="5490">
          <cell r="A5490" t="str">
            <v>HD SET BRSMG024-NAVF</v>
          </cell>
          <cell r="B5490" t="str">
            <v>HEMODIALISA SET BPJS REUSE NON AVFISTULA</v>
          </cell>
          <cell r="C5490" t="str">
            <v>HD</v>
          </cell>
        </row>
        <row r="5491">
          <cell r="A5491" t="str">
            <v>HD SET BRSMG025</v>
          </cell>
          <cell r="B5491" t="str">
            <v>HEMODIALISA SET BPJS REUSE</v>
          </cell>
          <cell r="C5491" t="str">
            <v>HD</v>
          </cell>
        </row>
        <row r="5492">
          <cell r="A5492" t="str">
            <v>HD SET BRSMG025-NAVF</v>
          </cell>
          <cell r="B5492" t="str">
            <v>HEMODIALISA SET BPJS REUSE NON AV FISTULA</v>
          </cell>
          <cell r="C5492" t="str">
            <v>HD</v>
          </cell>
        </row>
        <row r="5493">
          <cell r="A5493" t="str">
            <v>HD SET BRSMG026</v>
          </cell>
          <cell r="B5493" t="str">
            <v>HEMODIALISA SET BPJS REUSE</v>
          </cell>
          <cell r="C5493" t="str">
            <v>HD</v>
          </cell>
        </row>
        <row r="5494">
          <cell r="A5494" t="str">
            <v>HD SET BRSMG026-NAVF</v>
          </cell>
          <cell r="B5494" t="str">
            <v>HEMODIALISA SET BPJS REUSE NON AV FISTULA</v>
          </cell>
          <cell r="C5494" t="str">
            <v>HD</v>
          </cell>
        </row>
        <row r="5495">
          <cell r="A5495" t="str">
            <v>HD SET BRSMG027</v>
          </cell>
          <cell r="B5495" t="str">
            <v>HEMODIALISA SET BPJS REUSE</v>
          </cell>
          <cell r="C5495" t="str">
            <v>HD</v>
          </cell>
        </row>
        <row r="5496">
          <cell r="A5496" t="str">
            <v>HD SET BRSMG027-NAK</v>
          </cell>
          <cell r="B5496" t="str">
            <v>HEMODIALISA SET BPJS REUSE NON AK</v>
          </cell>
          <cell r="C5496" t="str">
            <v>HD</v>
          </cell>
        </row>
        <row r="5497">
          <cell r="A5497" t="str">
            <v>HD SET BRSMG027NATAK</v>
          </cell>
          <cell r="B5497" t="str">
            <v>HEMODIALISA SET BPJS REUSE NON AT &amp; AK</v>
          </cell>
          <cell r="C5497" t="str">
            <v>HD</v>
          </cell>
        </row>
        <row r="5498">
          <cell r="A5498" t="str">
            <v>HD SET BRSMG028</v>
          </cell>
          <cell r="B5498" t="str">
            <v>HEMODIALISA SET BPJS REUSE</v>
          </cell>
          <cell r="C5498" t="str">
            <v>HD</v>
          </cell>
        </row>
        <row r="5499">
          <cell r="A5499" t="str">
            <v>HD SET BRSMG028-NAVF</v>
          </cell>
          <cell r="B5499" t="str">
            <v>HEMODIALISA SET BPJS REUSE NON AV FISTULA</v>
          </cell>
          <cell r="C5499" t="str">
            <v>HD</v>
          </cell>
        </row>
        <row r="5500">
          <cell r="A5500" t="str">
            <v>HD SET BRSMG029</v>
          </cell>
          <cell r="B5500" t="str">
            <v>HEMODIALISA SET BPJS REUSE</v>
          </cell>
          <cell r="C5500" t="str">
            <v>HD</v>
          </cell>
        </row>
        <row r="5501">
          <cell r="A5501" t="str">
            <v>HD SET BRSMG029-NAVF</v>
          </cell>
          <cell r="B5501" t="str">
            <v>HEMODIALISA SET BPJS REUSE NON AVFISTULA</v>
          </cell>
          <cell r="C5501" t="str">
            <v>HD</v>
          </cell>
        </row>
        <row r="5502">
          <cell r="A5502" t="str">
            <v>HD SET BRSMG030</v>
          </cell>
          <cell r="B5502" t="str">
            <v>HEMODIALISA SET BPJS REUSE</v>
          </cell>
          <cell r="C5502" t="str">
            <v>HD</v>
          </cell>
        </row>
        <row r="5503">
          <cell r="A5503" t="str">
            <v>HD SET BRSMG030-NAVF</v>
          </cell>
          <cell r="B5503" t="str">
            <v>HEMODIALISA SET BPJS REUSE NON AVFISTULA</v>
          </cell>
          <cell r="C5503" t="str">
            <v>HD</v>
          </cell>
        </row>
        <row r="5504">
          <cell r="A5504" t="str">
            <v>HD SET BRSMG031</v>
          </cell>
          <cell r="B5504" t="str">
            <v>HEMODIALISA SET BPJS REUSE</v>
          </cell>
          <cell r="C5504" t="str">
            <v>HD</v>
          </cell>
        </row>
        <row r="5505">
          <cell r="A5505" t="str">
            <v>HD SET BRSMG032</v>
          </cell>
          <cell r="B5505" t="str">
            <v>HEMODIALISA SET BPJS REUSE</v>
          </cell>
          <cell r="C5505" t="str">
            <v>HD</v>
          </cell>
        </row>
        <row r="5506">
          <cell r="A5506" t="str">
            <v>HD SET BRSMG033</v>
          </cell>
          <cell r="B5506" t="str">
            <v>HEMODIALISA SET BPJS REUSE</v>
          </cell>
          <cell r="C5506" t="str">
            <v>HD</v>
          </cell>
        </row>
        <row r="5507">
          <cell r="A5507" t="str">
            <v>HD SET BRSMG034</v>
          </cell>
          <cell r="B5507" t="str">
            <v>HEMODIALISA SET BPJS REUSE</v>
          </cell>
          <cell r="C5507" t="str">
            <v>HD</v>
          </cell>
        </row>
        <row r="5508">
          <cell r="A5508" t="str">
            <v>HD SET BRSMG034-HDP</v>
          </cell>
          <cell r="B5508" t="str">
            <v>HEMODIALISA SET BPJS REUSE DENGAN HD PACK</v>
          </cell>
          <cell r="C5508" t="str">
            <v>HD</v>
          </cell>
        </row>
        <row r="5509">
          <cell r="A5509" t="str">
            <v>HD SET BRSMG035</v>
          </cell>
          <cell r="B5509" t="str">
            <v>HEMODIALISA SET BPJS REUSE</v>
          </cell>
          <cell r="C5509" t="str">
            <v>HD</v>
          </cell>
        </row>
        <row r="5510">
          <cell r="A5510" t="str">
            <v>HD SET BRSMG035NAVAK</v>
          </cell>
          <cell r="B5510" t="str">
            <v>HEMODIALISA SET BPJS REUSE NON AV FISTULA &amp; AK</v>
          </cell>
          <cell r="C5510" t="str">
            <v>HD</v>
          </cell>
        </row>
        <row r="5511">
          <cell r="A5511" t="str">
            <v>HD SET BRSMG036</v>
          </cell>
          <cell r="B5511" t="str">
            <v>HEMODIALISA SET BPJS REUSE</v>
          </cell>
          <cell r="C5511" t="str">
            <v>HD</v>
          </cell>
        </row>
        <row r="5512">
          <cell r="A5512" t="str">
            <v>HD SET BRSMG037</v>
          </cell>
          <cell r="B5512" t="str">
            <v>HEMODIALISA SET BPJS REUSE</v>
          </cell>
          <cell r="C5512" t="str">
            <v>HD</v>
          </cell>
        </row>
        <row r="5513">
          <cell r="A5513" t="str">
            <v>HD SET BRSMG038</v>
          </cell>
          <cell r="B5513" t="str">
            <v>HEMODIALISA SET BPJS REUSE</v>
          </cell>
          <cell r="C5513" t="str">
            <v>HD</v>
          </cell>
        </row>
        <row r="5514">
          <cell r="A5514" t="str">
            <v>HD SET BRSMG038-NAVF</v>
          </cell>
          <cell r="B5514" t="str">
            <v>HEMODIALISA SET BPJS REUSE NON AVFISTULA</v>
          </cell>
          <cell r="C5514" t="str">
            <v>HD</v>
          </cell>
        </row>
        <row r="5515">
          <cell r="A5515" t="str">
            <v>HD SET BRSMG039</v>
          </cell>
          <cell r="B5515" t="str">
            <v>HEMODIALISA SET BPJS REUSE</v>
          </cell>
          <cell r="C5515" t="str">
            <v>HD</v>
          </cell>
        </row>
        <row r="5516">
          <cell r="A5516" t="str">
            <v>HD SET BRSMG040</v>
          </cell>
          <cell r="B5516" t="str">
            <v>HEMODIALISA SET BPJS REUSE</v>
          </cell>
          <cell r="C5516" t="str">
            <v>HD</v>
          </cell>
        </row>
        <row r="5517">
          <cell r="A5517" t="str">
            <v>HD SET BRSMG040-NAVF</v>
          </cell>
          <cell r="B5517" t="str">
            <v>HEMODIALISA SET BPJS REUSE NON AVFISTULA</v>
          </cell>
          <cell r="C5517" t="str">
            <v>HD</v>
          </cell>
        </row>
        <row r="5518">
          <cell r="A5518" t="str">
            <v>HD SET BRSMG041</v>
          </cell>
          <cell r="B5518" t="str">
            <v>HEMODIALISA SET BPJS REUSE</v>
          </cell>
          <cell r="C5518" t="str">
            <v>HD</v>
          </cell>
        </row>
        <row r="5519">
          <cell r="A5519" t="str">
            <v>HD SET BRSMG041-NAVF</v>
          </cell>
          <cell r="B5519" t="str">
            <v>HEMODIALISA SET BPJS REUSE NON AVFISTULA</v>
          </cell>
          <cell r="C5519" t="str">
            <v>HD</v>
          </cell>
        </row>
        <row r="5520">
          <cell r="A5520" t="str">
            <v>HD SET BRSMG042</v>
          </cell>
          <cell r="B5520" t="str">
            <v>HEMODIALISA SET BPJS REUSE</v>
          </cell>
          <cell r="C5520" t="str">
            <v>HD</v>
          </cell>
        </row>
        <row r="5521">
          <cell r="A5521" t="str">
            <v>HD SET BRSMG042-NAVF</v>
          </cell>
          <cell r="B5521" t="str">
            <v>HEMODIALISA SET BPJS REUSE NON AVFISTULA</v>
          </cell>
          <cell r="C5521" t="str">
            <v>HD</v>
          </cell>
        </row>
        <row r="5522">
          <cell r="A5522" t="str">
            <v>HD SET BRSMG043</v>
          </cell>
          <cell r="B5522" t="str">
            <v>HEMODIALISA SET BPJS REUSE</v>
          </cell>
          <cell r="C5522" t="str">
            <v>HD</v>
          </cell>
        </row>
        <row r="5523">
          <cell r="A5523" t="str">
            <v>HD SET BRSMG045</v>
          </cell>
          <cell r="B5523" t="str">
            <v>HEMODIALISA SET BPJS REUSE</v>
          </cell>
          <cell r="C5523" t="str">
            <v>HD</v>
          </cell>
        </row>
        <row r="5524">
          <cell r="A5524" t="str">
            <v>HD SET BRSMG046</v>
          </cell>
          <cell r="B5524" t="str">
            <v>HEMODIALISA SET BPJS REUSE</v>
          </cell>
          <cell r="C5524" t="str">
            <v>HD</v>
          </cell>
        </row>
        <row r="5525">
          <cell r="A5525" t="str">
            <v>HD SET BRSMG046-NAVF</v>
          </cell>
          <cell r="B5525" t="str">
            <v>HEMODIALISA SET BPJS REUSE NON AVFISTULA</v>
          </cell>
          <cell r="C5525" t="str">
            <v>HD</v>
          </cell>
        </row>
        <row r="5526">
          <cell r="A5526" t="str">
            <v>HD SET BRSMG047</v>
          </cell>
          <cell r="B5526" t="str">
            <v>HEMODIALISA SET BPJS REUSE</v>
          </cell>
          <cell r="C5526" t="str">
            <v>HD</v>
          </cell>
        </row>
        <row r="5527">
          <cell r="A5527" t="str">
            <v>HD SET BRSMG047-NAVF</v>
          </cell>
          <cell r="B5527" t="str">
            <v>HEMODIALISA SET BPJS REUSE NON AVFISTULA</v>
          </cell>
          <cell r="C5527" t="str">
            <v>HD</v>
          </cell>
        </row>
        <row r="5528">
          <cell r="A5528" t="str">
            <v>HD SET BRSMG048</v>
          </cell>
          <cell r="B5528" t="str">
            <v>HEMODIALISA SET BPJS REUSE</v>
          </cell>
          <cell r="C5528" t="str">
            <v>HD</v>
          </cell>
        </row>
        <row r="5529">
          <cell r="A5529" t="str">
            <v>HD SET BRSMG049</v>
          </cell>
          <cell r="B5529" t="str">
            <v>HEMODIALISA SET BPJS REUSE</v>
          </cell>
          <cell r="C5529" t="str">
            <v>HD</v>
          </cell>
        </row>
        <row r="5530">
          <cell r="A5530" t="str">
            <v>HD SET BRSMG050</v>
          </cell>
          <cell r="B5530" t="str">
            <v>HEMODIALISA SET BPJS REUSE</v>
          </cell>
          <cell r="C5530" t="str">
            <v>HD</v>
          </cell>
        </row>
        <row r="5531">
          <cell r="A5531" t="str">
            <v>HD SET BRSMG050-BLAV</v>
          </cell>
          <cell r="B5531" t="str">
            <v>HEMODIALISA SET BPJS REUSE BLOOD TUBING &amp; AVF</v>
          </cell>
          <cell r="C5531" t="str">
            <v>HD</v>
          </cell>
        </row>
        <row r="5532">
          <cell r="A5532" t="str">
            <v>HD SET BRSMG050-NAK</v>
          </cell>
          <cell r="B5532" t="str">
            <v>HEMODIALISA SET BPJS REUSE NON AK</v>
          </cell>
          <cell r="C5532" t="str">
            <v>HD</v>
          </cell>
        </row>
        <row r="5533">
          <cell r="A5533" t="str">
            <v>HD SET BRSMG050NAVAK</v>
          </cell>
          <cell r="B5533" t="str">
            <v>HEMODIALISA SET BPJS REUSE NON AV FISTULA &amp; AK</v>
          </cell>
          <cell r="C5533" t="str">
            <v>HD</v>
          </cell>
        </row>
        <row r="5534">
          <cell r="A5534" t="str">
            <v>HD SET BRSMG050-NAVF</v>
          </cell>
          <cell r="B5534" t="str">
            <v>HEMODIALISA SET BPJS REUSE NON AVFISTULA</v>
          </cell>
          <cell r="C5534" t="str">
            <v>HD</v>
          </cell>
        </row>
        <row r="5535">
          <cell r="A5535" t="str">
            <v>HD SET BRSMG051</v>
          </cell>
          <cell r="B5535" t="str">
            <v>HEMODIALISA SET BPJS REUSE</v>
          </cell>
          <cell r="C5535" t="str">
            <v>HD</v>
          </cell>
        </row>
        <row r="5536">
          <cell r="A5536" t="str">
            <v>HD SET BRSMG051-NAVF</v>
          </cell>
          <cell r="B5536" t="str">
            <v>HEMODIALISA SET BPJS REUSE NON AVFISTULA</v>
          </cell>
          <cell r="C5536" t="str">
            <v>HD</v>
          </cell>
        </row>
        <row r="5537">
          <cell r="A5537" t="str">
            <v>HD SET BRSMG052</v>
          </cell>
          <cell r="B5537" t="str">
            <v>HEMODIALISA SET BPJS REUSE</v>
          </cell>
          <cell r="C5537" t="str">
            <v>HD</v>
          </cell>
        </row>
        <row r="5538">
          <cell r="A5538" t="str">
            <v>HD SET BRSMG053</v>
          </cell>
          <cell r="B5538" t="str">
            <v>HEMODIALISA SET BPJS REUSE</v>
          </cell>
          <cell r="C5538" t="str">
            <v>HD</v>
          </cell>
        </row>
        <row r="5539">
          <cell r="A5539" t="str">
            <v>HD SET BRSMG053-NAVF</v>
          </cell>
          <cell r="B5539" t="str">
            <v>HEMODIALISA SET BPJS REUSE NON AVFISTULA</v>
          </cell>
          <cell r="C5539" t="str">
            <v>HD</v>
          </cell>
        </row>
        <row r="5540">
          <cell r="A5540" t="str">
            <v>HD SET BRSMG054</v>
          </cell>
          <cell r="B5540" t="str">
            <v>HEMODIALISA SET BPJS REUSE</v>
          </cell>
          <cell r="C5540" t="str">
            <v>HD</v>
          </cell>
        </row>
        <row r="5541">
          <cell r="A5541" t="str">
            <v>HD SET BRSMG056</v>
          </cell>
          <cell r="B5541" t="str">
            <v>HEMODIALISA SET BPJS REUSE</v>
          </cell>
          <cell r="C5541" t="str">
            <v>HD</v>
          </cell>
        </row>
        <row r="5542">
          <cell r="A5542" t="str">
            <v>HD SET BRSMG058</v>
          </cell>
          <cell r="B5542" t="str">
            <v>HEMODIALISA SET BPJS REUSE</v>
          </cell>
          <cell r="C5542" t="str">
            <v>HD</v>
          </cell>
        </row>
        <row r="5543">
          <cell r="A5543" t="str">
            <v>HD SET BRSMG060</v>
          </cell>
          <cell r="B5543" t="str">
            <v>HEMODIALISA SET BPJS REUSE</v>
          </cell>
          <cell r="C5543" t="str">
            <v>HD</v>
          </cell>
        </row>
        <row r="5544">
          <cell r="A5544" t="str">
            <v>HD SET BRSMG062</v>
          </cell>
          <cell r="B5544" t="str">
            <v>HEMODIALISA SET BPJS REUSE</v>
          </cell>
          <cell r="C5544" t="str">
            <v>HD</v>
          </cell>
        </row>
        <row r="5545">
          <cell r="A5545" t="str">
            <v>HD SET BRSMG063</v>
          </cell>
          <cell r="B5545" t="str">
            <v>HEMODIALISA SET BPJS REUSE</v>
          </cell>
          <cell r="C5545" t="str">
            <v>HD</v>
          </cell>
        </row>
        <row r="5546">
          <cell r="A5546" t="str">
            <v>HD SET BRSMG066</v>
          </cell>
          <cell r="B5546" t="str">
            <v>HEMODIALISA SET BPJS REUSE</v>
          </cell>
          <cell r="C5546" t="str">
            <v>HD</v>
          </cell>
        </row>
        <row r="5547">
          <cell r="A5547" t="str">
            <v>HD SET BRSMG066-NAVF</v>
          </cell>
          <cell r="B5547" t="str">
            <v>HEMODIALISA SET BPJS REUSE NON AVFISTULA</v>
          </cell>
          <cell r="C5547" t="str">
            <v>HD</v>
          </cell>
        </row>
        <row r="5548">
          <cell r="A5548" t="str">
            <v>HD SET BRSMG068</v>
          </cell>
          <cell r="B5548" t="str">
            <v>HEMODIALISA SET BPJS REUSE</v>
          </cell>
          <cell r="C5548" t="str">
            <v>HD</v>
          </cell>
        </row>
        <row r="5549">
          <cell r="A5549" t="str">
            <v>HD SET BRSMG069</v>
          </cell>
          <cell r="B5549" t="str">
            <v>HEMODIALISA SET BPJS REUSE</v>
          </cell>
          <cell r="C5549" t="str">
            <v>HD</v>
          </cell>
        </row>
        <row r="5550">
          <cell r="A5550" t="str">
            <v>HD SET BRSMG069-NAVF</v>
          </cell>
          <cell r="B5550" t="str">
            <v>HEMODIALISA SET BPJS REUSE NON AVFISTULA</v>
          </cell>
          <cell r="C5550" t="str">
            <v>HD</v>
          </cell>
        </row>
        <row r="5551">
          <cell r="A5551" t="str">
            <v>HD SET BRSMG071</v>
          </cell>
          <cell r="B5551" t="str">
            <v>HEMODIALISA SET BPJS REUSE</v>
          </cell>
          <cell r="C5551" t="str">
            <v>HD</v>
          </cell>
        </row>
        <row r="5552">
          <cell r="A5552" t="str">
            <v>HD SET BRSMG072</v>
          </cell>
          <cell r="B5552" t="str">
            <v>HEMODIALISA SET BPJS REUSE</v>
          </cell>
          <cell r="C5552" t="str">
            <v>HD</v>
          </cell>
        </row>
        <row r="5553">
          <cell r="A5553" t="str">
            <v>HD SET BRSMG072NAVAK</v>
          </cell>
          <cell r="B5553" t="str">
            <v>HEMODIALISA SET BPJS REUSE NON AV FISTULA &amp; AK</v>
          </cell>
          <cell r="C5553" t="str">
            <v>HD</v>
          </cell>
        </row>
        <row r="5554">
          <cell r="A5554" t="str">
            <v>HD SET BRSMG072-NAVF</v>
          </cell>
          <cell r="B5554" t="str">
            <v>HEMODIALISA SET BPJS REUSE NON AVFISTULA</v>
          </cell>
          <cell r="C5554" t="str">
            <v>HD</v>
          </cell>
        </row>
        <row r="5555">
          <cell r="A5555" t="str">
            <v>HD SET BRSMG073</v>
          </cell>
          <cell r="B5555" t="str">
            <v>HEMODIALISA SET BPJS REUSE</v>
          </cell>
          <cell r="C5555" t="str">
            <v>HD</v>
          </cell>
        </row>
        <row r="5556">
          <cell r="A5556" t="str">
            <v>HD SET BRSMG073-NAT</v>
          </cell>
          <cell r="B5556" t="str">
            <v>HEMODIALISA SET BPJS REUSE NON AT</v>
          </cell>
          <cell r="C5556" t="str">
            <v>HD</v>
          </cell>
        </row>
        <row r="5557">
          <cell r="A5557" t="str">
            <v>HD SET BRSMG074</v>
          </cell>
          <cell r="B5557" t="str">
            <v>HEMODIALISA SET BPJS REUSE</v>
          </cell>
          <cell r="C5557" t="str">
            <v>HD</v>
          </cell>
        </row>
        <row r="5558">
          <cell r="A5558" t="str">
            <v>HD SET BRSMG074-NAVF</v>
          </cell>
          <cell r="B5558" t="str">
            <v>HEMODIALISA SET BPJS REUSE NON AVFISTULA</v>
          </cell>
          <cell r="C5558" t="str">
            <v>HD</v>
          </cell>
        </row>
        <row r="5559">
          <cell r="A5559" t="str">
            <v>HD SET BRSMG075</v>
          </cell>
          <cell r="B5559" t="str">
            <v>HEMODIALISA SET BPJS REUSE</v>
          </cell>
          <cell r="C5559" t="str">
            <v>HD</v>
          </cell>
        </row>
        <row r="5560">
          <cell r="A5560" t="str">
            <v>HD SET BRSMG075NAVAT</v>
          </cell>
          <cell r="B5560" t="str">
            <v/>
          </cell>
          <cell r="C5560" t="str">
            <v>HD</v>
          </cell>
        </row>
        <row r="5561">
          <cell r="A5561" t="str">
            <v>HD SET BRSMG075-NAVF</v>
          </cell>
          <cell r="B5561" t="str">
            <v>HEMODIALISA SET BPJS REUSE NON AVFISTULA</v>
          </cell>
          <cell r="C5561" t="str">
            <v>HD</v>
          </cell>
        </row>
        <row r="5562">
          <cell r="A5562" t="str">
            <v>HD SET BRSMG077</v>
          </cell>
          <cell r="B5562" t="str">
            <v>HEMODIALISA SET BPJS REUSE</v>
          </cell>
          <cell r="C5562" t="str">
            <v>HD</v>
          </cell>
        </row>
        <row r="5563">
          <cell r="A5563" t="str">
            <v>HD SET BRSMG078</v>
          </cell>
          <cell r="B5563" t="str">
            <v>HEMODIALISA SET BPJS REUSE</v>
          </cell>
          <cell r="C5563" t="str">
            <v>HD</v>
          </cell>
        </row>
        <row r="5564">
          <cell r="A5564" t="str">
            <v>HD SET BRSMG079</v>
          </cell>
          <cell r="B5564" t="str">
            <v>HEMODIALISA SET BPJS REUSE</v>
          </cell>
          <cell r="C5564" t="str">
            <v>HD</v>
          </cell>
        </row>
        <row r="5565">
          <cell r="A5565" t="str">
            <v>HD SET BRSMG080-HDP</v>
          </cell>
          <cell r="B5565" t="str">
            <v>HEMODIALISA SET BPJS REUSE DENGAN HD PACK</v>
          </cell>
          <cell r="C5565" t="str">
            <v>HD</v>
          </cell>
        </row>
        <row r="5566">
          <cell r="A5566" t="str">
            <v>HD SET BRSMG080-NAV1</v>
          </cell>
          <cell r="B5566" t="str">
            <v>HEMODIALISA SET BPJS REUSE NON AVFISTULA</v>
          </cell>
          <cell r="C5566" t="str">
            <v>HD</v>
          </cell>
        </row>
        <row r="5567">
          <cell r="A5567" t="str">
            <v>HD SET BRSMG080-NAVF</v>
          </cell>
          <cell r="B5567" t="str">
            <v>HEMODIALISA SET BPJS REUSE NON AVFISTULA</v>
          </cell>
          <cell r="C5567" t="str">
            <v>HD</v>
          </cell>
        </row>
        <row r="5568">
          <cell r="A5568" t="str">
            <v>HD SET BRSTD</v>
          </cell>
          <cell r="B5568" t="str">
            <v>HEMODIALISA SET BPJS REUSE</v>
          </cell>
          <cell r="C5568" t="str">
            <v>HD</v>
          </cell>
        </row>
        <row r="5569">
          <cell r="A5569" t="str">
            <v>HD SET BRSTD-NAVF</v>
          </cell>
          <cell r="B5569" t="str">
            <v>HEMODIALISA SET BPJS REUSE NON AVFISTULA</v>
          </cell>
          <cell r="C5569" t="str">
            <v>HD</v>
          </cell>
        </row>
        <row r="5570">
          <cell r="A5570" t="str">
            <v>HD SET BRYGY001</v>
          </cell>
          <cell r="B5570" t="str">
            <v>HEMODIALISA SET BPJS REUSE</v>
          </cell>
          <cell r="C5570" t="str">
            <v>HD</v>
          </cell>
        </row>
        <row r="5571">
          <cell r="A5571" t="str">
            <v>HD SET BRYGY003</v>
          </cell>
          <cell r="B5571" t="str">
            <v>HEMODIALISA SET BPJS REUSE</v>
          </cell>
          <cell r="C5571" t="str">
            <v>HD</v>
          </cell>
        </row>
        <row r="5572">
          <cell r="A5572" t="str">
            <v>HD SET BRYGY004</v>
          </cell>
          <cell r="B5572" t="str">
            <v>HEMODIALISA SET BPJS REUSE</v>
          </cell>
          <cell r="C5572" t="str">
            <v>HD</v>
          </cell>
        </row>
        <row r="5573">
          <cell r="A5573" t="str">
            <v>HD SET BRYGY005</v>
          </cell>
          <cell r="B5573" t="str">
            <v>HEMODIALISA SET BPJS REUSE</v>
          </cell>
          <cell r="C5573" t="str">
            <v>HD</v>
          </cell>
        </row>
        <row r="5574">
          <cell r="A5574" t="str">
            <v>HD SET BRYGY006</v>
          </cell>
          <cell r="B5574" t="str">
            <v>HEMODIALISA SET BPJS REUSE</v>
          </cell>
          <cell r="C5574" t="str">
            <v>HD</v>
          </cell>
        </row>
        <row r="5575">
          <cell r="A5575" t="str">
            <v>HD SET BRYGY007</v>
          </cell>
          <cell r="B5575" t="str">
            <v>HEMODIALISA SET BPJS REUSE</v>
          </cell>
          <cell r="C5575" t="str">
            <v>HD</v>
          </cell>
        </row>
        <row r="5576">
          <cell r="A5576" t="str">
            <v>HD SET BRYGY007-NAVF</v>
          </cell>
          <cell r="B5576" t="str">
            <v>HEMODIALISA SET BPJS REUSE NON AVFISTULA</v>
          </cell>
          <cell r="C5576" t="str">
            <v>HD</v>
          </cell>
        </row>
        <row r="5577">
          <cell r="A5577" t="str">
            <v>HD SET BRYGY008</v>
          </cell>
          <cell r="B5577" t="str">
            <v>HEMODIALISA SET BPJS REUSE</v>
          </cell>
          <cell r="C5577" t="str">
            <v>HD</v>
          </cell>
        </row>
        <row r="5578">
          <cell r="A5578" t="str">
            <v>HD SET BRYGY010</v>
          </cell>
          <cell r="B5578" t="str">
            <v>HEMODIALISA SET BPJS REUSE</v>
          </cell>
          <cell r="C5578" t="str">
            <v>HD</v>
          </cell>
        </row>
        <row r="5579">
          <cell r="A5579" t="str">
            <v>HD SET BRYGY011</v>
          </cell>
          <cell r="B5579" t="str">
            <v>HEMODIALISA SET BPJS REUSE</v>
          </cell>
          <cell r="C5579" t="str">
            <v>HD</v>
          </cell>
        </row>
        <row r="5580">
          <cell r="A5580" t="str">
            <v>HD SET BRYGY013</v>
          </cell>
          <cell r="B5580" t="str">
            <v>HEMODIALISA SET BPJS REUSE</v>
          </cell>
          <cell r="C5580" t="str">
            <v>HD</v>
          </cell>
        </row>
        <row r="5581">
          <cell r="A5581" t="str">
            <v>HD SET BRYGY013-NAVF</v>
          </cell>
          <cell r="B5581" t="str">
            <v>HEMODIALISA SET BPJS REUSE NON AVFISTULA</v>
          </cell>
          <cell r="C5581" t="str">
            <v>HD</v>
          </cell>
        </row>
        <row r="5582">
          <cell r="A5582" t="str">
            <v>HD SET LSBY050</v>
          </cell>
          <cell r="B5582" t="str">
            <v>HEMODIALISA SET BPJS LENGKAP</v>
          </cell>
          <cell r="C5582" t="str">
            <v>HD</v>
          </cell>
        </row>
        <row r="5583">
          <cell r="A5583" t="str">
            <v>HD SET ULBDG001</v>
          </cell>
          <cell r="B5583" t="str">
            <v>HEMODIALISA SET UMUM LENGKAP</v>
          </cell>
          <cell r="C5583" t="str">
            <v>HD</v>
          </cell>
        </row>
        <row r="5584">
          <cell r="A5584" t="str">
            <v>HD SET ULBDG006</v>
          </cell>
          <cell r="B5584" t="str">
            <v>HEMODIALISA SET UMUM LENGKAP</v>
          </cell>
          <cell r="C5584" t="str">
            <v>HD</v>
          </cell>
        </row>
        <row r="5585">
          <cell r="A5585" t="str">
            <v>HD SET ULBDG013</v>
          </cell>
          <cell r="B5585" t="str">
            <v>HEMODIALISA SET UMUM LENGKAP</v>
          </cell>
          <cell r="C5585" t="str">
            <v>HD</v>
          </cell>
        </row>
        <row r="5586">
          <cell r="A5586" t="str">
            <v>HD SET ULBDG018</v>
          </cell>
          <cell r="B5586" t="str">
            <v>HEMODIALISA SET UMUM LENGKAP</v>
          </cell>
          <cell r="C5586" t="str">
            <v>HD</v>
          </cell>
        </row>
        <row r="5587">
          <cell r="A5587" t="str">
            <v>HD SET ULBPP001</v>
          </cell>
          <cell r="B5587" t="str">
            <v>HEMODIALISA SET UMUM LENGKAP</v>
          </cell>
          <cell r="C5587" t="str">
            <v>HD</v>
          </cell>
        </row>
        <row r="5588">
          <cell r="A5588" t="str">
            <v>HD SET ULBPP002</v>
          </cell>
          <cell r="B5588" t="str">
            <v>HEMODIALISA SET UMUM LENGKAP</v>
          </cell>
          <cell r="C5588" t="str">
            <v>HD</v>
          </cell>
        </row>
        <row r="5589">
          <cell r="A5589" t="str">
            <v>HD SET ULBPP003</v>
          </cell>
          <cell r="B5589" t="str">
            <v>HEMODIALISA SET UMUM LENGKAP</v>
          </cell>
          <cell r="C5589" t="str">
            <v>HD</v>
          </cell>
        </row>
        <row r="5590">
          <cell r="A5590" t="str">
            <v>HD SET ULBPP004</v>
          </cell>
          <cell r="B5590" t="str">
            <v>HEMODIALISA SET UMUM LENGKAP</v>
          </cell>
          <cell r="C5590" t="str">
            <v>HD</v>
          </cell>
        </row>
        <row r="5591">
          <cell r="A5591" t="str">
            <v>HD SET ULBPP005</v>
          </cell>
          <cell r="B5591" t="str">
            <v>HEMODIALISA SET UMUM LENGKAP</v>
          </cell>
          <cell r="C5591" t="str">
            <v>HD</v>
          </cell>
        </row>
        <row r="5592">
          <cell r="A5592" t="str">
            <v>HD SET ULBPP006</v>
          </cell>
          <cell r="B5592" t="str">
            <v>HEMODIALISA SET UMUM LENGKAP</v>
          </cell>
          <cell r="C5592" t="str">
            <v>HD</v>
          </cell>
        </row>
        <row r="5593">
          <cell r="A5593" t="str">
            <v>HD SET ULBPP007</v>
          </cell>
          <cell r="B5593" t="str">
            <v>HEMODIALISA SET UMUM LENGKAP</v>
          </cell>
          <cell r="C5593" t="str">
            <v>HD</v>
          </cell>
        </row>
        <row r="5594">
          <cell r="A5594" t="str">
            <v>HD SET ULBPP008</v>
          </cell>
          <cell r="B5594" t="str">
            <v>HEMODIALISA SET UMUM LENGKAP</v>
          </cell>
          <cell r="C5594" t="str">
            <v>HD</v>
          </cell>
        </row>
        <row r="5595">
          <cell r="A5595" t="str">
            <v>HD SET ULDPS006</v>
          </cell>
          <cell r="B5595" t="str">
            <v/>
          </cell>
          <cell r="C5595" t="str">
            <v>HD</v>
          </cell>
        </row>
        <row r="5596">
          <cell r="A5596" t="str">
            <v>HD SET ULDPS006-HDP</v>
          </cell>
          <cell r="B5596" t="str">
            <v>HEMODIALISA SET UMUM LENGKAP DENGAN HD PACK</v>
          </cell>
          <cell r="C5596" t="str">
            <v>HD</v>
          </cell>
        </row>
        <row r="5597">
          <cell r="A5597" t="str">
            <v>HD SET ULDPS011</v>
          </cell>
          <cell r="B5597" t="str">
            <v>HEMODIALISA SET UMUM LENGKAP</v>
          </cell>
          <cell r="C5597" t="str">
            <v>HD</v>
          </cell>
        </row>
        <row r="5598">
          <cell r="A5598" t="str">
            <v>HD SET ULJKT001</v>
          </cell>
          <cell r="B5598" t="str">
            <v>HEMODIALISA SET UMUM LENGKAP</v>
          </cell>
          <cell r="C5598" t="str">
            <v>HD</v>
          </cell>
        </row>
        <row r="5599">
          <cell r="A5599" t="str">
            <v>HD SET ULJKT005</v>
          </cell>
          <cell r="B5599" t="str">
            <v>HEMODIALISA SET UMUM LENGKAP</v>
          </cell>
          <cell r="C5599" t="str">
            <v>HD</v>
          </cell>
        </row>
        <row r="5600">
          <cell r="A5600" t="str">
            <v>HD SET ULJKT005-NAVF</v>
          </cell>
          <cell r="B5600" t="str">
            <v>HEMODIALISA SET UMUM LENGKAP</v>
          </cell>
          <cell r="C5600" t="str">
            <v>HD</v>
          </cell>
        </row>
        <row r="5601">
          <cell r="A5601" t="str">
            <v>HD SET ULJKT006</v>
          </cell>
          <cell r="B5601" t="str">
            <v>HEMODIALISA SET UMUM LENGKAP</v>
          </cell>
          <cell r="C5601" t="str">
            <v>HD</v>
          </cell>
        </row>
        <row r="5602">
          <cell r="A5602" t="str">
            <v>HD SET ULJKT007</v>
          </cell>
          <cell r="B5602" t="str">
            <v>HEMODIALISA SET UMUM LENGKAP</v>
          </cell>
          <cell r="C5602" t="str">
            <v>HD</v>
          </cell>
        </row>
        <row r="5603">
          <cell r="A5603" t="str">
            <v>HD SET ULJKT012</v>
          </cell>
          <cell r="B5603" t="str">
            <v>HEMODIALISA SET UMUM LENGKAP</v>
          </cell>
          <cell r="C5603" t="str">
            <v>HD</v>
          </cell>
        </row>
        <row r="5604">
          <cell r="A5604" t="str">
            <v>HD SET ULJKT017</v>
          </cell>
          <cell r="B5604" t="str">
            <v>HEMODIALISA SET UMUM LENGKAP</v>
          </cell>
          <cell r="C5604" t="str">
            <v>HD</v>
          </cell>
        </row>
        <row r="5605">
          <cell r="A5605" t="str">
            <v>HD SET ULJKT017-A</v>
          </cell>
          <cell r="B5605" t="str">
            <v>HEMODIALISA SET UMUM LENGKAP</v>
          </cell>
          <cell r="C5605" t="str">
            <v>HD</v>
          </cell>
        </row>
        <row r="5606">
          <cell r="A5606" t="str">
            <v>HD SET ULJKT021</v>
          </cell>
          <cell r="B5606" t="str">
            <v>HEMODIALISA SET UMUM LENGKAP</v>
          </cell>
          <cell r="C5606" t="str">
            <v>HD</v>
          </cell>
        </row>
        <row r="5607">
          <cell r="A5607" t="str">
            <v>HD SET ULJKT021 N-AK</v>
          </cell>
          <cell r="B5607" t="str">
            <v>HEMODIALISA SET UMUM LENGKAP</v>
          </cell>
          <cell r="C5607" t="str">
            <v>HD</v>
          </cell>
        </row>
        <row r="5608">
          <cell r="A5608" t="str">
            <v>HD SET ULJKT029</v>
          </cell>
          <cell r="B5608" t="str">
            <v>HEMODIALISA SET UMUM LENGKAP</v>
          </cell>
          <cell r="C5608" t="str">
            <v>HD</v>
          </cell>
        </row>
        <row r="5609">
          <cell r="A5609" t="str">
            <v>HD SET ULJKT030</v>
          </cell>
          <cell r="B5609" t="str">
            <v>HEMODIALISA SET UMUM LENGKAP</v>
          </cell>
          <cell r="C5609" t="str">
            <v>HD</v>
          </cell>
        </row>
        <row r="5610">
          <cell r="A5610" t="str">
            <v>HD SET ULJKT033</v>
          </cell>
          <cell r="B5610" t="str">
            <v>HEMODIALISA SET UMUM LENGKAP</v>
          </cell>
          <cell r="C5610" t="str">
            <v>HD</v>
          </cell>
        </row>
        <row r="5611">
          <cell r="A5611" t="str">
            <v>HD SET ULJKT033-NAV</v>
          </cell>
          <cell r="B5611" t="str">
            <v>HEMODIALISA SET UMUM LENGKAP</v>
          </cell>
          <cell r="C5611" t="str">
            <v>HD</v>
          </cell>
        </row>
        <row r="5612">
          <cell r="A5612" t="str">
            <v>HD SET ULJKT033-NAVF</v>
          </cell>
          <cell r="B5612" t="str">
            <v>HEMODIALISA SET UMUM LENGKAP</v>
          </cell>
          <cell r="C5612" t="str">
            <v>HD</v>
          </cell>
        </row>
        <row r="5613">
          <cell r="A5613" t="str">
            <v>HD SET ULJKT034</v>
          </cell>
          <cell r="B5613" t="str">
            <v>HEMODIALISA SET UMUM LENGKAP</v>
          </cell>
          <cell r="C5613" t="str">
            <v>HD</v>
          </cell>
        </row>
        <row r="5614">
          <cell r="A5614" t="str">
            <v>HD SET ULJKT035</v>
          </cell>
          <cell r="B5614" t="str">
            <v>HEMODIALISA SET UMUM LENGKAP</v>
          </cell>
          <cell r="C5614" t="str">
            <v>HD</v>
          </cell>
        </row>
        <row r="5615">
          <cell r="A5615" t="str">
            <v>HD SET ULJKT035-NAVF</v>
          </cell>
          <cell r="B5615" t="str">
            <v>HEMODIALISA SET UMUM LENGKAP</v>
          </cell>
          <cell r="C5615" t="str">
            <v>HD</v>
          </cell>
        </row>
        <row r="5616">
          <cell r="A5616" t="str">
            <v>HD SET ULJKT038</v>
          </cell>
          <cell r="B5616" t="str">
            <v>HEMODIALISA SET UMUM LENGKAP</v>
          </cell>
          <cell r="C5616" t="str">
            <v>HD</v>
          </cell>
        </row>
        <row r="5617">
          <cell r="A5617" t="str">
            <v>HD SET ULJKT039-NAVF</v>
          </cell>
          <cell r="B5617" t="str">
            <v>HEMODIALISA SET UMUM LENGKAP</v>
          </cell>
          <cell r="C5617" t="str">
            <v>HD</v>
          </cell>
        </row>
        <row r="5618">
          <cell r="A5618" t="str">
            <v>HD SET ULJKT043</v>
          </cell>
          <cell r="B5618" t="str">
            <v>HEMODIALISA SET UMUM LENGKAP</v>
          </cell>
          <cell r="C5618" t="str">
            <v>HD</v>
          </cell>
        </row>
        <row r="5619">
          <cell r="A5619" t="str">
            <v>HD SET ULJKT043-NAV</v>
          </cell>
          <cell r="B5619" t="str">
            <v>HEMODIALISA SET UMUM LENGKAP</v>
          </cell>
          <cell r="C5619" t="str">
            <v>HD</v>
          </cell>
        </row>
        <row r="5620">
          <cell r="A5620" t="str">
            <v>HD SET ULJKT043-NAVF</v>
          </cell>
          <cell r="B5620" t="str">
            <v>HEMODIALISA SET UMUM LENGKAP</v>
          </cell>
          <cell r="C5620" t="str">
            <v>HD</v>
          </cell>
        </row>
        <row r="5621">
          <cell r="A5621" t="str">
            <v>HD SET ULJKT044</v>
          </cell>
          <cell r="B5621" t="str">
            <v>HEMODIALISA SET UMUM LENGKAP</v>
          </cell>
          <cell r="C5621" t="str">
            <v>HD</v>
          </cell>
        </row>
        <row r="5622">
          <cell r="A5622" t="str">
            <v>HD SET ULJKT045</v>
          </cell>
          <cell r="B5622" t="str">
            <v>HEMODIALISA SET UMUM LENGKAP</v>
          </cell>
          <cell r="C5622" t="str">
            <v>HD</v>
          </cell>
        </row>
        <row r="5623">
          <cell r="A5623" t="str">
            <v>HD SET ULJKT046</v>
          </cell>
          <cell r="B5623" t="str">
            <v>HEMODIALISA SET UMUM LENGKAP</v>
          </cell>
          <cell r="C5623" t="str">
            <v>HD</v>
          </cell>
        </row>
        <row r="5624">
          <cell r="A5624" t="str">
            <v>HD SET ULJKT047</v>
          </cell>
          <cell r="B5624" t="str">
            <v>HEMODIALISA SET UMUM LENGKAP</v>
          </cell>
          <cell r="C5624" t="str">
            <v>HD</v>
          </cell>
        </row>
        <row r="5625">
          <cell r="A5625" t="str">
            <v>HD SET ULJKT048</v>
          </cell>
          <cell r="B5625" t="str">
            <v>HEMODIALISA SET UMUM LENGKAP</v>
          </cell>
          <cell r="C5625" t="str">
            <v>HD</v>
          </cell>
        </row>
        <row r="5626">
          <cell r="A5626" t="str">
            <v>HD SET ULJKT062</v>
          </cell>
          <cell r="B5626" t="str">
            <v>HEMODIALISA SET UMUM LENGKAP</v>
          </cell>
          <cell r="C5626" t="str">
            <v>HD</v>
          </cell>
        </row>
        <row r="5627">
          <cell r="A5627" t="str">
            <v>HD SET ULJKT063</v>
          </cell>
          <cell r="B5627" t="str">
            <v>HEMODIALISA SET UMUM LENGKAP</v>
          </cell>
          <cell r="C5627" t="str">
            <v>HD</v>
          </cell>
        </row>
        <row r="5628">
          <cell r="A5628" t="str">
            <v>HD SET ULJKT064</v>
          </cell>
          <cell r="B5628" t="str">
            <v>HEMODIALISA SET UMUM LENGKAP</v>
          </cell>
          <cell r="C5628" t="str">
            <v>HD</v>
          </cell>
        </row>
        <row r="5629">
          <cell r="A5629" t="str">
            <v>HD SET ULJKT066</v>
          </cell>
          <cell r="B5629" t="str">
            <v>HEMODIALISA SET UMUM LENGKAP</v>
          </cell>
          <cell r="C5629" t="str">
            <v>HD</v>
          </cell>
        </row>
        <row r="5630">
          <cell r="A5630" t="str">
            <v>HD SET ULJKT066-NAV</v>
          </cell>
          <cell r="B5630" t="str">
            <v>HEMODIALISA SET UMUM LENGKAP Non AVFISTULA</v>
          </cell>
          <cell r="C5630" t="str">
            <v>HD</v>
          </cell>
        </row>
        <row r="5631">
          <cell r="A5631" t="str">
            <v>HD SET ULJKT066-P1</v>
          </cell>
          <cell r="B5631" t="str">
            <v>HEMODIALISA SET UMUM LENGKAP</v>
          </cell>
          <cell r="C5631" t="str">
            <v>HD</v>
          </cell>
        </row>
        <row r="5632">
          <cell r="A5632" t="str">
            <v>HD SET ULJKT066-P2</v>
          </cell>
          <cell r="B5632" t="str">
            <v>HEMODIALISA SET UMUM LENGKAP</v>
          </cell>
          <cell r="C5632" t="str">
            <v>HD</v>
          </cell>
        </row>
        <row r="5633">
          <cell r="A5633" t="str">
            <v>HD SET ULJKT067</v>
          </cell>
          <cell r="B5633" t="str">
            <v>HEMODIALISA SET UMUM LENGKAP</v>
          </cell>
          <cell r="C5633" t="str">
            <v>HD</v>
          </cell>
        </row>
        <row r="5634">
          <cell r="A5634" t="str">
            <v>HD SET ULJKT068</v>
          </cell>
          <cell r="B5634" t="str">
            <v>HEMODIALISA SET UMUM LENGKAP</v>
          </cell>
          <cell r="C5634" t="str">
            <v>HD</v>
          </cell>
        </row>
        <row r="5635">
          <cell r="A5635" t="str">
            <v>HD SET ULJKT069</v>
          </cell>
          <cell r="B5635" t="str">
            <v>HEMODIALISA SET UMUM LENGKAP</v>
          </cell>
          <cell r="C5635" t="str">
            <v>HD</v>
          </cell>
        </row>
        <row r="5636">
          <cell r="A5636" t="str">
            <v>HD SET ULJKT070-A</v>
          </cell>
          <cell r="B5636" t="str">
            <v>HEMODIALISA SET UMUM LENGKAP</v>
          </cell>
          <cell r="C5636" t="str">
            <v>HD</v>
          </cell>
        </row>
        <row r="5637">
          <cell r="A5637" t="str">
            <v>HD SET ULMDN008</v>
          </cell>
          <cell r="B5637" t="str">
            <v>HEMODIALISA SET UMUM LENGKAP</v>
          </cell>
          <cell r="C5637" t="str">
            <v>HD</v>
          </cell>
        </row>
        <row r="5638">
          <cell r="A5638" t="str">
            <v>HD SET ULMDN009</v>
          </cell>
          <cell r="B5638" t="str">
            <v>HEMODIALISA SET UMUM LENGKAP</v>
          </cell>
          <cell r="C5638" t="str">
            <v>HD</v>
          </cell>
        </row>
        <row r="5639">
          <cell r="A5639" t="str">
            <v>HD SET ULMDN011</v>
          </cell>
          <cell r="B5639" t="str">
            <v>HEMODIALISA SET UMUM LENGKAP</v>
          </cell>
          <cell r="C5639" t="str">
            <v>HD</v>
          </cell>
        </row>
        <row r="5640">
          <cell r="A5640" t="str">
            <v>HD SET ULMKS005</v>
          </cell>
          <cell r="B5640" t="str">
            <v>HEMODIALISA SET UMUM LENGKAP</v>
          </cell>
          <cell r="C5640" t="str">
            <v>HD</v>
          </cell>
        </row>
        <row r="5641">
          <cell r="A5641" t="str">
            <v>HD SET ULMKS009</v>
          </cell>
          <cell r="B5641" t="str">
            <v>HEMODIALISA SET UMUM LENGKAP</v>
          </cell>
          <cell r="C5641" t="str">
            <v>HD</v>
          </cell>
        </row>
        <row r="5642">
          <cell r="A5642" t="str">
            <v>HD SET ULMKS011-P</v>
          </cell>
          <cell r="B5642" t="str">
            <v>HEMODIALISA SET UMUM LENGKAP</v>
          </cell>
          <cell r="C5642" t="str">
            <v>HD</v>
          </cell>
        </row>
        <row r="5643">
          <cell r="A5643" t="str">
            <v>HD SET ULMKS017</v>
          </cell>
          <cell r="B5643" t="str">
            <v>HEMODIALISA SET UMUM LENGKAP</v>
          </cell>
          <cell r="C5643" t="str">
            <v>HD</v>
          </cell>
        </row>
        <row r="5644">
          <cell r="A5644" t="str">
            <v>HD SET ULSBY002</v>
          </cell>
          <cell r="B5644" t="str">
            <v>HEMODIALISA SET UMUM LENGKAP</v>
          </cell>
          <cell r="C5644" t="str">
            <v>HD</v>
          </cell>
        </row>
        <row r="5645">
          <cell r="A5645" t="str">
            <v>HD SET ULSBY004</v>
          </cell>
          <cell r="B5645" t="str">
            <v>HEMODIALISA SET UMUM LENGKAP</v>
          </cell>
          <cell r="C5645" t="str">
            <v>HD</v>
          </cell>
        </row>
        <row r="5646">
          <cell r="A5646" t="str">
            <v>HD SET ULSBY008</v>
          </cell>
          <cell r="B5646" t="str">
            <v>HEMODIALISA SET UMUM LENGKAP</v>
          </cell>
          <cell r="C5646" t="str">
            <v>HD</v>
          </cell>
        </row>
        <row r="5647">
          <cell r="A5647" t="str">
            <v>HD SET ULSBY009</v>
          </cell>
          <cell r="B5647" t="str">
            <v>HEMODIALISA SET UMUM LENGKAP</v>
          </cell>
          <cell r="C5647" t="str">
            <v>HD</v>
          </cell>
        </row>
        <row r="5648">
          <cell r="A5648" t="str">
            <v>HD SET ULSBY010</v>
          </cell>
          <cell r="B5648" t="str">
            <v>HEMODIALISA SET UMUM LENGKAP</v>
          </cell>
          <cell r="C5648" t="str">
            <v>HD</v>
          </cell>
        </row>
        <row r="5649">
          <cell r="A5649" t="str">
            <v>HD SET ULSBY012</v>
          </cell>
          <cell r="B5649" t="str">
            <v>HEMODIALISA SET UMUM LENGKAP</v>
          </cell>
          <cell r="C5649" t="str">
            <v>HD</v>
          </cell>
        </row>
        <row r="5650">
          <cell r="A5650" t="str">
            <v>HD SET ULSBY012-P</v>
          </cell>
          <cell r="B5650" t="str">
            <v>HEMODIALISA SET UMUM LENGKAP</v>
          </cell>
          <cell r="C5650" t="str">
            <v>HD</v>
          </cell>
        </row>
        <row r="5651">
          <cell r="A5651" t="str">
            <v>HD SET ULSBY013</v>
          </cell>
          <cell r="B5651" t="str">
            <v>HEMODIALISA SET UMUM LENGKAP</v>
          </cell>
          <cell r="C5651" t="str">
            <v>HD</v>
          </cell>
        </row>
        <row r="5652">
          <cell r="A5652" t="str">
            <v>HD SET ULSBY015</v>
          </cell>
          <cell r="B5652" t="str">
            <v>HEMODIALISA SET UMUM LENGKAP</v>
          </cell>
          <cell r="C5652" t="str">
            <v>HD</v>
          </cell>
        </row>
        <row r="5653">
          <cell r="A5653" t="str">
            <v>HD SET ULSBY015-1</v>
          </cell>
          <cell r="B5653" t="str">
            <v>HEMODIALISA SET UMUM LENGKAP</v>
          </cell>
          <cell r="C5653" t="str">
            <v>HD</v>
          </cell>
        </row>
        <row r="5654">
          <cell r="A5654" t="str">
            <v>HD SET ULSBY015-NAV</v>
          </cell>
          <cell r="B5654" t="str">
            <v>HEMODIALISA SET UMUM LENGKAP</v>
          </cell>
          <cell r="C5654" t="str">
            <v>HD</v>
          </cell>
        </row>
        <row r="5655">
          <cell r="A5655" t="str">
            <v>HD SET ULSBY015-NAVF</v>
          </cell>
          <cell r="B5655" t="str">
            <v>HEMODIALISA SET UMUM LENGKAP</v>
          </cell>
          <cell r="C5655" t="str">
            <v>HD</v>
          </cell>
        </row>
        <row r="5656">
          <cell r="A5656" t="str">
            <v>HD SET ULSBY016</v>
          </cell>
          <cell r="B5656" t="str">
            <v>HEMODIALISA SET UMUM LENGKAP</v>
          </cell>
          <cell r="C5656" t="str">
            <v>HD</v>
          </cell>
        </row>
        <row r="5657">
          <cell r="A5657" t="str">
            <v>HD SET ULSBY018</v>
          </cell>
          <cell r="B5657" t="str">
            <v>HEMODIALISA SET UMUM LENGKAP</v>
          </cell>
          <cell r="C5657" t="str">
            <v>HD</v>
          </cell>
        </row>
        <row r="5658">
          <cell r="A5658" t="str">
            <v>HD SET ULSBY021</v>
          </cell>
          <cell r="B5658" t="str">
            <v>HEMODIALISA SET UMUM LENGKAP</v>
          </cell>
          <cell r="C5658" t="str">
            <v>HD</v>
          </cell>
        </row>
        <row r="5659">
          <cell r="A5659" t="str">
            <v>HD SET ULSBY026</v>
          </cell>
          <cell r="B5659" t="str">
            <v>HEMODIALISA SET UMUM LENGKAP</v>
          </cell>
          <cell r="C5659" t="str">
            <v>HD</v>
          </cell>
        </row>
        <row r="5660">
          <cell r="A5660" t="str">
            <v>HD SET ULSBY034 LP1</v>
          </cell>
          <cell r="B5660" t="str">
            <v>HEMODIALISA SET UMUM LENGKAP</v>
          </cell>
          <cell r="C5660" t="str">
            <v>HD</v>
          </cell>
        </row>
        <row r="5661">
          <cell r="A5661" t="str">
            <v>HD SET ULSBY036</v>
          </cell>
          <cell r="B5661" t="str">
            <v>HEMODIALISA SET UMUM LENGKAP</v>
          </cell>
          <cell r="C5661" t="str">
            <v>HD</v>
          </cell>
        </row>
        <row r="5662">
          <cell r="A5662" t="str">
            <v>HD SET ULSBY045-P</v>
          </cell>
          <cell r="B5662" t="str">
            <v>HEMODIALISA SET UMUM LENGKAP</v>
          </cell>
          <cell r="C5662" t="str">
            <v>HD</v>
          </cell>
        </row>
        <row r="5663">
          <cell r="A5663" t="str">
            <v>HD SET ULSBY047</v>
          </cell>
          <cell r="B5663" t="str">
            <v>HEMODIALISA SET UMUM LENGKAP</v>
          </cell>
          <cell r="C5663" t="str">
            <v>HD</v>
          </cell>
        </row>
        <row r="5664">
          <cell r="A5664" t="str">
            <v>HD SET ULSBY050</v>
          </cell>
          <cell r="B5664" t="str">
            <v>HEMODIALISA SET UMUM LENGKAP</v>
          </cell>
          <cell r="C5664" t="str">
            <v>HD</v>
          </cell>
        </row>
        <row r="5665">
          <cell r="A5665" t="str">
            <v>HD SET ULSBY054</v>
          </cell>
          <cell r="B5665" t="str">
            <v>HEMODIALISA SET UMUM LENGKAP</v>
          </cell>
          <cell r="C5665" t="str">
            <v>HD</v>
          </cell>
        </row>
        <row r="5666">
          <cell r="A5666" t="str">
            <v>HD SET ULSBY055</v>
          </cell>
          <cell r="B5666" t="str">
            <v>HEMODIALISA SET UMUM LENGKAP</v>
          </cell>
          <cell r="C5666" t="str">
            <v>HD</v>
          </cell>
        </row>
        <row r="5667">
          <cell r="A5667" t="str">
            <v>HD SET ULSBY056</v>
          </cell>
          <cell r="B5667" t="str">
            <v>HEMODIALISA SET UMUM LENGKAP</v>
          </cell>
          <cell r="C5667" t="str">
            <v>HD</v>
          </cell>
        </row>
        <row r="5668">
          <cell r="A5668" t="str">
            <v>HD SET ULSBY056-P</v>
          </cell>
          <cell r="B5668" t="str">
            <v>HEMODIALISA SET UMUM LENGKAP</v>
          </cell>
          <cell r="C5668" t="str">
            <v>HD</v>
          </cell>
        </row>
        <row r="5669">
          <cell r="A5669" t="str">
            <v>HD SET ULSBY058</v>
          </cell>
          <cell r="B5669" t="str">
            <v>HEMODIALISA SET UMUM LENGKAP</v>
          </cell>
          <cell r="C5669" t="str">
            <v>HD</v>
          </cell>
        </row>
        <row r="5670">
          <cell r="A5670" t="str">
            <v>HD SET ULSBY058-P</v>
          </cell>
          <cell r="B5670" t="str">
            <v>HEMODIALISA SET UMUM LENGKAP</v>
          </cell>
          <cell r="C5670" t="str">
            <v>HD</v>
          </cell>
        </row>
        <row r="5671">
          <cell r="A5671" t="str">
            <v>HD SET ULSBY058-P3</v>
          </cell>
          <cell r="B5671" t="str">
            <v>HEMODIALISA SET UMUM LENGKAP</v>
          </cell>
          <cell r="C5671" t="str">
            <v>HD</v>
          </cell>
        </row>
        <row r="5672">
          <cell r="A5672" t="str">
            <v>HD SET ULSBY064</v>
          </cell>
          <cell r="B5672" t="str">
            <v>HEMODIALISA SET UMUM LENGKAP</v>
          </cell>
          <cell r="C5672" t="str">
            <v>HD</v>
          </cell>
        </row>
        <row r="5673">
          <cell r="A5673" t="str">
            <v>HD SET ULSBY064-P</v>
          </cell>
          <cell r="B5673" t="str">
            <v>HEMODIALISA SET UMUM LENGKAP</v>
          </cell>
          <cell r="C5673" t="str">
            <v>HD</v>
          </cell>
        </row>
        <row r="5674">
          <cell r="A5674" t="str">
            <v>HD SET ULSBY065</v>
          </cell>
          <cell r="B5674" t="str">
            <v>HEMODIALISA SET UMUM LENGKAP</v>
          </cell>
          <cell r="C5674" t="str">
            <v>HD</v>
          </cell>
        </row>
        <row r="5675">
          <cell r="A5675" t="str">
            <v>HD SET ULSBY065-P</v>
          </cell>
          <cell r="B5675" t="str">
            <v>HEMODIALISA SET UMUM LENGKAP</v>
          </cell>
          <cell r="C5675" t="str">
            <v>HD</v>
          </cell>
        </row>
        <row r="5676">
          <cell r="A5676" t="str">
            <v>HD SET ULSBY066</v>
          </cell>
          <cell r="B5676" t="str">
            <v>HEMODIALISA SET UMUM LENGKAP</v>
          </cell>
          <cell r="C5676" t="str">
            <v>HD</v>
          </cell>
        </row>
        <row r="5677">
          <cell r="A5677" t="str">
            <v>HD SET ULSBY067</v>
          </cell>
          <cell r="B5677" t="str">
            <v>HEMODIALISA SET UMUM LENGKAP</v>
          </cell>
          <cell r="C5677" t="str">
            <v>HD</v>
          </cell>
        </row>
        <row r="5678">
          <cell r="A5678" t="str">
            <v>HD SET ULSBY067 RSPM</v>
          </cell>
          <cell r="B5678" t="str">
            <v>HEMODIALISA SET UMUM LENGKAP (HDF BHP PACK )</v>
          </cell>
          <cell r="C5678" t="str">
            <v>HD</v>
          </cell>
        </row>
        <row r="5679">
          <cell r="A5679" t="str">
            <v>HD SET ULSBY068</v>
          </cell>
          <cell r="B5679" t="str">
            <v>HEMODIALISA SET UMUM LENGKAP</v>
          </cell>
          <cell r="C5679" t="str">
            <v>HD</v>
          </cell>
        </row>
        <row r="5680">
          <cell r="A5680" t="str">
            <v>HD SET ULSMG001</v>
          </cell>
          <cell r="B5680" t="str">
            <v>HEMODIALISA SET UMUM LENGKAP</v>
          </cell>
          <cell r="C5680" t="str">
            <v>HD</v>
          </cell>
        </row>
        <row r="5681">
          <cell r="A5681" t="str">
            <v>HD SET ULSMG002</v>
          </cell>
          <cell r="B5681" t="str">
            <v>HEMODIALISA SET UMUM LENGKAP</v>
          </cell>
          <cell r="C5681" t="str">
            <v>HD</v>
          </cell>
        </row>
        <row r="5682">
          <cell r="A5682" t="str">
            <v>HD SET ULSTD</v>
          </cell>
          <cell r="B5682" t="str">
            <v>HEMODIALISA SET UMUM LENGKAP</v>
          </cell>
          <cell r="C5682" t="str">
            <v>HD</v>
          </cell>
        </row>
        <row r="5683">
          <cell r="A5683" t="str">
            <v>HD SET URBDG013</v>
          </cell>
          <cell r="B5683" t="str">
            <v>HEMODIALISA SET UMUM REUSE</v>
          </cell>
          <cell r="C5683" t="str">
            <v>HD</v>
          </cell>
        </row>
        <row r="5684">
          <cell r="A5684" t="str">
            <v>HD SET URBDG018</v>
          </cell>
          <cell r="B5684" t="str">
            <v>HEMODIALISA SET UMUM REUSE</v>
          </cell>
          <cell r="C5684" t="str">
            <v>HD</v>
          </cell>
        </row>
        <row r="5685">
          <cell r="A5685" t="str">
            <v>HD SET URBPP001</v>
          </cell>
          <cell r="B5685" t="str">
            <v>HEMODIALISA SET UMUM REUSE</v>
          </cell>
          <cell r="C5685" t="str">
            <v>HD</v>
          </cell>
        </row>
        <row r="5686">
          <cell r="A5686" t="str">
            <v>HD SET URBPP002</v>
          </cell>
          <cell r="B5686" t="str">
            <v>HEMODIALISA SET UMUM REUSE</v>
          </cell>
          <cell r="C5686" t="str">
            <v>HD</v>
          </cell>
        </row>
        <row r="5687">
          <cell r="A5687" t="str">
            <v>HD SET URBPP003</v>
          </cell>
          <cell r="B5687" t="str">
            <v>HEMODIALISA SET UMUM REUSE</v>
          </cell>
          <cell r="C5687" t="str">
            <v>HD</v>
          </cell>
        </row>
        <row r="5688">
          <cell r="A5688" t="str">
            <v>HD SET URBPP005</v>
          </cell>
          <cell r="B5688" t="str">
            <v>HEMODIALISA SET UMUM REUSE</v>
          </cell>
          <cell r="C5688" t="str">
            <v>HD</v>
          </cell>
        </row>
        <row r="5689">
          <cell r="A5689" t="str">
            <v>HD SET URBPP006</v>
          </cell>
          <cell r="B5689" t="str">
            <v>HEMODIALISA SET UMUM REUSE</v>
          </cell>
          <cell r="C5689" t="str">
            <v>HD</v>
          </cell>
        </row>
        <row r="5690">
          <cell r="A5690" t="str">
            <v>HD SET URBPP007</v>
          </cell>
          <cell r="B5690" t="str">
            <v>HEMODIALISA SET UMUM REUSE</v>
          </cell>
          <cell r="C5690" t="str">
            <v>HD</v>
          </cell>
        </row>
        <row r="5691">
          <cell r="A5691" t="str">
            <v>HD SET URBPP008</v>
          </cell>
          <cell r="B5691" t="str">
            <v>HEMODIALISA SET UMUM REUSE</v>
          </cell>
          <cell r="C5691" t="str">
            <v>HD</v>
          </cell>
        </row>
        <row r="5692">
          <cell r="A5692" t="str">
            <v>HD SET URJKT006</v>
          </cell>
          <cell r="B5692" t="str">
            <v>HEMODIALISA SET UMUM REUSE</v>
          </cell>
          <cell r="C5692" t="str">
            <v>HD</v>
          </cell>
        </row>
        <row r="5693">
          <cell r="A5693" t="str">
            <v>HD SET URJKT007</v>
          </cell>
          <cell r="B5693" t="str">
            <v>HEMODIALISA SET UMUM REUSE</v>
          </cell>
          <cell r="C5693" t="str">
            <v>HD</v>
          </cell>
        </row>
        <row r="5694">
          <cell r="A5694" t="str">
            <v>HD SET URJKT021</v>
          </cell>
          <cell r="B5694" t="str">
            <v>HEMODIALISA SET UMUM REUSE</v>
          </cell>
          <cell r="C5694" t="str">
            <v>HD</v>
          </cell>
        </row>
        <row r="5695">
          <cell r="A5695" t="str">
            <v>HD SET URJKT030</v>
          </cell>
          <cell r="B5695" t="str">
            <v>HEMODIALISA SET UMUM REUSE</v>
          </cell>
          <cell r="C5695" t="str">
            <v>HD</v>
          </cell>
        </row>
        <row r="5696">
          <cell r="A5696" t="str">
            <v>HD SET URJKT033</v>
          </cell>
          <cell r="B5696" t="str">
            <v>HEMODIALISA SET UMUM REUSE</v>
          </cell>
          <cell r="C5696" t="str">
            <v>HD</v>
          </cell>
        </row>
        <row r="5697">
          <cell r="A5697" t="str">
            <v>HD SET URJKT033-NAV</v>
          </cell>
          <cell r="B5697" t="str">
            <v>HEMODIALISA SET UMUM REUSE</v>
          </cell>
          <cell r="C5697" t="str">
            <v>HD</v>
          </cell>
        </row>
        <row r="5698">
          <cell r="A5698" t="str">
            <v>HD SET URJKT033-NAVF</v>
          </cell>
          <cell r="B5698" t="str">
            <v>HEMODIALISA SET UMUM REUSE</v>
          </cell>
          <cell r="C5698" t="str">
            <v>HD</v>
          </cell>
        </row>
        <row r="5699">
          <cell r="A5699" t="str">
            <v>HD SET URJKT035</v>
          </cell>
          <cell r="B5699" t="str">
            <v>HEMODIALISA SET UMUM REUSE</v>
          </cell>
          <cell r="C5699" t="str">
            <v>HD</v>
          </cell>
        </row>
        <row r="5700">
          <cell r="A5700" t="str">
            <v>HD SET URJKT035-NAVF</v>
          </cell>
          <cell r="B5700" t="str">
            <v>HEMODIALISA SET UMUM REUSE</v>
          </cell>
          <cell r="C5700" t="str">
            <v>HD</v>
          </cell>
        </row>
        <row r="5701">
          <cell r="A5701" t="str">
            <v>HD SET URJKT038</v>
          </cell>
          <cell r="B5701" t="str">
            <v>HEMODIALISA SET UMUM REUSE</v>
          </cell>
          <cell r="C5701" t="str">
            <v>HD</v>
          </cell>
        </row>
        <row r="5702">
          <cell r="A5702" t="str">
            <v>HD SET URJKT039-NAVF</v>
          </cell>
          <cell r="B5702" t="str">
            <v>HEMODIALISA SET UMUM REUSE</v>
          </cell>
          <cell r="C5702" t="str">
            <v>HD</v>
          </cell>
        </row>
        <row r="5703">
          <cell r="A5703" t="str">
            <v>HD SET URJKT043</v>
          </cell>
          <cell r="B5703" t="str">
            <v>HEMODIALISA SET UMUM REUSE</v>
          </cell>
          <cell r="C5703" t="str">
            <v>HD</v>
          </cell>
        </row>
        <row r="5704">
          <cell r="A5704" t="str">
            <v>HD SET URJKT044</v>
          </cell>
          <cell r="B5704" t="str">
            <v>HEMODIALISA SET UMUM REUSE</v>
          </cell>
          <cell r="C5704" t="str">
            <v>HD</v>
          </cell>
        </row>
        <row r="5705">
          <cell r="A5705" t="str">
            <v>HD SET URJKT045</v>
          </cell>
          <cell r="B5705" t="str">
            <v>HEMODIALISA SET UMUM REUSE</v>
          </cell>
          <cell r="C5705" t="str">
            <v>HD</v>
          </cell>
        </row>
        <row r="5706">
          <cell r="A5706" t="str">
            <v>HD SET URJKT046</v>
          </cell>
          <cell r="B5706" t="str">
            <v>HEMODIALISA SET UMUM REUSE</v>
          </cell>
          <cell r="C5706" t="str">
            <v>HD</v>
          </cell>
        </row>
        <row r="5707">
          <cell r="A5707" t="str">
            <v>HD SET URMDN008</v>
          </cell>
          <cell r="B5707" t="str">
            <v>HEMODIALISA SET UMUM REUSE</v>
          </cell>
          <cell r="C5707" t="str">
            <v>HD</v>
          </cell>
        </row>
        <row r="5708">
          <cell r="A5708" t="str">
            <v>HD SET URMDN009</v>
          </cell>
          <cell r="B5708" t="str">
            <v>HEMODIALISA SET UMUM REUSE</v>
          </cell>
          <cell r="C5708" t="str">
            <v>HD</v>
          </cell>
        </row>
        <row r="5709">
          <cell r="A5709" t="str">
            <v>HD SET URMDN011</v>
          </cell>
          <cell r="B5709" t="str">
            <v>HEMODIALISA SET UMUM REUSE</v>
          </cell>
          <cell r="C5709" t="str">
            <v>HD</v>
          </cell>
        </row>
        <row r="5710">
          <cell r="A5710" t="str">
            <v>HD SET URMKS009</v>
          </cell>
          <cell r="B5710" t="str">
            <v>HEMODIALISA SET UMUM REUSE</v>
          </cell>
          <cell r="C5710" t="str">
            <v>HD</v>
          </cell>
        </row>
        <row r="5711">
          <cell r="A5711" t="str">
            <v>HD SET URMKS011-P</v>
          </cell>
          <cell r="B5711" t="str">
            <v>HEMODIALISA SET UMUM REUSE</v>
          </cell>
          <cell r="C5711" t="str">
            <v>HD</v>
          </cell>
        </row>
        <row r="5712">
          <cell r="A5712" t="str">
            <v>HD SET URMKS017</v>
          </cell>
          <cell r="B5712" t="str">
            <v>HEMODIALISA SET UMUM REUSE</v>
          </cell>
          <cell r="C5712" t="str">
            <v>HD</v>
          </cell>
        </row>
        <row r="5713">
          <cell r="A5713" t="str">
            <v>HD SET URSBY012</v>
          </cell>
          <cell r="B5713" t="str">
            <v>HEMODIALISA SET UMUM REUSE</v>
          </cell>
          <cell r="C5713" t="str">
            <v>HD</v>
          </cell>
        </row>
        <row r="5714">
          <cell r="A5714" t="str">
            <v>HD SET URSBY012-P</v>
          </cell>
          <cell r="B5714" t="str">
            <v>HEMODIALISA SET UMUM REUSE</v>
          </cell>
          <cell r="C5714" t="str">
            <v>HD</v>
          </cell>
        </row>
        <row r="5715">
          <cell r="A5715" t="str">
            <v>HD SET URSBY026</v>
          </cell>
          <cell r="B5715" t="str">
            <v>HEMODIALISA SET UMUM REUSE</v>
          </cell>
          <cell r="C5715" t="str">
            <v>HD</v>
          </cell>
        </row>
        <row r="5716">
          <cell r="A5716" t="str">
            <v>HD SET URSBY034 LP1</v>
          </cell>
          <cell r="B5716" t="str">
            <v>HEMODIALISA SET UMUM REUSE</v>
          </cell>
          <cell r="C5716" t="str">
            <v>HD</v>
          </cell>
        </row>
        <row r="5717">
          <cell r="A5717" t="str">
            <v>HD SET URSBY045-P</v>
          </cell>
          <cell r="B5717" t="str">
            <v>HEMODIALISA SET UMUM REUSE</v>
          </cell>
          <cell r="C5717" t="str">
            <v>HD</v>
          </cell>
        </row>
        <row r="5718">
          <cell r="A5718" t="str">
            <v>HD SET URSBY050</v>
          </cell>
          <cell r="B5718" t="str">
            <v>HEMODIALISA SET UMUM REUSE</v>
          </cell>
          <cell r="C5718" t="str">
            <v>HD</v>
          </cell>
        </row>
        <row r="5719">
          <cell r="A5719" t="str">
            <v>HD SET URSBY055</v>
          </cell>
          <cell r="B5719" t="str">
            <v>HEMODIALISA SET UMUM REUSE</v>
          </cell>
          <cell r="C5719" t="str">
            <v>HD</v>
          </cell>
        </row>
        <row r="5720">
          <cell r="A5720" t="str">
            <v>HD SET URSBY056</v>
          </cell>
          <cell r="B5720" t="str">
            <v>HEMODIALISA SET UMUM REUSE</v>
          </cell>
          <cell r="C5720" t="str">
            <v>HD</v>
          </cell>
        </row>
        <row r="5721">
          <cell r="A5721" t="str">
            <v>HD SET URSBY056-P</v>
          </cell>
          <cell r="B5721" t="str">
            <v>HEMODIALISA SET UMUM REUSE</v>
          </cell>
          <cell r="C5721" t="str">
            <v>HD</v>
          </cell>
        </row>
        <row r="5722">
          <cell r="A5722" t="str">
            <v>HD SET URSBY058</v>
          </cell>
          <cell r="B5722" t="str">
            <v>HEMODIALISA SET UMUM REUSE</v>
          </cell>
          <cell r="C5722" t="str">
            <v>HD</v>
          </cell>
        </row>
        <row r="5723">
          <cell r="A5723" t="str">
            <v>HD SET URSBY058-P</v>
          </cell>
          <cell r="B5723" t="str">
            <v>HEMODIALISA SET UMUM REUSE</v>
          </cell>
          <cell r="C5723" t="str">
            <v>HD</v>
          </cell>
        </row>
        <row r="5724">
          <cell r="A5724" t="str">
            <v>HD SET URSBY058-P4</v>
          </cell>
          <cell r="B5724" t="str">
            <v>HEMODIALISA SET UMUM REUSE</v>
          </cell>
          <cell r="C5724" t="str">
            <v>HD</v>
          </cell>
        </row>
        <row r="5725">
          <cell r="A5725" t="str">
            <v>HD SET URSBY064</v>
          </cell>
          <cell r="B5725" t="str">
            <v>HEMODIALISA SET UMUM REUSE</v>
          </cell>
          <cell r="C5725" t="str">
            <v>HD</v>
          </cell>
        </row>
        <row r="5726">
          <cell r="A5726" t="str">
            <v>HD SET URSBY064-P</v>
          </cell>
          <cell r="B5726" t="str">
            <v>HEMODIALISA SET UMUM REUSE</v>
          </cell>
          <cell r="C5726" t="str">
            <v>HD</v>
          </cell>
        </row>
        <row r="5727">
          <cell r="A5727" t="str">
            <v>HD SET URSBY065-P</v>
          </cell>
          <cell r="B5727" t="str">
            <v>HEMODIALISA SET UMUM REUSE</v>
          </cell>
          <cell r="C5727" t="str">
            <v>HD</v>
          </cell>
        </row>
        <row r="5728">
          <cell r="A5728" t="str">
            <v>HD SET URSBY068</v>
          </cell>
          <cell r="B5728" t="str">
            <v>HEMODIALISA SET UMUM REUSE</v>
          </cell>
          <cell r="C5728" t="str">
            <v>HD</v>
          </cell>
        </row>
        <row r="5729">
          <cell r="A5729" t="str">
            <v>HD SET URSMG001</v>
          </cell>
          <cell r="B5729" t="str">
            <v>HEMODIALISA SET UMUM REUSE</v>
          </cell>
          <cell r="C5729" t="str">
            <v>HD</v>
          </cell>
        </row>
        <row r="5730">
          <cell r="A5730" t="str">
            <v>HD SET URSTD</v>
          </cell>
          <cell r="B5730" t="str">
            <v>HEMODIALISA SET UMUM REUSE</v>
          </cell>
          <cell r="C5730" t="str">
            <v>HD</v>
          </cell>
        </row>
        <row r="5731">
          <cell r="A5731" t="str">
            <v>HD SETP001</v>
          </cell>
          <cell r="B5731" t="str">
            <v>Paket Penunjang Dialysis</v>
          </cell>
          <cell r="C5731" t="str">
            <v>HD</v>
          </cell>
        </row>
        <row r="5732">
          <cell r="A5732" t="str">
            <v>HD SETP002</v>
          </cell>
          <cell r="B5732" t="str">
            <v>Paket Penunjang Dialysis</v>
          </cell>
          <cell r="C5732" t="str">
            <v>HD</v>
          </cell>
        </row>
        <row r="5733">
          <cell r="A5733" t="str">
            <v>HD SETP003</v>
          </cell>
          <cell r="B5733" t="str">
            <v>Paket Penunjang Dialysis</v>
          </cell>
          <cell r="C5733" t="str">
            <v>HD</v>
          </cell>
        </row>
        <row r="5734">
          <cell r="A5734" t="str">
            <v>HDF SET BLJKT083 NAT</v>
          </cell>
          <cell r="B5734" t="str">
            <v>HEMODIALISA SET BPJS LENGKAP HDF NON AT</v>
          </cell>
          <cell r="C5734" t="str">
            <v>HD</v>
          </cell>
        </row>
        <row r="5735">
          <cell r="A5735" t="str">
            <v>HD-INTEGRA-DR-1</v>
          </cell>
          <cell r="B5735" t="str">
            <v>HD INTEGRA DR-1 Automatic Dialyzer Reprocessor</v>
          </cell>
          <cell r="C5735" t="str">
            <v>HD</v>
          </cell>
        </row>
        <row r="5736">
          <cell r="A5736" t="str">
            <v>HD-INTEGRA-DR-1S</v>
          </cell>
          <cell r="B5736" t="str">
            <v>HD INTEGRA DR-1 Automatic Dialyzer Reprocessor</v>
          </cell>
          <cell r="C5736" t="str">
            <v>HD</v>
          </cell>
        </row>
        <row r="5737">
          <cell r="A5737" t="str">
            <v>HEMAPO 2000 IU</v>
          </cell>
          <cell r="B5737" t="str">
            <v>HEMAPO Inj 2000 Iu/MI</v>
          </cell>
          <cell r="C5737" t="str">
            <v>NHD</v>
          </cell>
        </row>
        <row r="5738">
          <cell r="A5738" t="str">
            <v>HEPAGUSAN</v>
          </cell>
          <cell r="B5738" t="str">
            <v>HEPAGUSAN</v>
          </cell>
          <cell r="C5738" t="str">
            <v>NHD</v>
          </cell>
        </row>
        <row r="5739">
          <cell r="A5739" t="str">
            <v>HEPARINOL 5000</v>
          </cell>
          <cell r="B5739" t="str">
            <v>HEPARINOL INJECTION 5000 IU</v>
          </cell>
          <cell r="C5739" t="str">
            <v>NHD</v>
          </cell>
        </row>
        <row r="5740">
          <cell r="A5740" t="str">
            <v>HEPARINOL 5000 IU</v>
          </cell>
          <cell r="B5740" t="str">
            <v>HEPARINOL 5000 IU</v>
          </cell>
          <cell r="C5740" t="str">
            <v>NHD</v>
          </cell>
        </row>
        <row r="5741">
          <cell r="A5741" t="str">
            <v>HEPHARIN 5000</v>
          </cell>
          <cell r="B5741" t="str">
            <v>HEPHARIN 5000 Iu/Ml</v>
          </cell>
          <cell r="C5741" t="str">
            <v>NHD</v>
          </cell>
        </row>
        <row r="5742">
          <cell r="A5742" t="str">
            <v>HLB2L</v>
          </cell>
          <cell r="B5742" t="str">
            <v>HLB2L (HAVOX 2 LTR)</v>
          </cell>
          <cell r="C5742" t="str">
            <v>NHD</v>
          </cell>
        </row>
        <row r="5743">
          <cell r="A5743" t="str">
            <v>HVX</v>
          </cell>
          <cell r="B5743" t="str">
            <v>HAVOX</v>
          </cell>
          <cell r="C5743" t="str">
            <v>NHD</v>
          </cell>
        </row>
        <row r="5744">
          <cell r="A5744" t="str">
            <v>HYPX 10X5</v>
          </cell>
          <cell r="B5744" t="str">
            <v>HYPX 10x5 (Hypafix 10 x 5)</v>
          </cell>
          <cell r="C5744" t="str">
            <v>NHD</v>
          </cell>
        </row>
        <row r="5745">
          <cell r="A5745" t="str">
            <v>HYPX-10X5</v>
          </cell>
          <cell r="B5745" t="str">
            <v>HYPX 10x5 (Hypafix 10 x 5)</v>
          </cell>
          <cell r="C5745" t="str">
            <v>NHD</v>
          </cell>
        </row>
        <row r="5746">
          <cell r="A5746" t="str">
            <v>IA-N-3500</v>
          </cell>
          <cell r="B5746" t="str">
            <v>IDENT ALERT IA-N-3500 ALLERGY RED</v>
          </cell>
          <cell r="C5746" t="str">
            <v>NHD</v>
          </cell>
        </row>
        <row r="5747">
          <cell r="A5747" t="str">
            <v>IA-N-3502</v>
          </cell>
          <cell r="B5747" t="str">
            <v>IDENT ALERT IA-N-3502 DNR PURPLE</v>
          </cell>
          <cell r="C5747" t="str">
            <v>NHD</v>
          </cell>
        </row>
        <row r="5748">
          <cell r="A5748" t="str">
            <v>IA-N-3503</v>
          </cell>
          <cell r="B5748" t="str">
            <v>IDENT ALERT IA-N-3503 FALL RISK YELLOW</v>
          </cell>
          <cell r="C5748" t="str">
            <v>NHD</v>
          </cell>
        </row>
        <row r="5749">
          <cell r="A5749" t="str">
            <v>IA-N-3504</v>
          </cell>
          <cell r="B5749" t="str">
            <v>IDENT ALERT - GREEN</v>
          </cell>
          <cell r="C5749" t="str">
            <v>NHD</v>
          </cell>
        </row>
        <row r="5750">
          <cell r="A5750" t="str">
            <v>IA-N-3505</v>
          </cell>
          <cell r="B5750" t="str">
            <v>IDENT ALERT IA-N-3505 LIMB ALERT PINK</v>
          </cell>
          <cell r="C5750" t="str">
            <v>NHD</v>
          </cell>
        </row>
        <row r="5751">
          <cell r="A5751" t="str">
            <v>IF110-11</v>
          </cell>
          <cell r="B5751" t="str">
            <v>INFANT SERIES IF110-11 WHITE</v>
          </cell>
          <cell r="C5751" t="str">
            <v>NHD</v>
          </cell>
        </row>
        <row r="5752">
          <cell r="A5752" t="str">
            <v>IF110-12</v>
          </cell>
          <cell r="B5752" t="str">
            <v>INFANT SERIES IF110-12 PINK</v>
          </cell>
          <cell r="C5752" t="str">
            <v>NHD</v>
          </cell>
        </row>
        <row r="5753">
          <cell r="A5753" t="str">
            <v>IF110-18</v>
          </cell>
          <cell r="B5753" t="str">
            <v>INFANT SERIES IF110-18 BLUE</v>
          </cell>
          <cell r="C5753" t="str">
            <v>NHD</v>
          </cell>
        </row>
        <row r="5754">
          <cell r="A5754" t="str">
            <v>IF110T-11</v>
          </cell>
          <cell r="B5754" t="str">
            <v>INFANT SERIES IF110T-11 WHITE</v>
          </cell>
          <cell r="C5754" t="str">
            <v>NHD</v>
          </cell>
        </row>
        <row r="5755">
          <cell r="A5755" t="str">
            <v>IF110T-12</v>
          </cell>
          <cell r="B5755" t="str">
            <v>INFANT SERIES IF110T-12 PINK</v>
          </cell>
          <cell r="C5755" t="str">
            <v>NHD</v>
          </cell>
        </row>
        <row r="5756">
          <cell r="A5756" t="str">
            <v>IF110T-12-RSAM</v>
          </cell>
          <cell r="B5756" t="str">
            <v>INFANT SERIES 110T-12 (PINK) RS ABDOEL MOELOEK</v>
          </cell>
          <cell r="C5756" t="str">
            <v>NHD</v>
          </cell>
        </row>
        <row r="5757">
          <cell r="A5757" t="str">
            <v>IF110T-12-RSFM</v>
          </cell>
          <cell r="B5757" t="str">
            <v>INFANT SERIES 110T-12 (PINK) RS FATWAWATI</v>
          </cell>
          <cell r="C5757" t="str">
            <v>NHD</v>
          </cell>
        </row>
        <row r="5758">
          <cell r="A5758" t="str">
            <v>IF110T-12-RSPC</v>
          </cell>
          <cell r="B5758" t="str">
            <v>INFANT SERIES 110T-12 (PINK) RS PURI CINERE</v>
          </cell>
          <cell r="C5758" t="str">
            <v>NHD</v>
          </cell>
        </row>
        <row r="5759">
          <cell r="A5759" t="str">
            <v>IF110T-18</v>
          </cell>
          <cell r="B5759" t="str">
            <v>INFANT SERIES IF110T-18 BLUE</v>
          </cell>
          <cell r="C5759" t="str">
            <v>NHD</v>
          </cell>
        </row>
        <row r="5760">
          <cell r="A5760" t="str">
            <v>IF110T-18-RSFM</v>
          </cell>
          <cell r="B5760" t="str">
            <v>INFANT SERIES 110T-18 (BLUE) RS FATMAWATI</v>
          </cell>
          <cell r="C5760" t="str">
            <v>NHD</v>
          </cell>
        </row>
        <row r="5761">
          <cell r="A5761" t="str">
            <v>IF110T-18-RSPC</v>
          </cell>
          <cell r="B5761" t="str">
            <v>INFANT SERIES 110T-18 (BLUE) RS PURI CINERE</v>
          </cell>
          <cell r="C5761" t="str">
            <v>NHD</v>
          </cell>
        </row>
        <row r="5762">
          <cell r="A5762" t="str">
            <v>IF510T-11</v>
          </cell>
          <cell r="B5762" t="str">
            <v>INFANT SERIES IF510T-11 WHITE</v>
          </cell>
          <cell r="C5762" t="str">
            <v>NHD</v>
          </cell>
        </row>
        <row r="5763">
          <cell r="A5763" t="str">
            <v>IF510T-12</v>
          </cell>
          <cell r="B5763" t="str">
            <v>INFANT SERIES 510T-12 (PINK)</v>
          </cell>
          <cell r="C5763" t="str">
            <v>NHD</v>
          </cell>
        </row>
        <row r="5764">
          <cell r="A5764" t="str">
            <v>IF510T-18</v>
          </cell>
          <cell r="B5764" t="str">
            <v>INFANT SERIES IF510T-18 LIGHT BLUE</v>
          </cell>
          <cell r="C5764" t="str">
            <v>NHD</v>
          </cell>
        </row>
        <row r="5765">
          <cell r="A5765" t="str">
            <v>IMS-24</v>
          </cell>
          <cell r="B5765" t="str">
            <v>IMS-24 INOUE BALLOON</v>
          </cell>
          <cell r="C5765" t="str">
            <v>NHD</v>
          </cell>
        </row>
        <row r="5766">
          <cell r="A5766" t="str">
            <v>IMS-26</v>
          </cell>
          <cell r="B5766" t="str">
            <v>IMS-26 INOUE BALLOON</v>
          </cell>
          <cell r="C5766" t="str">
            <v>NHD</v>
          </cell>
        </row>
        <row r="5767">
          <cell r="A5767" t="str">
            <v>IMS-28</v>
          </cell>
          <cell r="B5767" t="str">
            <v>IMS-28 INOUE BALLOON</v>
          </cell>
          <cell r="C5767" t="str">
            <v>NHD</v>
          </cell>
        </row>
        <row r="5768">
          <cell r="A5768" t="str">
            <v>INFUS NACL 1000 ML</v>
          </cell>
          <cell r="B5768" t="str">
            <v>INFUS NaCl 1000 ML</v>
          </cell>
          <cell r="C5768" t="str">
            <v>NHD</v>
          </cell>
        </row>
        <row r="5769">
          <cell r="A5769" t="str">
            <v>INFUS NACL 500 ML</v>
          </cell>
          <cell r="B5769" t="str">
            <v>INFUS NaCl 500 ML</v>
          </cell>
          <cell r="C5769" t="str">
            <v>NHD</v>
          </cell>
        </row>
        <row r="5770">
          <cell r="A5770" t="str">
            <v>INJECTION PLUG</v>
          </cell>
          <cell r="B5770" t="str">
            <v>INJECTION PLUG</v>
          </cell>
          <cell r="C5770" t="str">
            <v>NHD</v>
          </cell>
        </row>
        <row r="5771">
          <cell r="A5771" t="str">
            <v>IS-001A-NIJ</v>
          </cell>
          <cell r="B5771" t="str">
            <v>NIPRO Infusion Set</v>
          </cell>
          <cell r="C5771" t="str">
            <v>NHD</v>
          </cell>
        </row>
        <row r="5772">
          <cell r="A5772" t="str">
            <v>IS01A</v>
          </cell>
          <cell r="B5772" t="str">
            <v>INFUSION SET MACRO</v>
          </cell>
          <cell r="C5772" t="str">
            <v>NHD</v>
          </cell>
        </row>
        <row r="5773">
          <cell r="A5773" t="str">
            <v>IS01A-21G</v>
          </cell>
          <cell r="B5773" t="str">
            <v>INFUSION SET/Y-INJECTIONSITE</v>
          </cell>
          <cell r="C5773" t="str">
            <v>NHD</v>
          </cell>
        </row>
        <row r="5774">
          <cell r="A5774" t="str">
            <v>ISENS-325104</v>
          </cell>
          <cell r="B5774" t="str">
            <v>NIPRO PREMIER BLOOD GLUCOSE TEST STRIP (50T)</v>
          </cell>
          <cell r="C5774" t="str">
            <v>NHD</v>
          </cell>
        </row>
        <row r="5775">
          <cell r="A5775" t="str">
            <v>ISENS-325278</v>
          </cell>
          <cell r="B5775" t="str">
            <v>NIPRO PREMIER S METER SET W/O TEST TRIPS</v>
          </cell>
          <cell r="C5775" t="str">
            <v>NHD</v>
          </cell>
        </row>
        <row r="5776">
          <cell r="A5776" t="str">
            <v>ISP-001</v>
          </cell>
          <cell r="B5776" t="str">
            <v>JASA PENERJEMAH</v>
          </cell>
          <cell r="C5776" t="str">
            <v>NHD</v>
          </cell>
        </row>
        <row r="5777">
          <cell r="A5777" t="str">
            <v>ISP-002</v>
          </cell>
          <cell r="B5777" t="str">
            <v>PENDAPATAN SPONSOR EVENT</v>
          </cell>
          <cell r="C5777" t="str">
            <v>NHD</v>
          </cell>
        </row>
        <row r="5778">
          <cell r="A5778" t="str">
            <v>JA-0048</v>
          </cell>
          <cell r="B5778" t="str">
            <v>Check Valve</v>
          </cell>
          <cell r="C5778" t="str">
            <v>NHD</v>
          </cell>
        </row>
        <row r="5779">
          <cell r="A5779" t="str">
            <v>JM-ACSWAB-ETH70</v>
          </cell>
          <cell r="B5779" t="str">
            <v>JAYAMEKSI Alcohol Swab - Ethyl 70%</v>
          </cell>
          <cell r="C5779" t="str">
            <v>NHD</v>
          </cell>
        </row>
        <row r="5780">
          <cell r="A5780" t="str">
            <v>JM-ACSWAB-ISOPRO70</v>
          </cell>
          <cell r="B5780" t="str">
            <v>JAYAMEKSI Alcohol Swab - Isopropyl 70%</v>
          </cell>
          <cell r="C5780" t="str">
            <v>NHD</v>
          </cell>
        </row>
        <row r="5781">
          <cell r="A5781" t="str">
            <v>K-E3172-25FD-TS</v>
          </cell>
          <cell r="B5781" t="str">
            <v>TRUERESULT BLOOD GLUCOSE TEST STRIPS-25</v>
          </cell>
          <cell r="C5781" t="str">
            <v>NHD</v>
          </cell>
        </row>
        <row r="5782">
          <cell r="A5782" t="str">
            <v>K-E3172-82FD-TS</v>
          </cell>
          <cell r="B5782" t="str">
            <v>TRUERESULT BLOOD GLUCOSE TEST STRIPS-50</v>
          </cell>
          <cell r="C5782" t="str">
            <v>NHD</v>
          </cell>
        </row>
        <row r="5783">
          <cell r="A5783" t="str">
            <v>K-E4172-81FD-BGM</v>
          </cell>
          <cell r="B5783" t="str">
            <v>TRUERESULT BLOOD GLUCOSE MONITORING SYSTEM</v>
          </cell>
          <cell r="C5783" t="str">
            <v>NHD</v>
          </cell>
        </row>
        <row r="5784">
          <cell r="A5784" t="str">
            <v>KSTR</v>
          </cell>
          <cell r="B5784" t="str">
            <v>KASA STERIL</v>
          </cell>
          <cell r="C5784" t="str">
            <v>NHD</v>
          </cell>
        </row>
        <row r="5785">
          <cell r="A5785" t="str">
            <v>LDT-2.1-1-4B</v>
          </cell>
          <cell r="B5785" t="str">
            <v>LABEL DIRECT THERMAL 2 x 1-1/4" BLUE</v>
          </cell>
          <cell r="C5785" t="str">
            <v>NHD</v>
          </cell>
        </row>
        <row r="5786">
          <cell r="A5786" t="str">
            <v>LDT-2.1-1-4W</v>
          </cell>
          <cell r="B5786" t="str">
            <v>LABEL DIRECT THERMAL 2 x 1-1/4" WHITE</v>
          </cell>
          <cell r="C5786" t="str">
            <v>NHD</v>
          </cell>
        </row>
        <row r="5787">
          <cell r="A5787" t="str">
            <v>LDT-2.1W</v>
          </cell>
          <cell r="B5787" t="str">
            <v>LABEL DIRECT THERMAL 2 x 1" WHITE</v>
          </cell>
          <cell r="C5787" t="str">
            <v>NHD</v>
          </cell>
        </row>
        <row r="5788">
          <cell r="A5788" t="str">
            <v>LDT-2.2-3-8B</v>
          </cell>
          <cell r="B5788" t="str">
            <v>LABEL DIRECT THERMAL 2 x 2-3/8" BLUE</v>
          </cell>
          <cell r="C5788" t="str">
            <v>NHD</v>
          </cell>
        </row>
        <row r="5789">
          <cell r="A5789" t="str">
            <v>LDT-2.2-3-8W</v>
          </cell>
          <cell r="B5789" t="str">
            <v>LABEL DIRECT THERMAL 2 x 2-3/8" WHITE</v>
          </cell>
          <cell r="C5789" t="str">
            <v>NHD</v>
          </cell>
        </row>
        <row r="5790">
          <cell r="A5790" t="str">
            <v>LDT-2.4W</v>
          </cell>
          <cell r="B5790" t="str">
            <v>LABEL DIRECT THERMAL 2 x 4" WHITE</v>
          </cell>
          <cell r="C5790" t="str">
            <v>NHD</v>
          </cell>
        </row>
        <row r="5791">
          <cell r="A5791" t="str">
            <v>LT-19530-NS</v>
          </cell>
          <cell r="B5791" t="str">
            <v>LT-19530-NS (LOTUS II-195/30-NS)</v>
          </cell>
          <cell r="C5791" t="str">
            <v>NHD</v>
          </cell>
        </row>
        <row r="5792">
          <cell r="A5792" t="str">
            <v>LT-19545-NS</v>
          </cell>
          <cell r="B5792" t="str">
            <v>LT-19545-NS (LOTUS II-195/45-NS)</v>
          </cell>
          <cell r="C5792" t="str">
            <v>NHD</v>
          </cell>
        </row>
        <row r="5793">
          <cell r="A5793" t="str">
            <v>LT-19560-NJ</v>
          </cell>
          <cell r="B5793" t="str">
            <v>LT-19560-NJ (LOTUS II-195/60-NJ)</v>
          </cell>
          <cell r="C5793" t="str">
            <v>NHD</v>
          </cell>
        </row>
        <row r="5794">
          <cell r="A5794" t="str">
            <v>LT-19560-NS</v>
          </cell>
          <cell r="B5794" t="str">
            <v>LT-19560-NS (LOTUS II-195/60-NS)</v>
          </cell>
          <cell r="C5794" t="str">
            <v>NHD</v>
          </cell>
        </row>
        <row r="5795">
          <cell r="A5795" t="str">
            <v>LX-195-30WS</v>
          </cell>
          <cell r="B5795" t="str">
            <v>LX-195-30WS (LOTUS XP-LX 195/30WS)</v>
          </cell>
          <cell r="C5795" t="str">
            <v>NHD</v>
          </cell>
        </row>
        <row r="5796">
          <cell r="A5796" t="str">
            <v>LX-195-45WS</v>
          </cell>
          <cell r="B5796" t="str">
            <v>LX-195-45WS (LOTUS XP-LX 195/45WS)</v>
          </cell>
          <cell r="C5796" t="str">
            <v>NHD</v>
          </cell>
        </row>
        <row r="5797">
          <cell r="A5797" t="str">
            <v>LX-195-60DS</v>
          </cell>
          <cell r="B5797" t="str">
            <v>LX-195-60DS (LOTUS XP-LX 195/60DS)</v>
          </cell>
          <cell r="C5797" t="str">
            <v>NHD</v>
          </cell>
        </row>
        <row r="5798">
          <cell r="A5798" t="str">
            <v>LX-195-60WS</v>
          </cell>
          <cell r="B5798" t="str">
            <v>LX-195-60WS (LOTUS XP-LX 195/60WS)</v>
          </cell>
          <cell r="C5798" t="str">
            <v>NHD</v>
          </cell>
        </row>
        <row r="5799">
          <cell r="A5799" t="str">
            <v>LX-195-90WS</v>
          </cell>
          <cell r="B5799" t="str">
            <v>LX-195-90WS (LOTUS XP-LX 195/90WS)</v>
          </cell>
          <cell r="C5799" t="str">
            <v>NHD</v>
          </cell>
        </row>
        <row r="5800">
          <cell r="A5800" t="str">
            <v>LX-300-120WS</v>
          </cell>
          <cell r="B5800" t="str">
            <v>LX-300-120WS (LOTUS XP-LX 300/120WS)</v>
          </cell>
          <cell r="C5800" t="str">
            <v>NHD</v>
          </cell>
        </row>
        <row r="5801">
          <cell r="A5801" t="str">
            <v>LX-300-30DS</v>
          </cell>
          <cell r="B5801" t="str">
            <v>LX-300-30DS (LOTUS XP-LX 300/30DS)</v>
          </cell>
          <cell r="C5801" t="str">
            <v>NHD</v>
          </cell>
        </row>
        <row r="5802">
          <cell r="A5802" t="str">
            <v>LX-300-30WS</v>
          </cell>
          <cell r="B5802" t="str">
            <v>LX-300-30WS (LOTUS XP-LX 300/30WS)</v>
          </cell>
          <cell r="C5802" t="str">
            <v>NHD</v>
          </cell>
        </row>
        <row r="5803">
          <cell r="A5803" t="str">
            <v>LX-300-45DS</v>
          </cell>
          <cell r="B5803" t="str">
            <v>LX-300-45DS (LOTUS XP-LX 300/45DS)</v>
          </cell>
          <cell r="C5803" t="str">
            <v>NHD</v>
          </cell>
        </row>
        <row r="5804">
          <cell r="A5804" t="str">
            <v>LX-300-45WS</v>
          </cell>
          <cell r="B5804" t="str">
            <v>LX-300-45WS (LOTUS XP-LX 300/45WS)</v>
          </cell>
          <cell r="C5804" t="str">
            <v>NHD</v>
          </cell>
        </row>
        <row r="5805">
          <cell r="A5805" t="str">
            <v>LX-300-60DS</v>
          </cell>
          <cell r="B5805" t="str">
            <v>LX-300-60DS (LOTUS XP-LX 300/60DS)</v>
          </cell>
          <cell r="C5805" t="str">
            <v>NHD</v>
          </cell>
        </row>
        <row r="5806">
          <cell r="A5806" t="str">
            <v>LX-300-60WS</v>
          </cell>
          <cell r="B5806" t="str">
            <v>LOTUS XP - LX 300/60WS</v>
          </cell>
          <cell r="C5806" t="str">
            <v>NHD</v>
          </cell>
        </row>
        <row r="5807">
          <cell r="A5807" t="str">
            <v>LX-300-90WS</v>
          </cell>
          <cell r="B5807" t="str">
            <v>LX-300-90WS (LOTUS XP-LX 300/90WS)</v>
          </cell>
          <cell r="C5807" t="str">
            <v>NHD</v>
          </cell>
        </row>
        <row r="5808">
          <cell r="A5808" t="str">
            <v>MCNE5000IN</v>
          </cell>
          <cell r="B5808" t="str">
            <v>MCNE 5000 IN (Neurobion 5000 Dual Ampoule 20 s)</v>
          </cell>
          <cell r="C5808" t="str">
            <v>NHD</v>
          </cell>
        </row>
        <row r="5809">
          <cell r="A5809" t="str">
            <v>MDT-PAA-4</v>
          </cell>
          <cell r="B5809" t="str">
            <v>MDT PLUS 4 Cold Sterilant</v>
          </cell>
          <cell r="C5809" t="str">
            <v>NHD</v>
          </cell>
        </row>
        <row r="5810">
          <cell r="A5810" t="str">
            <v>MESIN TITAN 1800</v>
          </cell>
          <cell r="B5810" t="str">
            <v>MESIN TITAN 1800</v>
          </cell>
          <cell r="C5810" t="str">
            <v>NHD</v>
          </cell>
        </row>
        <row r="5811">
          <cell r="A5811" t="str">
            <v>MESIN TITAN 4000</v>
          </cell>
          <cell r="B5811" t="str">
            <v>MESIN TITAN 4000</v>
          </cell>
          <cell r="C5811" t="str">
            <v>NHD</v>
          </cell>
        </row>
        <row r="5812">
          <cell r="A5812" t="str">
            <v>MESIN TITAN 5000</v>
          </cell>
          <cell r="B5812" t="str">
            <v>MESIN TITAN 5000</v>
          </cell>
          <cell r="C5812" t="str">
            <v>NHD</v>
          </cell>
        </row>
        <row r="5813">
          <cell r="A5813" t="str">
            <v>MIS-0022</v>
          </cell>
          <cell r="B5813" t="str">
            <v>O-ring for Dialyzer Coupling White Silicon</v>
          </cell>
          <cell r="C5813" t="str">
            <v>NHD</v>
          </cell>
        </row>
        <row r="5814">
          <cell r="A5814" t="str">
            <v>MIS-0029</v>
          </cell>
          <cell r="B5814" t="str">
            <v>Mixing Tank Assembly</v>
          </cell>
          <cell r="C5814" t="str">
            <v>NHD</v>
          </cell>
        </row>
        <row r="5815">
          <cell r="A5815" t="str">
            <v>MIS-0032</v>
          </cell>
          <cell r="B5815" t="str">
            <v>O-ring for Flow Control</v>
          </cell>
          <cell r="C5815" t="str">
            <v>NHD</v>
          </cell>
        </row>
        <row r="5816">
          <cell r="A5816" t="str">
            <v>MS032</v>
          </cell>
          <cell r="B5816" t="str">
            <v>MERSIBION INJ 5000</v>
          </cell>
          <cell r="C5816" t="str">
            <v>NHD</v>
          </cell>
        </row>
        <row r="5817">
          <cell r="A5817" t="str">
            <v>MSKR</v>
          </cell>
          <cell r="B5817" t="str">
            <v>MASKER</v>
          </cell>
          <cell r="C5817" t="str">
            <v>NHD</v>
          </cell>
        </row>
        <row r="5818">
          <cell r="A5818" t="str">
            <v>MSKR3</v>
          </cell>
          <cell r="B5818" t="str">
            <v>MASKER @3PLY</v>
          </cell>
          <cell r="C5818" t="str">
            <v>NHD</v>
          </cell>
        </row>
        <row r="5819">
          <cell r="A5819" t="str">
            <v>N-10000</v>
          </cell>
          <cell r="B5819" t="str">
            <v>MESIN NOVATRON 10000</v>
          </cell>
          <cell r="C5819" t="str">
            <v>NHD</v>
          </cell>
        </row>
        <row r="5820">
          <cell r="A5820" t="str">
            <v>N-15000</v>
          </cell>
          <cell r="B5820" t="str">
            <v>MESIN NOVATRON 15000</v>
          </cell>
          <cell r="C5820" t="str">
            <v>NHD</v>
          </cell>
        </row>
        <row r="5821">
          <cell r="A5821" t="str">
            <v>N-2000</v>
          </cell>
          <cell r="B5821" t="str">
            <v>MESIN NOVATRON 2000</v>
          </cell>
          <cell r="C5821" t="str">
            <v>NHD</v>
          </cell>
        </row>
        <row r="5822">
          <cell r="A5822" t="str">
            <v>N-3000</v>
          </cell>
          <cell r="B5822" t="str">
            <v>MESIN NOVATRON 3000</v>
          </cell>
          <cell r="C5822" t="str">
            <v>NHD</v>
          </cell>
        </row>
        <row r="5823">
          <cell r="A5823" t="str">
            <v>N-5000</v>
          </cell>
          <cell r="B5823" t="str">
            <v>MESIN NOVATRON 5000</v>
          </cell>
          <cell r="C5823" t="str">
            <v>NHD</v>
          </cell>
        </row>
        <row r="5824">
          <cell r="A5824" t="str">
            <v>NACL-OGB</v>
          </cell>
          <cell r="B5824" t="str">
            <v>NaCl-OGB (NaCl 0.9% 500 ml - OGB)</v>
          </cell>
          <cell r="C5824" t="str">
            <v>NHD</v>
          </cell>
        </row>
        <row r="5825">
          <cell r="A5825" t="str">
            <v>NCN3L</v>
          </cell>
          <cell r="B5825" t="str">
            <v>NCN3L (THREE WAY STOP COCKS)</v>
          </cell>
          <cell r="C5825" t="str">
            <v>NHD</v>
          </cell>
        </row>
        <row r="5826">
          <cell r="A5826" t="str">
            <v>NCU-18</v>
          </cell>
          <cell r="B5826" t="str">
            <v>MESIN HD NCU-18</v>
          </cell>
          <cell r="C5826" t="str">
            <v>NHD</v>
          </cell>
        </row>
        <row r="5827">
          <cell r="A5827" t="str">
            <v>NCU-18 B</v>
          </cell>
          <cell r="B5827" t="str">
            <v>MESIN HD NCU-18+NIBP+CF</v>
          </cell>
          <cell r="C5827" t="str">
            <v>NHD</v>
          </cell>
        </row>
        <row r="5828">
          <cell r="A5828" t="str">
            <v>NFT-0501</v>
          </cell>
          <cell r="B5828" t="str">
            <v>DISP.FEEDING TUBE 5 FR-40CM</v>
          </cell>
          <cell r="C5828" t="str">
            <v>NHD</v>
          </cell>
        </row>
        <row r="5829">
          <cell r="A5829" t="str">
            <v>NFT-0502</v>
          </cell>
          <cell r="B5829" t="str">
            <v>DISP.FEEDING TUBE 5 FR-100CM</v>
          </cell>
          <cell r="C5829" t="str">
            <v>NHD</v>
          </cell>
        </row>
        <row r="5830">
          <cell r="A5830" t="str">
            <v>NFT-0802</v>
          </cell>
          <cell r="B5830" t="str">
            <v>DISP.FEEDING TUBE 8 FR-100CM</v>
          </cell>
          <cell r="C5830" t="str">
            <v>NHD</v>
          </cell>
        </row>
        <row r="5831">
          <cell r="A5831" t="str">
            <v>NFT-1002</v>
          </cell>
          <cell r="B5831" t="str">
            <v>DISP.FEEDING TUBE 10FR-100CM</v>
          </cell>
          <cell r="C5831" t="str">
            <v>NHD</v>
          </cell>
        </row>
        <row r="5832">
          <cell r="A5832" t="str">
            <v>NIC1650</v>
          </cell>
          <cell r="B5832" t="str">
            <v>I.V CATHETER 16GX2"/1650</v>
          </cell>
          <cell r="C5832" t="str">
            <v>NHD</v>
          </cell>
        </row>
        <row r="5833">
          <cell r="A5833" t="str">
            <v>NIC1650-N</v>
          </cell>
          <cell r="B5833" t="str">
            <v>I.V CATHETER 16GX2"/1650-N-PU</v>
          </cell>
          <cell r="C5833" t="str">
            <v>NHD</v>
          </cell>
        </row>
        <row r="5834">
          <cell r="A5834" t="str">
            <v>NIC1650-N-E</v>
          </cell>
          <cell r="B5834" t="str">
            <v>I.V CATHETER 16GX2"/1650-N-ETFE</v>
          </cell>
          <cell r="C5834" t="str">
            <v>NHD</v>
          </cell>
        </row>
        <row r="5835">
          <cell r="A5835" t="str">
            <v>NIC1832</v>
          </cell>
          <cell r="B5835" t="str">
            <v>I.V CATHETER 18GX1 1/4"/1832</v>
          </cell>
          <cell r="C5835" t="str">
            <v>NHD</v>
          </cell>
        </row>
        <row r="5836">
          <cell r="A5836" t="str">
            <v>NIC1832-N</v>
          </cell>
          <cell r="B5836" t="str">
            <v>I.V CATHETER 18GX1 1/4"/1832-N-PU</v>
          </cell>
          <cell r="C5836" t="str">
            <v>NHD</v>
          </cell>
        </row>
        <row r="5837">
          <cell r="A5837" t="str">
            <v>NIC1832-N-E</v>
          </cell>
          <cell r="B5837" t="str">
            <v>I.V CATHETER 18GX1 1/4"/1832 ETFE</v>
          </cell>
          <cell r="C5837" t="str">
            <v>NHD</v>
          </cell>
        </row>
        <row r="5838">
          <cell r="A5838" t="str">
            <v>NIC1850</v>
          </cell>
          <cell r="B5838" t="str">
            <v>I.V CATHETER 18GX2"/1850</v>
          </cell>
          <cell r="C5838" t="str">
            <v>NHD</v>
          </cell>
        </row>
        <row r="5839">
          <cell r="A5839" t="str">
            <v>NIC1850-N</v>
          </cell>
          <cell r="B5839" t="str">
            <v>I.V CATHETER 18GX2"/1850-N-PU</v>
          </cell>
          <cell r="C5839" t="str">
            <v>NHD</v>
          </cell>
        </row>
        <row r="5840">
          <cell r="A5840" t="str">
            <v>NIC1850-N-E</v>
          </cell>
          <cell r="B5840" t="str">
            <v>I.V CATHETER 18GX2"/1850 ETFE</v>
          </cell>
          <cell r="C5840" t="str">
            <v>NHD</v>
          </cell>
        </row>
        <row r="5841">
          <cell r="A5841" t="str">
            <v>NIC2025</v>
          </cell>
          <cell r="B5841" t="str">
            <v>I.V CATHETER 20GX1"/2025</v>
          </cell>
          <cell r="C5841" t="str">
            <v>NHD</v>
          </cell>
        </row>
        <row r="5842">
          <cell r="A5842" t="str">
            <v>NIC2025-N</v>
          </cell>
          <cell r="B5842" t="str">
            <v>I.V CATHETER 20GX1"/2025-N-PU</v>
          </cell>
          <cell r="C5842" t="str">
            <v>NHD</v>
          </cell>
        </row>
        <row r="5843">
          <cell r="A5843" t="str">
            <v>NIC2025-N-E</v>
          </cell>
          <cell r="B5843" t="str">
            <v>I.V CATHETER 20GX1"/2025 ETFE</v>
          </cell>
          <cell r="C5843" t="str">
            <v>NHD</v>
          </cell>
        </row>
        <row r="5844">
          <cell r="A5844" t="str">
            <v>NIC2032</v>
          </cell>
          <cell r="B5844" t="str">
            <v>I.V CATHETER 20GX1 1/4"/2032</v>
          </cell>
          <cell r="C5844" t="str">
            <v>NHD</v>
          </cell>
        </row>
        <row r="5845">
          <cell r="A5845" t="str">
            <v>NIC2032-N</v>
          </cell>
          <cell r="B5845" t="str">
            <v>I.V CATHETER 20GX1 1/4"/2032-N-PU</v>
          </cell>
          <cell r="C5845" t="str">
            <v>NHD</v>
          </cell>
        </row>
        <row r="5846">
          <cell r="A5846" t="str">
            <v>NIC2032-N-E</v>
          </cell>
          <cell r="B5846" t="str">
            <v>I.V CATHETER 20GX1 1/4"/2032 ETFE</v>
          </cell>
          <cell r="C5846" t="str">
            <v>NHD</v>
          </cell>
        </row>
        <row r="5847">
          <cell r="A5847" t="str">
            <v>NIC2050</v>
          </cell>
          <cell r="B5847" t="str">
            <v>I.V CATHETER 20GX2"/2050</v>
          </cell>
          <cell r="C5847" t="str">
            <v>NHD</v>
          </cell>
        </row>
        <row r="5848">
          <cell r="A5848" t="str">
            <v>NIC2050-N</v>
          </cell>
          <cell r="B5848" t="str">
            <v>I.V CATHETER 20GX2"/2050-N-PU</v>
          </cell>
          <cell r="C5848" t="str">
            <v>NHD</v>
          </cell>
        </row>
        <row r="5849">
          <cell r="A5849" t="str">
            <v>NIC2225</v>
          </cell>
          <cell r="B5849" t="str">
            <v>I.V CATHETER 22GX1"/2225</v>
          </cell>
          <cell r="C5849" t="str">
            <v>NHD</v>
          </cell>
        </row>
        <row r="5850">
          <cell r="A5850" t="str">
            <v>NIC2225-N</v>
          </cell>
          <cell r="B5850" t="str">
            <v>I.V CATHETER 22GX1"/2225-N-PU</v>
          </cell>
          <cell r="C5850" t="str">
            <v>NHD</v>
          </cell>
        </row>
        <row r="5851">
          <cell r="A5851" t="str">
            <v>NIC2225-N-E</v>
          </cell>
          <cell r="B5851" t="str">
            <v>I.V CATHETER 22GX1"/2225 ETFE</v>
          </cell>
          <cell r="C5851" t="str">
            <v>NHD</v>
          </cell>
        </row>
        <row r="5852">
          <cell r="A5852" t="str">
            <v>NIC2420</v>
          </cell>
          <cell r="B5852" t="str">
            <v>I.V CATHETER 24GX3/4"/2420</v>
          </cell>
          <cell r="C5852" t="str">
            <v>NHD</v>
          </cell>
        </row>
        <row r="5853">
          <cell r="A5853" t="str">
            <v>NIC2420-N</v>
          </cell>
          <cell r="B5853" t="str">
            <v>I.V CATHETER 24GX3/4"/2420-N-PU</v>
          </cell>
          <cell r="C5853" t="str">
            <v>NHD</v>
          </cell>
        </row>
        <row r="5854">
          <cell r="A5854" t="str">
            <v>NIC2420-N-E</v>
          </cell>
          <cell r="B5854" t="str">
            <v>I.V CATHETER 24GX3/4"/2420 ETFE</v>
          </cell>
          <cell r="C5854" t="str">
            <v>NHD</v>
          </cell>
        </row>
        <row r="5855">
          <cell r="A5855" t="str">
            <v>NIC2425</v>
          </cell>
          <cell r="B5855" t="str">
            <v>I.V CATHETER 24GX1"/2425</v>
          </cell>
          <cell r="C5855" t="str">
            <v>NHD</v>
          </cell>
        </row>
        <row r="5856">
          <cell r="A5856" t="str">
            <v>NIC2425-N</v>
          </cell>
          <cell r="B5856" t="str">
            <v>I.V CATHETER 24GX1"/2425-N-PU</v>
          </cell>
          <cell r="C5856" t="str">
            <v>NHD</v>
          </cell>
        </row>
        <row r="5857">
          <cell r="A5857" t="str">
            <v>NIC2425-N-E</v>
          </cell>
          <cell r="B5857" t="str">
            <v>I.V CATHETER 24GX1"/2425 ETFE</v>
          </cell>
          <cell r="C5857" t="str">
            <v>NHD</v>
          </cell>
        </row>
        <row r="5858">
          <cell r="A5858" t="str">
            <v>NIK-DBB27</v>
          </cell>
          <cell r="B5858" t="str">
            <v>MESIN HD NIKKISO DBB-27</v>
          </cell>
          <cell r="C5858" t="str">
            <v>NHD</v>
          </cell>
        </row>
        <row r="5859">
          <cell r="A5859" t="str">
            <v>NIPROCART A2F 650</v>
          </cell>
          <cell r="B5859" t="str">
            <v>NIPROCART  BICARBONATE POWDER A2F 650gr</v>
          </cell>
          <cell r="C5859" t="str">
            <v>NHD</v>
          </cell>
        </row>
        <row r="5860">
          <cell r="A5860" t="str">
            <v>NIPROCART A2F 760</v>
          </cell>
          <cell r="B5860" t="str">
            <v>NIPROCART  BICARBONATE POWDER A2F 760gr</v>
          </cell>
          <cell r="C5860" t="str">
            <v>NHD</v>
          </cell>
        </row>
        <row r="5861">
          <cell r="A5861" t="str">
            <v>NMS-1</v>
          </cell>
          <cell r="B5861" t="str">
            <v>RULER - TORAY (NMS-1)</v>
          </cell>
          <cell r="C5861" t="str">
            <v>NHD</v>
          </cell>
        </row>
        <row r="5862">
          <cell r="A5862" t="str">
            <v>NOVATRON 10000</v>
          </cell>
          <cell r="B5862" t="str">
            <v>MESIN RO NOVATRON 10000</v>
          </cell>
          <cell r="C5862" t="str">
            <v>NHD</v>
          </cell>
        </row>
        <row r="5863">
          <cell r="A5863" t="str">
            <v>NOVATRON 15000</v>
          </cell>
          <cell r="B5863" t="str">
            <v>MESIN RO NOVATRON 15000</v>
          </cell>
          <cell r="C5863" t="str">
            <v>NHD</v>
          </cell>
        </row>
        <row r="5864">
          <cell r="A5864" t="str">
            <v>NOVATRON 2000</v>
          </cell>
          <cell r="B5864" t="str">
            <v>MESIN RO NOVATRON 2000</v>
          </cell>
          <cell r="C5864" t="str">
            <v>NHD</v>
          </cell>
        </row>
        <row r="5865">
          <cell r="A5865" t="str">
            <v>NOVATRON 3000</v>
          </cell>
          <cell r="B5865" t="str">
            <v>MESIN RO NOVATRON 3000</v>
          </cell>
          <cell r="C5865" t="str">
            <v>NHD</v>
          </cell>
        </row>
        <row r="5866">
          <cell r="A5866" t="str">
            <v>NOVATRON 5000</v>
          </cell>
          <cell r="B5866" t="str">
            <v>MESIN NOVATRON 5000</v>
          </cell>
          <cell r="C5866" t="str">
            <v>NHD</v>
          </cell>
        </row>
        <row r="5867">
          <cell r="A5867" t="str">
            <v>NRSB</v>
          </cell>
          <cell r="B5867" t="str">
            <v>NRSB (Neurosanbe)</v>
          </cell>
          <cell r="C5867" t="str">
            <v>NHD</v>
          </cell>
        </row>
        <row r="5868">
          <cell r="A5868" t="str">
            <v>NS1838</v>
          </cell>
          <cell r="B5868" t="str">
            <v>NEEDLE 18GX1 1/2"/1838</v>
          </cell>
          <cell r="C5868" t="str">
            <v>NHD</v>
          </cell>
        </row>
        <row r="5869">
          <cell r="A5869" t="str">
            <v>NS2038</v>
          </cell>
          <cell r="B5869" t="str">
            <v>NEEDLE 20G X 1 1/2"</v>
          </cell>
          <cell r="C5869" t="str">
            <v>NHD</v>
          </cell>
        </row>
        <row r="5870">
          <cell r="A5870" t="str">
            <v>NS2138</v>
          </cell>
          <cell r="B5870" t="str">
            <v>NEEDLE 21GX1 1/2"/2138</v>
          </cell>
          <cell r="C5870" t="str">
            <v>NHD</v>
          </cell>
        </row>
        <row r="5871">
          <cell r="A5871" t="str">
            <v>NS2238</v>
          </cell>
          <cell r="B5871" t="str">
            <v>NEEDLE 22GX1 1/2"/2238</v>
          </cell>
          <cell r="C5871" t="str">
            <v>NHD</v>
          </cell>
        </row>
        <row r="5872">
          <cell r="A5872" t="str">
            <v>NS2332</v>
          </cell>
          <cell r="B5872" t="str">
            <v>NEEDLE 23GX1 1/4"/2332</v>
          </cell>
          <cell r="C5872" t="str">
            <v>NHD</v>
          </cell>
        </row>
        <row r="5873">
          <cell r="A5873" t="str">
            <v>NS2425</v>
          </cell>
          <cell r="B5873" t="str">
            <v>NEEDLE 24GX1"/2425</v>
          </cell>
          <cell r="C5873" t="str">
            <v>NHD</v>
          </cell>
        </row>
        <row r="5874">
          <cell r="A5874" t="str">
            <v>NS-2425</v>
          </cell>
          <cell r="B5874" t="str">
            <v>NEEDLE 24GX1"/2425</v>
          </cell>
          <cell r="C5874" t="str">
            <v>NHD</v>
          </cell>
        </row>
        <row r="5875">
          <cell r="A5875" t="str">
            <v>NS2525</v>
          </cell>
          <cell r="B5875" t="str">
            <v>NEEDLE 25G X 1"</v>
          </cell>
          <cell r="C5875" t="str">
            <v>NHD</v>
          </cell>
        </row>
        <row r="5876">
          <cell r="A5876" t="str">
            <v>NS2613</v>
          </cell>
          <cell r="B5876" t="str">
            <v>NEEDLE 26GX1/2"/2613</v>
          </cell>
          <cell r="C5876" t="str">
            <v>NHD</v>
          </cell>
        </row>
        <row r="5877">
          <cell r="A5877" t="str">
            <v>NS2713</v>
          </cell>
          <cell r="B5877" t="str">
            <v>NEEDLE 27GX1/2"/2713</v>
          </cell>
          <cell r="C5877" t="str">
            <v>NHD</v>
          </cell>
        </row>
        <row r="5878">
          <cell r="A5878" t="str">
            <v>NS6050-A16</v>
          </cell>
          <cell r="B5878" t="str">
            <v>BLOODLINE NS6050-A16</v>
          </cell>
          <cell r="C5878" t="str">
            <v>NHD</v>
          </cell>
        </row>
        <row r="5879">
          <cell r="A5879" t="str">
            <v>NS6050-A16-N</v>
          </cell>
          <cell r="B5879" t="str">
            <v>BLOODLINE A016/V604 (NS6050-A16-N)</v>
          </cell>
          <cell r="C5879" t="str">
            <v>NHD</v>
          </cell>
        </row>
        <row r="5880">
          <cell r="A5880" t="str">
            <v>NS6050-A16-V604-N</v>
          </cell>
          <cell r="B5880" t="str">
            <v>BLOOD TUBING SET A016+V604 (NS6050-A16+V604-N)</v>
          </cell>
          <cell r="C5880" t="str">
            <v>NHD</v>
          </cell>
        </row>
        <row r="5881">
          <cell r="A5881" t="str">
            <v>NST16-C</v>
          </cell>
          <cell r="B5881" t="str">
            <v>DISP. THORACIC CATHETER 36FR</v>
          </cell>
          <cell r="C5881" t="str">
            <v>NHD</v>
          </cell>
        </row>
        <row r="5882">
          <cell r="A5882" t="str">
            <v>NST18-C</v>
          </cell>
          <cell r="B5882" t="str">
            <v>DISP.SUCTION CATHETER 18 FR</v>
          </cell>
          <cell r="C5882" t="str">
            <v>NHD</v>
          </cell>
        </row>
        <row r="5883">
          <cell r="A5883" t="str">
            <v>NS-TER19G</v>
          </cell>
          <cell r="B5883" t="str">
            <v>NEEDLE TERUMO 19 G"</v>
          </cell>
          <cell r="C5883" t="str">
            <v>NHD</v>
          </cell>
        </row>
        <row r="5884">
          <cell r="A5884" t="str">
            <v>NS-TER20G</v>
          </cell>
          <cell r="B5884" t="str">
            <v>NEEDLE TERUMO 20 G</v>
          </cell>
          <cell r="C5884" t="str">
            <v>NHD</v>
          </cell>
        </row>
        <row r="5885">
          <cell r="A5885" t="str">
            <v>NS-TER21G</v>
          </cell>
          <cell r="B5885" t="str">
            <v>NEEDLE TERUMO 21 G</v>
          </cell>
          <cell r="C5885" t="str">
            <v>NHD</v>
          </cell>
        </row>
        <row r="5886">
          <cell r="A5886" t="str">
            <v>NTH24</v>
          </cell>
          <cell r="B5886" t="str">
            <v>DISP. TROCAR CATHETER 20 FR</v>
          </cell>
          <cell r="C5886" t="str">
            <v>NHD</v>
          </cell>
        </row>
        <row r="5887">
          <cell r="A5887" t="str">
            <v>NTH28</v>
          </cell>
          <cell r="B5887" t="str">
            <v>DISP. TROCAR CATHETER 12 FR</v>
          </cell>
          <cell r="C5887" t="str">
            <v>NHD</v>
          </cell>
        </row>
        <row r="5888">
          <cell r="A5888" t="str">
            <v>NTH32</v>
          </cell>
          <cell r="B5888" t="str">
            <v>DISP. TROCAR CATHETER 16 FR</v>
          </cell>
          <cell r="C5888" t="str">
            <v>NHD</v>
          </cell>
        </row>
        <row r="5889">
          <cell r="A5889" t="str">
            <v>NTR20</v>
          </cell>
          <cell r="B5889" t="str">
            <v>DISP. TROCAR CATHETER 20 FR</v>
          </cell>
          <cell r="C5889" t="str">
            <v>NHD</v>
          </cell>
        </row>
        <row r="5890">
          <cell r="A5890" t="str">
            <v>OTSU NS-500</v>
          </cell>
          <cell r="B5890" t="str">
            <v>Otsu NS 500ml</v>
          </cell>
          <cell r="C5890" t="str">
            <v>NHD</v>
          </cell>
        </row>
        <row r="5891">
          <cell r="A5891" t="str">
            <v>-PD225W-DT-PDA</v>
          </cell>
          <cell r="B5891" t="str">
            <v>Direct Thermal Printer PD225W-DT-PDA 6.5 INCH</v>
          </cell>
          <cell r="C5891" t="str">
            <v>NHD</v>
          </cell>
        </row>
        <row r="5892">
          <cell r="A5892" t="str">
            <v>PD225W-DT-PDA</v>
          </cell>
          <cell r="B5892" t="str">
            <v>Direct Thermal Printer PD225W-DT-PDA 6.5 INCH</v>
          </cell>
          <cell r="C5892" t="str">
            <v>NHD</v>
          </cell>
        </row>
        <row r="5893">
          <cell r="A5893" t="str">
            <v>PLAIR</v>
          </cell>
          <cell r="B5893" t="str">
            <v>PLAIR (Plesterin Anti Air)</v>
          </cell>
          <cell r="C5893" t="str">
            <v>NHD</v>
          </cell>
        </row>
        <row r="5894">
          <cell r="A5894" t="str">
            <v>PM-AHI 4-60</v>
          </cell>
          <cell r="B5894" t="str">
            <v>POMPA EVAK AHI 4-60</v>
          </cell>
          <cell r="C5894" t="str">
            <v>NHD</v>
          </cell>
        </row>
        <row r="5895">
          <cell r="A5895" t="str">
            <v>PM-CDLF 315</v>
          </cell>
          <cell r="B5895" t="str">
            <v>POMPA CDLF 315</v>
          </cell>
          <cell r="C5895" t="str">
            <v>NHD</v>
          </cell>
        </row>
        <row r="5896">
          <cell r="A5896" t="str">
            <v>PM-CHLF 4-30</v>
          </cell>
          <cell r="B5896" t="str">
            <v>POMPA CNP CHLF 4-30</v>
          </cell>
          <cell r="C5896" t="str">
            <v>NHD</v>
          </cell>
        </row>
        <row r="5897">
          <cell r="A5897" t="str">
            <v>PM-CHLF 4-60</v>
          </cell>
          <cell r="B5897" t="str">
            <v>POMPA CNP CHLF 4-60</v>
          </cell>
          <cell r="C5897" t="str">
            <v>NHD</v>
          </cell>
        </row>
        <row r="5898">
          <cell r="A5898" t="str">
            <v>PM-CHLF 8-50</v>
          </cell>
          <cell r="B5898" t="str">
            <v>POMPA CNP CHLF 8-50</v>
          </cell>
          <cell r="C5898" t="str">
            <v>NHD</v>
          </cell>
        </row>
        <row r="5899">
          <cell r="A5899" t="str">
            <v>PM-CM 5-3</v>
          </cell>
          <cell r="B5899" t="str">
            <v>POMPA CM 5-3</v>
          </cell>
          <cell r="C5899" t="str">
            <v>NHD</v>
          </cell>
        </row>
        <row r="5900">
          <cell r="A5900" t="str">
            <v>PM-CM 5-5</v>
          </cell>
          <cell r="B5900" t="str">
            <v>POMPA CM 5-5</v>
          </cell>
          <cell r="C5900" t="str">
            <v>NHD</v>
          </cell>
        </row>
        <row r="5901">
          <cell r="A5901" t="str">
            <v>PM-CPN 4-50</v>
          </cell>
          <cell r="B5901" t="str">
            <v>POMPA CNP 4-50</v>
          </cell>
          <cell r="C5901" t="str">
            <v>NHD</v>
          </cell>
        </row>
        <row r="5902">
          <cell r="A5902" t="str">
            <v>PM-GOULDS</v>
          </cell>
          <cell r="B5902" t="str">
            <v>POMPA GOULDS</v>
          </cell>
          <cell r="C5902" t="str">
            <v>NHD</v>
          </cell>
        </row>
        <row r="5903">
          <cell r="A5903" t="str">
            <v>PM-JPA 5-61</v>
          </cell>
          <cell r="B5903" t="str">
            <v>POMPA GRUNDFOS JPA 5-61</v>
          </cell>
          <cell r="C5903" t="str">
            <v>NHD</v>
          </cell>
        </row>
        <row r="5904">
          <cell r="A5904" t="str">
            <v>PM-JPA 8-62</v>
          </cell>
          <cell r="B5904" t="str">
            <v>POMPA GRUNDFOS JPA 8-62</v>
          </cell>
          <cell r="C5904" t="str">
            <v>NHD</v>
          </cell>
        </row>
        <row r="5905">
          <cell r="A5905" t="str">
            <v>PM-JPB 4</v>
          </cell>
          <cell r="B5905" t="str">
            <v>POMPA GRUNDFOS JP BASIC 4</v>
          </cell>
          <cell r="C5905" t="str">
            <v>NHD</v>
          </cell>
        </row>
        <row r="5906">
          <cell r="A5906" t="str">
            <v>PM-JPB 5</v>
          </cell>
          <cell r="B5906" t="str">
            <v>POMPA GRUNDFOS JP BASIC 5</v>
          </cell>
          <cell r="C5906" t="str">
            <v>NHD</v>
          </cell>
        </row>
        <row r="5907">
          <cell r="A5907" t="str">
            <v>PM-JPB 7</v>
          </cell>
          <cell r="B5907" t="str">
            <v>POMPA GRUNDFOS JP BASIC 7</v>
          </cell>
          <cell r="C5907" t="str">
            <v>NHD</v>
          </cell>
        </row>
        <row r="5908">
          <cell r="A5908" t="str">
            <v>PM-NCX 375</v>
          </cell>
          <cell r="B5908" t="str">
            <v>POMPA NOCCHI NCX 375</v>
          </cell>
          <cell r="C5908" t="str">
            <v>NHD</v>
          </cell>
        </row>
        <row r="5909">
          <cell r="A5909" t="str">
            <v>POVIODINE</v>
          </cell>
          <cell r="B5909" t="str">
            <v>POVIODINE (Povidon Iodine 1 liter)</v>
          </cell>
          <cell r="C5909" t="str">
            <v>NHD</v>
          </cell>
        </row>
        <row r="5910">
          <cell r="A5910" t="str">
            <v>PR-325100-10 ST</v>
          </cell>
          <cell r="B5910" t="str">
            <v>NIPRO PREMIER BLOOD GLUCOSE TEST STRIP (10T)</v>
          </cell>
          <cell r="C5910" t="str">
            <v>NHD</v>
          </cell>
        </row>
        <row r="5911">
          <cell r="A5911" t="str">
            <v>PR-325100-10ST</v>
          </cell>
          <cell r="B5911" t="str">
            <v>NIPRO PREMIER BLOOD GLUCOSE TEST STRIP (10T)</v>
          </cell>
          <cell r="C5911" t="str">
            <v>NHD</v>
          </cell>
        </row>
        <row r="5912">
          <cell r="A5912" t="str">
            <v>PR-325104-50ST</v>
          </cell>
          <cell r="B5912" t="str">
            <v>NIPRO Premier  Blood Glucose Test Strip - 50T</v>
          </cell>
          <cell r="C5912" t="str">
            <v>NHD</v>
          </cell>
        </row>
        <row r="5913">
          <cell r="A5913" t="str">
            <v>PR-325278-KIT</v>
          </cell>
          <cell r="B5913" t="str">
            <v>NIPRO Premier S Blood Glucose Monitoring System</v>
          </cell>
          <cell r="C5913" t="str">
            <v>NHD</v>
          </cell>
        </row>
        <row r="5914">
          <cell r="A5914" t="str">
            <v>PR-325570-CS</v>
          </cell>
          <cell r="B5914" t="str">
            <v>NIPRO PREMIER GLUCOSE CONTROL SOLUTION</v>
          </cell>
          <cell r="C5914" t="str">
            <v>NHD</v>
          </cell>
        </row>
        <row r="5915">
          <cell r="A5915" t="str">
            <v>PRINTER-DR-1</v>
          </cell>
          <cell r="B5915" t="str">
            <v>PRINTER DR-1</v>
          </cell>
          <cell r="C5915" t="str">
            <v>NHD</v>
          </cell>
        </row>
        <row r="5916">
          <cell r="A5916" t="str">
            <v>PS-530</v>
          </cell>
          <cell r="B5916" t="str">
            <v>PRECISE STETHOSCOPE PS-530</v>
          </cell>
          <cell r="C5916" t="str">
            <v>NHD</v>
          </cell>
        </row>
        <row r="5917">
          <cell r="A5917" t="str">
            <v>PSV21</v>
          </cell>
          <cell r="B5917" t="str">
            <v>PSV NEEDLE 21GX3/4"</v>
          </cell>
          <cell r="C5917" t="str">
            <v>NHD</v>
          </cell>
        </row>
        <row r="5918">
          <cell r="A5918" t="str">
            <v>PSV23</v>
          </cell>
          <cell r="B5918" t="str">
            <v>PSV NEEDLE 23GX3/4"</v>
          </cell>
          <cell r="C5918" t="str">
            <v>NHD</v>
          </cell>
        </row>
        <row r="5919">
          <cell r="A5919" t="str">
            <v>PSV25</v>
          </cell>
          <cell r="B5919" t="str">
            <v>PSV NEEDLE 25GX3/4"</v>
          </cell>
          <cell r="C5919" t="str">
            <v>NHD</v>
          </cell>
        </row>
        <row r="5920">
          <cell r="A5920" t="str">
            <v>PSV27</v>
          </cell>
          <cell r="B5920" t="str">
            <v>PSV NEEDLE 27GX3/4"</v>
          </cell>
          <cell r="C5920" t="str">
            <v>NHD</v>
          </cell>
        </row>
        <row r="5921">
          <cell r="A5921" t="str">
            <v>PTMC-24</v>
          </cell>
          <cell r="B5921" t="str">
            <v>PTMC-24 (PTMC-24 INOUE BALLOON)</v>
          </cell>
          <cell r="C5921" t="str">
            <v>NHD</v>
          </cell>
        </row>
        <row r="5922">
          <cell r="A5922" t="str">
            <v>PTMC-26</v>
          </cell>
          <cell r="B5922" t="str">
            <v>PTMC-26 (PTMC-26 INOUE BALLOON)</v>
          </cell>
          <cell r="C5922" t="str">
            <v>NHD</v>
          </cell>
        </row>
        <row r="5923">
          <cell r="A5923" t="str">
            <v>PTMC-28</v>
          </cell>
          <cell r="B5923" t="str">
            <v>PTMC-28 (PTMC-28 INOUE BALLOON)</v>
          </cell>
          <cell r="C5923" t="str">
            <v>NHD</v>
          </cell>
        </row>
        <row r="5924">
          <cell r="A5924" t="str">
            <v>PVC-0035</v>
          </cell>
          <cell r="B5924" t="str">
            <v>Dialyzer Coupler Set (Mounting and Tubing)</v>
          </cell>
          <cell r="C5924" t="str">
            <v>NHD</v>
          </cell>
        </row>
        <row r="5925">
          <cell r="A5925" t="str">
            <v>PVC-0044</v>
          </cell>
          <cell r="B5925" t="str">
            <v>Ventury Assembly Mixer 1/4"</v>
          </cell>
          <cell r="C5925" t="str">
            <v>NHD</v>
          </cell>
        </row>
        <row r="5926">
          <cell r="A5926" t="str">
            <v>PVC-0045</v>
          </cell>
          <cell r="B5926" t="str">
            <v>Venturi Assembly Main 3/8"</v>
          </cell>
          <cell r="C5926" t="str">
            <v>NHD</v>
          </cell>
        </row>
        <row r="5927">
          <cell r="A5927" t="str">
            <v>PVC-0058</v>
          </cell>
          <cell r="B5927" t="str">
            <v>Flow Control</v>
          </cell>
          <cell r="C5927" t="str">
            <v>NHD</v>
          </cell>
        </row>
        <row r="5928">
          <cell r="A5928" t="str">
            <v>PVC-0069</v>
          </cell>
          <cell r="B5928" t="str">
            <v>CALIBRATION CELL</v>
          </cell>
          <cell r="C5928" t="str">
            <v>NHD</v>
          </cell>
        </row>
        <row r="5929">
          <cell r="A5929" t="str">
            <v>R1-2140</v>
          </cell>
          <cell r="B5929" t="str">
            <v>MESIN R1-2140</v>
          </cell>
          <cell r="C5929" t="str">
            <v>NHD</v>
          </cell>
        </row>
        <row r="5930">
          <cell r="A5930" t="str">
            <v>R1-2140-SS</v>
          </cell>
          <cell r="B5930" t="str">
            <v>MESIN R1-2140-SS</v>
          </cell>
          <cell r="C5930" t="str">
            <v>NHD</v>
          </cell>
        </row>
        <row r="5931">
          <cell r="A5931" t="str">
            <v>R1-3140</v>
          </cell>
          <cell r="B5931" t="str">
            <v>MESIN R1-3140</v>
          </cell>
          <cell r="C5931" t="str">
            <v>NHD</v>
          </cell>
        </row>
        <row r="5932">
          <cell r="A5932" t="str">
            <v>R1-3140-SS</v>
          </cell>
          <cell r="B5932" t="str">
            <v>MESIN R1-3140-SS</v>
          </cell>
          <cell r="C5932" t="str">
            <v>NHD</v>
          </cell>
        </row>
        <row r="5933">
          <cell r="A5933" t="str">
            <v>RENOGEN 3000 IU</v>
          </cell>
          <cell r="B5933" t="str">
            <v>RENOGEN 3000 IU</v>
          </cell>
          <cell r="C5933" t="str">
            <v>NHD</v>
          </cell>
        </row>
        <row r="5934">
          <cell r="A5934" t="str">
            <v>RO-MEDICAL</v>
          </cell>
          <cell r="B5934" t="str">
            <v>RO MEDICAL</v>
          </cell>
          <cell r="C5934" t="str">
            <v>NHD</v>
          </cell>
        </row>
        <row r="5935">
          <cell r="A5935" t="str">
            <v>RO-SI</v>
          </cell>
          <cell r="B5935" t="str">
            <v>RO-SI</v>
          </cell>
          <cell r="C5935" t="str">
            <v>NHD</v>
          </cell>
        </row>
        <row r="5936">
          <cell r="A5936" t="str">
            <v>RO-SII</v>
          </cell>
          <cell r="B5936" t="str">
            <v>RO-SII</v>
          </cell>
          <cell r="C5936" t="str">
            <v>NHD</v>
          </cell>
        </row>
        <row r="5937">
          <cell r="A5937" t="str">
            <v>RO-SIII</v>
          </cell>
          <cell r="B5937" t="str">
            <v>RO-SIII</v>
          </cell>
          <cell r="C5937" t="str">
            <v>NHD</v>
          </cell>
        </row>
        <row r="5938">
          <cell r="A5938" t="str">
            <v>S-540</v>
          </cell>
          <cell r="B5938" t="str">
            <v>ERKAPHONE FINESSE (S-540)</v>
          </cell>
          <cell r="C5938" t="str">
            <v>NHD</v>
          </cell>
        </row>
        <row r="5939">
          <cell r="A5939" t="str">
            <v>S-542</v>
          </cell>
          <cell r="B5939" t="str">
            <v>ERKAPHON D.CHEST PIECE ALM.</v>
          </cell>
          <cell r="C5939" t="str">
            <v>NHD</v>
          </cell>
        </row>
        <row r="5940">
          <cell r="A5940" t="str">
            <v>S-545</v>
          </cell>
          <cell r="B5940" t="str">
            <v>ERKAPHONE PAEDIATRIC D.C.PIECE</v>
          </cell>
          <cell r="C5940" t="str">
            <v>NHD</v>
          </cell>
        </row>
        <row r="5941">
          <cell r="A5941" t="str">
            <v>S-548</v>
          </cell>
          <cell r="B5941" t="str">
            <v>ERKAPHONE FINESSE FOR CHILDREN</v>
          </cell>
          <cell r="C5941" t="str">
            <v>NHD</v>
          </cell>
        </row>
        <row r="5942">
          <cell r="A5942" t="str">
            <v>S-560</v>
          </cell>
          <cell r="B5942" t="str">
            <v>ERKA WITH TIGHT CHEST PIECE</v>
          </cell>
          <cell r="C5942" t="str">
            <v>NHD</v>
          </cell>
        </row>
        <row r="5943">
          <cell r="A5943" t="str">
            <v>S-7022 PDM-12-PINK</v>
          </cell>
          <cell r="B5943" t="str">
            <v>Sample Thermal Wristband 7022-12-PDM PINK</v>
          </cell>
          <cell r="C5943" t="str">
            <v>NHD</v>
          </cell>
        </row>
        <row r="5944">
          <cell r="A5944" t="str">
            <v>S-7022 PDM-13-BLUE</v>
          </cell>
          <cell r="B5944" t="str">
            <v>Sample Thermal Wristband 7022-13-PDM BLUE</v>
          </cell>
          <cell r="C5944" t="str">
            <v>NHD</v>
          </cell>
        </row>
        <row r="5945">
          <cell r="A5945" t="str">
            <v>S-7022V PDM-12-PINK</v>
          </cell>
          <cell r="B5945" t="str">
            <v>Sample Thermal Wristband 7022V-12-PDM PINK</v>
          </cell>
          <cell r="C5945" t="str">
            <v>NHD</v>
          </cell>
        </row>
        <row r="5946">
          <cell r="A5946" t="str">
            <v>S-7022V PDM-13-BLUE</v>
          </cell>
          <cell r="B5946" t="str">
            <v>Sample Thermal Wristband 7022V-13-PDM BLUE</v>
          </cell>
          <cell r="C5946" t="str">
            <v>NHD</v>
          </cell>
        </row>
        <row r="5947">
          <cell r="A5947" t="str">
            <v>S-7023S PDM-12-PINK</v>
          </cell>
          <cell r="B5947" t="str">
            <v>Sample Thermal Wristband 7023S-12-PDM PINK</v>
          </cell>
          <cell r="C5947" t="str">
            <v>NHD</v>
          </cell>
        </row>
        <row r="5948">
          <cell r="A5948" t="str">
            <v>S-7023S PDM-13-BLUE</v>
          </cell>
          <cell r="B5948" t="str">
            <v>Sample Thermal Wristband 7023S-13-PDM BLUE</v>
          </cell>
          <cell r="C5948" t="str">
            <v>NHD</v>
          </cell>
        </row>
        <row r="5949">
          <cell r="A5949" t="str">
            <v>S-7421LT PDL-12-PINK</v>
          </cell>
          <cell r="B5949" t="str">
            <v>Sample Thermal Wristband 7421LT-12-PDL PINK</v>
          </cell>
          <cell r="C5949" t="str">
            <v>NHD</v>
          </cell>
        </row>
        <row r="5950">
          <cell r="A5950" t="str">
            <v>S-7421LT PDL-18-BLUE</v>
          </cell>
          <cell r="B5950" t="str">
            <v>Sample Thermal Wristband 7421LT-18-PDL LIGHT BLUE</v>
          </cell>
          <cell r="C5950" t="str">
            <v>NHD</v>
          </cell>
        </row>
        <row r="5951">
          <cell r="A5951" t="str">
            <v>S-7701 PDL-11-WHITE</v>
          </cell>
          <cell r="B5951" t="str">
            <v>Sample Thermal Wristband 7701-11-PDL WHITE</v>
          </cell>
          <cell r="C5951" t="str">
            <v>NHD</v>
          </cell>
        </row>
        <row r="5952">
          <cell r="A5952" t="str">
            <v>S-7701-49 PDL-PBLUE</v>
          </cell>
          <cell r="B5952" t="str">
            <v>Sample Thermal Wristband 7701-49-PDL PANDA BLUE</v>
          </cell>
          <cell r="C5952" t="str">
            <v>NHD</v>
          </cell>
        </row>
        <row r="5953">
          <cell r="A5953" t="str">
            <v>S-7702-49 PDL-PPINK</v>
          </cell>
          <cell r="B5953" t="str">
            <v>Sample Thermal Wristband 7702-49-PDL PANDA PINK</v>
          </cell>
          <cell r="C5953" t="str">
            <v>NHD</v>
          </cell>
        </row>
        <row r="5954">
          <cell r="A5954" t="str">
            <v>S-7751-12-PDO-PINK</v>
          </cell>
          <cell r="B5954" t="str">
            <v>Sample Tender. Mat. Child Therm. 7751-12-PDO-PINK</v>
          </cell>
          <cell r="C5954" t="str">
            <v>NHD</v>
          </cell>
        </row>
        <row r="5955">
          <cell r="A5955" t="str">
            <v>S-7751T-13-PDO-BLUE</v>
          </cell>
          <cell r="B5955" t="str">
            <v>Sample Tendercare 2 part Maternal Child Thermal 77</v>
          </cell>
          <cell r="C5955" t="str">
            <v>NHD</v>
          </cell>
        </row>
        <row r="5956">
          <cell r="A5956" t="str">
            <v>S-8620A-16-PDO</v>
          </cell>
          <cell r="B5956" t="str">
            <v>SAMPLE ALERT COLORED SNAPS 8620A-16-PDO ALLERGY</v>
          </cell>
          <cell r="C5956" t="str">
            <v>NHD</v>
          </cell>
        </row>
        <row r="5957">
          <cell r="A5957" t="str">
            <v>S-8620D-33-PDO</v>
          </cell>
          <cell r="B5957" t="str">
            <v>SAMPLE ALERT COLORED SNAPS 8620D-33-PDO DNR PURPLE</v>
          </cell>
          <cell r="C5957" t="str">
            <v>NHD</v>
          </cell>
        </row>
        <row r="5958">
          <cell r="A5958" t="str">
            <v>S-8620F-14-PDO</v>
          </cell>
          <cell r="B5958" t="str">
            <v>SAMPLE ALERT COLORED SNAPS 8620F-14-PDO FALL RISK</v>
          </cell>
          <cell r="C5958" t="str">
            <v>NHD</v>
          </cell>
        </row>
        <row r="5959">
          <cell r="A5959" t="str">
            <v>S-A016-R-V604R</v>
          </cell>
          <cell r="B5959" t="str">
            <v>SAMPLE BLOOD TUBING SET A016+R/V604R-N</v>
          </cell>
          <cell r="C5959" t="str">
            <v>NHD</v>
          </cell>
        </row>
        <row r="5960">
          <cell r="A5960" t="str">
            <v>S-A105-P-V671</v>
          </cell>
          <cell r="B5960" t="str">
            <v>Sample Blood Tubing Set A105(P)/V671 Multi</v>
          </cell>
          <cell r="C5960" t="str">
            <v>NHD</v>
          </cell>
        </row>
        <row r="5961">
          <cell r="A5961" t="str">
            <v>S-A105-V671</v>
          </cell>
          <cell r="B5961" t="str">
            <v>SAMPLE BLOODTUBING SET A105(8mm)/V671(D)</v>
          </cell>
          <cell r="C5961" t="str">
            <v>NHD</v>
          </cell>
        </row>
        <row r="5962">
          <cell r="A5962" t="str">
            <v>S-AP120T PDJ-12-PINK</v>
          </cell>
          <cell r="B5962" t="str">
            <v>Sample Adult Pediatric AP120T PDJ-12 PINK</v>
          </cell>
          <cell r="C5962" t="str">
            <v>NHD</v>
          </cell>
        </row>
        <row r="5963">
          <cell r="A5963" t="str">
            <v>S-AVF1625-HC-N</v>
          </cell>
          <cell r="B5963" t="str">
            <v>SAMPLE A.V.FISTULA 16G X 1" / 1625-HC-30W-N</v>
          </cell>
          <cell r="C5963" t="str">
            <v>NHD</v>
          </cell>
        </row>
        <row r="5964">
          <cell r="A5964" t="str">
            <v>S-CBTA408V892WB25ECE</v>
          </cell>
          <cell r="B5964" t="str">
            <v>SAMPLE BTS A408(WB-25)/V892(WB-25)</v>
          </cell>
          <cell r="C5964" t="str">
            <v>NHD</v>
          </cell>
        </row>
        <row r="5965">
          <cell r="A5965" t="str">
            <v>SCL-HD</v>
          </cell>
          <cell r="B5965" t="str">
            <v>SCL-HD (SURCLEANSE HD)</v>
          </cell>
          <cell r="C5965" t="str">
            <v>HD</v>
          </cell>
        </row>
        <row r="5966">
          <cell r="A5966" t="str">
            <v>SCL-HD 409 PLUS</v>
          </cell>
          <cell r="B5966" t="str">
            <v>SURCLEANSE HD 409+</v>
          </cell>
          <cell r="C5966" t="str">
            <v>NHD</v>
          </cell>
        </row>
        <row r="5967">
          <cell r="A5967" t="str">
            <v>SCL-HD 409+</v>
          </cell>
          <cell r="B5967" t="str">
            <v>SURCLEANSE HD 409+</v>
          </cell>
          <cell r="C5967" t="str">
            <v>NHD</v>
          </cell>
        </row>
        <row r="5968">
          <cell r="A5968" t="str">
            <v>S-DB220N PDK-12-PINK</v>
          </cell>
          <cell r="B5968" t="str">
            <v>Sample Duoband Series DB220N PDK-12 PINK</v>
          </cell>
          <cell r="C5968" t="str">
            <v>NHD</v>
          </cell>
        </row>
        <row r="5969">
          <cell r="A5969" t="str">
            <v>S-DB220N PDK-18-BLUE</v>
          </cell>
          <cell r="B5969" t="str">
            <v>Sample Duoband Series DB220N PDK-18 BLUE</v>
          </cell>
          <cell r="C5969" t="str">
            <v>NHD</v>
          </cell>
        </row>
        <row r="5970">
          <cell r="A5970" t="str">
            <v>S-DS01T2613-K</v>
          </cell>
          <cell r="B5970" t="str">
            <v>SAMPLE DISP. SYRINGE 1ml LUER SLIP W/Needle</v>
          </cell>
          <cell r="C5970" t="str">
            <v>NHD</v>
          </cell>
        </row>
        <row r="5971">
          <cell r="A5971" t="str">
            <v>S-DS01T2713-N</v>
          </cell>
          <cell r="B5971" t="str">
            <v>SAMPLE DISP.SYRINGE 1ML TB 27GX1/2"/2713</v>
          </cell>
          <cell r="C5971" t="str">
            <v>NHD</v>
          </cell>
        </row>
        <row r="5972">
          <cell r="A5972" t="str">
            <v>S-DS03L2332-K</v>
          </cell>
          <cell r="B5972" t="str">
            <v>SAMPLE DISP. SYRINGE 3ml LUER LOCK W/NEEDLE</v>
          </cell>
          <cell r="C5972" t="str">
            <v>NHD</v>
          </cell>
        </row>
        <row r="5973">
          <cell r="A5973" t="str">
            <v>S-DS05L2238-K</v>
          </cell>
          <cell r="B5973" t="str">
            <v>SAMPLE DISP. SYRINGE 5ml LUER LOCK W/NEEDLE</v>
          </cell>
          <cell r="C5973" t="str">
            <v>NHD</v>
          </cell>
        </row>
        <row r="5974">
          <cell r="A5974" t="str">
            <v>S-DS10T2138-K</v>
          </cell>
          <cell r="B5974" t="str">
            <v>SAMPLE DISP. SYRINGE 10ml LUER SLIP W/NEEDLE</v>
          </cell>
          <cell r="C5974" t="str">
            <v>NHD</v>
          </cell>
        </row>
        <row r="5975">
          <cell r="A5975" t="str">
            <v>S-DS20LS-N</v>
          </cell>
          <cell r="B5975" t="str">
            <v>SAMPLE DISP. SYRINGE 20 ML without NEEDLE LUER</v>
          </cell>
          <cell r="C5975" t="str">
            <v>NHD</v>
          </cell>
        </row>
        <row r="5976">
          <cell r="A5976" t="str">
            <v>S-DS20LSR-N</v>
          </cell>
          <cell r="B5976" t="str">
            <v>SAMPLE DISP. SYRINGE 20 ML</v>
          </cell>
          <cell r="C5976" t="str">
            <v>NHD</v>
          </cell>
        </row>
        <row r="5977">
          <cell r="A5977" t="str">
            <v>S-DS50LS-K</v>
          </cell>
          <cell r="B5977" t="str">
            <v>SAMPLE DISP. SYRINGE 50ml LUER SLIP</v>
          </cell>
          <cell r="C5977" t="str">
            <v>NHD</v>
          </cell>
        </row>
        <row r="5978">
          <cell r="A5978" t="str">
            <v>S-ELISIO1-17H</v>
          </cell>
          <cell r="B5978" t="str">
            <v>SAMPLE HOLLOW FIBER ELISIO1-17H</v>
          </cell>
          <cell r="C5978" t="str">
            <v>NHD</v>
          </cell>
        </row>
        <row r="5979">
          <cell r="A5979" t="str">
            <v>SEN5065-14</v>
          </cell>
          <cell r="B5979" t="str">
            <v>SENTRY SUPERBAND SEN5065-14 FALL RISK YELLOW</v>
          </cell>
          <cell r="C5979" t="str">
            <v>NHD</v>
          </cell>
        </row>
        <row r="5980">
          <cell r="A5980" t="str">
            <v>SEN5065-16</v>
          </cell>
          <cell r="B5980" t="str">
            <v>SENTRY SUPERBAND SEN5065-13 ALLERGY RED</v>
          </cell>
          <cell r="C5980" t="str">
            <v>NHD</v>
          </cell>
        </row>
        <row r="5981">
          <cell r="A5981" t="str">
            <v>SEN5070-13</v>
          </cell>
          <cell r="B5981" t="str">
            <v>SENTRY SEN5070-13 BLUE</v>
          </cell>
          <cell r="C5981" t="str">
            <v>NHD</v>
          </cell>
        </row>
        <row r="5982">
          <cell r="A5982" t="str">
            <v>SEN5080-13</v>
          </cell>
          <cell r="B5982" t="str">
            <v>SENTRY LABEL BAND SEN5080-13 BLUE</v>
          </cell>
          <cell r="C5982" t="str">
            <v>NHD</v>
          </cell>
        </row>
        <row r="5983">
          <cell r="A5983" t="str">
            <v>SEN5080-16</v>
          </cell>
          <cell r="B5983" t="str">
            <v>SENTRY LABEL BAND SEN5080-16 RED</v>
          </cell>
          <cell r="C5983" t="str">
            <v>NHD</v>
          </cell>
        </row>
        <row r="5984">
          <cell r="A5984" t="str">
            <v>SEN5090-12</v>
          </cell>
          <cell r="B5984" t="str">
            <v>SENTRY LABEL BAND SEN5090-12 PINK</v>
          </cell>
          <cell r="C5984" t="str">
            <v>NHD</v>
          </cell>
        </row>
        <row r="5985">
          <cell r="A5985" t="str">
            <v>SEN5090-13</v>
          </cell>
          <cell r="B5985" t="str">
            <v>SENTRY LABEL BAND SEN5090-13 BLUE</v>
          </cell>
          <cell r="C5985" t="str">
            <v>NHD</v>
          </cell>
        </row>
        <row r="5986">
          <cell r="A5986" t="str">
            <v>SEN5090-16</v>
          </cell>
          <cell r="B5986" t="str">
            <v>SENTRY LABEL BAND SEN5090-16 RED</v>
          </cell>
          <cell r="C5986" t="str">
            <v>NHD</v>
          </cell>
        </row>
        <row r="5987">
          <cell r="A5987" t="str">
            <v>SEN5090-26</v>
          </cell>
          <cell r="B5987" t="str">
            <v>SENTRY LABEL BAND SEN5090-26 GREY</v>
          </cell>
          <cell r="C5987" t="str">
            <v>NHD</v>
          </cell>
        </row>
        <row r="5988">
          <cell r="A5988" t="str">
            <v>SENTRY-13</v>
          </cell>
          <cell r="B5988" t="str">
            <v>SENTRY ADULT PEDIATRIC SENTRY5000 SERIES-13 BLUE</v>
          </cell>
          <cell r="C5988" t="str">
            <v>NHD</v>
          </cell>
        </row>
        <row r="5989">
          <cell r="A5989" t="str">
            <v>SENTRY-14</v>
          </cell>
          <cell r="B5989" t="str">
            <v>SENTRY ADULT PEDIATRIC SENTRY5000 SERIES-14 YELLOW</v>
          </cell>
          <cell r="C5989" t="str">
            <v>NHD</v>
          </cell>
        </row>
        <row r="5990">
          <cell r="A5990" t="str">
            <v>SENTRY-16</v>
          </cell>
          <cell r="B5990" t="str">
            <v>SENTRY ADULT PEDIATRIC SENTRY5000 SERIES-16 RED</v>
          </cell>
          <cell r="C5990" t="str">
            <v>NHD</v>
          </cell>
        </row>
        <row r="5991">
          <cell r="A5991" t="str">
            <v>SFS-1001DP</v>
          </cell>
          <cell r="B5991" t="str">
            <v>SUREFUSER PLUS 100ML SFS-1001DP</v>
          </cell>
          <cell r="C5991" t="str">
            <v>NHD</v>
          </cell>
        </row>
        <row r="5992">
          <cell r="A5992" t="str">
            <v>SFS-1002DP</v>
          </cell>
          <cell r="B5992" t="str">
            <v>SUREFUSER PLUS 100ML SFS-1002DP</v>
          </cell>
          <cell r="C5992" t="str">
            <v>NHD</v>
          </cell>
        </row>
        <row r="5993">
          <cell r="A5993" t="str">
            <v>S-IA-N-3500</v>
          </cell>
          <cell r="B5993" t="str">
            <v>SAMPLE IDENT ALERT IA-N-3500 ALLERGY RED</v>
          </cell>
          <cell r="C5993" t="str">
            <v>NHD</v>
          </cell>
        </row>
        <row r="5994">
          <cell r="A5994" t="str">
            <v>S-IA-N-3502</v>
          </cell>
          <cell r="B5994" t="str">
            <v>SAMPLE IDENT ALERT IA-N-3502 DNR PURPLE</v>
          </cell>
          <cell r="C5994" t="str">
            <v>NHD</v>
          </cell>
        </row>
        <row r="5995">
          <cell r="A5995" t="str">
            <v>S-IA-N-3503</v>
          </cell>
          <cell r="B5995" t="str">
            <v>SAMPLE IDENT ALERT IA-N-3503 FALL RISK YELLOW</v>
          </cell>
          <cell r="C5995" t="str">
            <v>NHD</v>
          </cell>
        </row>
        <row r="5996">
          <cell r="A5996" t="str">
            <v>S-IF110T PDJ-12-PINK</v>
          </cell>
          <cell r="B5996" t="str">
            <v>Sample Infant Series IF110T PDJ-12 PINK</v>
          </cell>
          <cell r="C5996" t="str">
            <v>NHD</v>
          </cell>
        </row>
        <row r="5997">
          <cell r="A5997" t="str">
            <v>S-IS-001A-NIJ</v>
          </cell>
          <cell r="B5997" t="str">
            <v>SAMPLE NIPRO INFUSION SET IS-001A</v>
          </cell>
          <cell r="C5997" t="str">
            <v>NHD</v>
          </cell>
        </row>
        <row r="5998">
          <cell r="A5998" t="str">
            <v>S-LDT-1 CORE</v>
          </cell>
          <cell r="B5998" t="str">
            <v>SAMPLE LABEL DIRECT THERMAL 1" CORE</v>
          </cell>
          <cell r="C5998" t="str">
            <v>NHD</v>
          </cell>
        </row>
        <row r="5999">
          <cell r="A5999" t="str">
            <v>S-LDT-2.1-1-4B</v>
          </cell>
          <cell r="B5999" t="str">
            <v>SAMPLE LABEL DIRECT THERMAL 2 x 1-1/4" BLUE</v>
          </cell>
          <cell r="C5999" t="str">
            <v>NHD</v>
          </cell>
        </row>
        <row r="6000">
          <cell r="A6000" t="str">
            <v>S-LDT-2.1-1-4W</v>
          </cell>
          <cell r="B6000" t="str">
            <v>SAMPLE LABEL DIRECT THERMAL 2 x 1-1/4" WHITE</v>
          </cell>
          <cell r="C6000" t="str">
            <v>NHD</v>
          </cell>
        </row>
        <row r="6001">
          <cell r="A6001" t="str">
            <v>S-LDT-2.1W</v>
          </cell>
          <cell r="B6001" t="str">
            <v>SAMPLE LABEL DIRECT THERMAL 2 x 1" WHITE</v>
          </cell>
          <cell r="C6001" t="str">
            <v>NHD</v>
          </cell>
        </row>
        <row r="6002">
          <cell r="A6002" t="str">
            <v>S-LDT-2.2-3-8B</v>
          </cell>
          <cell r="B6002" t="str">
            <v>SAMPLE LABEL DIRECT THERMAL 2 x 2-3/8" BLUE</v>
          </cell>
          <cell r="C6002" t="str">
            <v>NHD</v>
          </cell>
        </row>
        <row r="6003">
          <cell r="A6003" t="str">
            <v>S-LDT-2.2-3-8W</v>
          </cell>
          <cell r="B6003" t="str">
            <v>SAMPLE LABEL DIRECT THERMAL 2 x 2-3/8" WHITE</v>
          </cell>
          <cell r="C6003" t="str">
            <v>NHD</v>
          </cell>
        </row>
        <row r="6004">
          <cell r="A6004" t="str">
            <v>S-LDT-2.4W</v>
          </cell>
          <cell r="B6004" t="str">
            <v>SAMPLE LABEL DIRECT THERMAL 2 x 4" WHITE</v>
          </cell>
          <cell r="C6004" t="str">
            <v>NHD</v>
          </cell>
        </row>
        <row r="6005">
          <cell r="A6005" t="str">
            <v>S-LDT-3.1-1-2W</v>
          </cell>
          <cell r="B6005" t="str">
            <v>SAMPLE LABEL DIRECT THERMAL 3 x 1-1/2" WHITE</v>
          </cell>
          <cell r="C6005" t="str">
            <v>NHD</v>
          </cell>
        </row>
        <row r="6006">
          <cell r="A6006" t="str">
            <v>S-LDT-3.1W</v>
          </cell>
          <cell r="B6006" t="str">
            <v>SAMPLE LABEL DIRECT THERMAL 3 x 1" WHITE</v>
          </cell>
          <cell r="C6006" t="str">
            <v>NHD</v>
          </cell>
        </row>
        <row r="6007">
          <cell r="A6007" t="str">
            <v>S-LDT-3.2W</v>
          </cell>
          <cell r="B6007" t="str">
            <v>SAMPLE LABEL DIRECT THERMAL 3 x 2" WHITE</v>
          </cell>
          <cell r="C6007" t="str">
            <v>NHD</v>
          </cell>
        </row>
        <row r="6008">
          <cell r="A6008" t="str">
            <v>S-LDT-4.1-1-2W</v>
          </cell>
          <cell r="B6008" t="str">
            <v>SAMPLE LABEL DIRECT THERMAL 4 x 1-1/2" WHITE</v>
          </cell>
          <cell r="C6008" t="str">
            <v>NHD</v>
          </cell>
        </row>
        <row r="6009">
          <cell r="A6009" t="str">
            <v>SMS-1</v>
          </cell>
          <cell r="B6009" t="str">
            <v>SMS-1 (STYLETE - INOUE BALLOON SMS-1)</v>
          </cell>
          <cell r="C6009" t="str">
            <v>NHD</v>
          </cell>
        </row>
        <row r="6010">
          <cell r="A6010" t="str">
            <v>SN2390</v>
          </cell>
          <cell r="B6010" t="str">
            <v>SPINAL NEEDLE 23G X 3 1/2"</v>
          </cell>
          <cell r="C6010" t="str">
            <v>NHD</v>
          </cell>
        </row>
        <row r="6011">
          <cell r="A6011" t="str">
            <v>SN2590</v>
          </cell>
          <cell r="B6011" t="str">
            <v>SPINAL NEEDLE 25G X 3 1/2""</v>
          </cell>
          <cell r="C6011" t="str">
            <v>NHD</v>
          </cell>
        </row>
        <row r="6012">
          <cell r="A6012" t="str">
            <v>S-NIC1832-N</v>
          </cell>
          <cell r="B6012" t="str">
            <v>SAMPLE IV CANNULA, SAFELETH CATH 18G X 1-1/4" PU</v>
          </cell>
          <cell r="C6012" t="str">
            <v>NHD</v>
          </cell>
        </row>
        <row r="6013">
          <cell r="A6013" t="str">
            <v>S-NIC1850-N</v>
          </cell>
          <cell r="B6013" t="str">
            <v>SAMPLE IV CANNULA, SAFELET CATH 18G X 2" PU</v>
          </cell>
          <cell r="C6013" t="str">
            <v>NHD</v>
          </cell>
        </row>
        <row r="6014">
          <cell r="A6014" t="str">
            <v>S-NIC2025-N</v>
          </cell>
          <cell r="B6014" t="str">
            <v>SAMPLE IV CANNULA, SAFELET CATH 20G X 1" PU</v>
          </cell>
          <cell r="C6014" t="str">
            <v>NHD</v>
          </cell>
        </row>
        <row r="6015">
          <cell r="A6015" t="str">
            <v>S-NIC2032-N</v>
          </cell>
          <cell r="B6015" t="str">
            <v>SAMPLE IV CANNULA, SAFELET CATH 20G X 1-1/4" PU</v>
          </cell>
          <cell r="C6015" t="str">
            <v>NHD</v>
          </cell>
        </row>
        <row r="6016">
          <cell r="A6016" t="str">
            <v>S-NIC2225-N</v>
          </cell>
          <cell r="B6016" t="str">
            <v>SAMPLE IV CANNULA, SAFELET CATH 22G X 1"PU</v>
          </cell>
          <cell r="C6016" t="str">
            <v>NHD</v>
          </cell>
        </row>
        <row r="6017">
          <cell r="A6017" t="str">
            <v>SP-0000001</v>
          </cell>
          <cell r="B6017" t="str">
            <v>Plastic Tape</v>
          </cell>
          <cell r="C6017" t="str">
            <v>NHD</v>
          </cell>
        </row>
        <row r="6018">
          <cell r="A6018" t="str">
            <v>SP-0000002</v>
          </cell>
          <cell r="B6018" t="str">
            <v>Lem Kaleng</v>
          </cell>
          <cell r="C6018" t="str">
            <v>NHD</v>
          </cell>
        </row>
        <row r="6019">
          <cell r="A6019" t="str">
            <v>SP-0000003</v>
          </cell>
          <cell r="B6019" t="str">
            <v>Fitting Membrane T drat 1/2"</v>
          </cell>
          <cell r="C6019" t="str">
            <v>NHD</v>
          </cell>
        </row>
        <row r="6020">
          <cell r="A6020" t="str">
            <v>SP-0000004</v>
          </cell>
          <cell r="B6020" t="str">
            <v>Fitting Membrane T drat 1/4"</v>
          </cell>
          <cell r="C6020" t="str">
            <v>NHD</v>
          </cell>
        </row>
        <row r="6021">
          <cell r="A6021" t="str">
            <v>SP-0000005</v>
          </cell>
          <cell r="B6021" t="str">
            <v>Fitting Membrane L drat 1/2"</v>
          </cell>
          <cell r="C6021" t="str">
            <v>NHD</v>
          </cell>
        </row>
        <row r="6022">
          <cell r="A6022" t="str">
            <v>SP-0000006</v>
          </cell>
          <cell r="B6022" t="str">
            <v>Fitting Membrane L drat 1/4"</v>
          </cell>
          <cell r="C6022" t="str">
            <v>NHD</v>
          </cell>
        </row>
        <row r="6023">
          <cell r="A6023" t="str">
            <v>SP-0000007</v>
          </cell>
          <cell r="B6023" t="str">
            <v>Relay Overload LRD16 9-13 Ampere</v>
          </cell>
          <cell r="C6023" t="str">
            <v>NHD</v>
          </cell>
        </row>
        <row r="6024">
          <cell r="A6024" t="str">
            <v>SP-0000008</v>
          </cell>
          <cell r="B6024" t="str">
            <v>Relay Overload LRD16 12-18 Ampere</v>
          </cell>
          <cell r="C6024" t="str">
            <v>NHD</v>
          </cell>
        </row>
        <row r="6025">
          <cell r="A6025" t="str">
            <v>SP-0000009</v>
          </cell>
          <cell r="B6025" t="str">
            <v>Selector Switch</v>
          </cell>
          <cell r="C6025" t="str">
            <v>NHD</v>
          </cell>
        </row>
        <row r="6026">
          <cell r="A6026" t="str">
            <v>SP-0000010</v>
          </cell>
          <cell r="B6026" t="str">
            <v>MCB 10 Ampere</v>
          </cell>
          <cell r="C6026" t="str">
            <v>NHD</v>
          </cell>
        </row>
        <row r="6027">
          <cell r="A6027" t="str">
            <v>SP-0000011</v>
          </cell>
          <cell r="B6027" t="str">
            <v>MCB 16 Ampere</v>
          </cell>
          <cell r="C6027" t="str">
            <v>NHD</v>
          </cell>
        </row>
        <row r="6028">
          <cell r="A6028" t="str">
            <v>SP-0000012</v>
          </cell>
          <cell r="B6028" t="str">
            <v>MCB 25 Ampere 3 Phase</v>
          </cell>
          <cell r="C6028" t="str">
            <v>NHD</v>
          </cell>
        </row>
        <row r="6029">
          <cell r="A6029" t="str">
            <v>SP-0000013</v>
          </cell>
          <cell r="B6029" t="str">
            <v>MCCB 25A</v>
          </cell>
          <cell r="C6029" t="str">
            <v>NHD</v>
          </cell>
        </row>
        <row r="6030">
          <cell r="A6030" t="str">
            <v>SP-0000014</v>
          </cell>
          <cell r="B6030" t="str">
            <v>V-Lock Ring 1 1/4 x 1</v>
          </cell>
          <cell r="C6030" t="str">
            <v>NHD</v>
          </cell>
        </row>
        <row r="6031">
          <cell r="A6031" t="str">
            <v>SP-0000015</v>
          </cell>
          <cell r="B6031" t="str">
            <v>T Kuningan</v>
          </cell>
          <cell r="C6031" t="str">
            <v>NHD</v>
          </cell>
        </row>
        <row r="6032">
          <cell r="A6032" t="str">
            <v>SP-0000016</v>
          </cell>
          <cell r="B6032" t="str">
            <v>CONTACTOR SN-11 220 VOLT</v>
          </cell>
          <cell r="C6032" t="str">
            <v>NHD</v>
          </cell>
        </row>
        <row r="6033">
          <cell r="A6033" t="str">
            <v>SP-0000017</v>
          </cell>
          <cell r="B6033" t="str">
            <v>LAMPU EMERGENCY</v>
          </cell>
          <cell r="C6033" t="str">
            <v>NHD</v>
          </cell>
        </row>
        <row r="6034">
          <cell r="A6034" t="str">
            <v>SP-0000018</v>
          </cell>
          <cell r="B6034" t="str">
            <v>Fitting Membrane T 1/4"</v>
          </cell>
          <cell r="C6034" t="str">
            <v>NHD</v>
          </cell>
        </row>
        <row r="6035">
          <cell r="A6035" t="str">
            <v>SP-0000019</v>
          </cell>
          <cell r="B6035" t="str">
            <v>Fitting Membrane L 1/4"</v>
          </cell>
          <cell r="C6035" t="str">
            <v>NHD</v>
          </cell>
        </row>
        <row r="6036">
          <cell r="A6036" t="str">
            <v>SP-0000020</v>
          </cell>
          <cell r="B6036" t="str">
            <v>Fitting Membrane Sambungan</v>
          </cell>
          <cell r="C6036" t="str">
            <v>NHD</v>
          </cell>
        </row>
        <row r="6037">
          <cell r="A6037" t="str">
            <v>SP-0000021</v>
          </cell>
          <cell r="B6037" t="str">
            <v>L-Shaped Hose Port</v>
          </cell>
          <cell r="C6037" t="str">
            <v>NHD</v>
          </cell>
        </row>
        <row r="6038">
          <cell r="A6038" t="str">
            <v>SP-0000022</v>
          </cell>
          <cell r="B6038" t="str">
            <v>TERMINAL TB 2512</v>
          </cell>
          <cell r="C6038" t="str">
            <v>NHD</v>
          </cell>
        </row>
        <row r="6039">
          <cell r="A6039" t="str">
            <v>SP-0000023</v>
          </cell>
          <cell r="B6039" t="str">
            <v>MCB 4 AMPERE 1 PHASE</v>
          </cell>
          <cell r="C6039" t="str">
            <v>NHD</v>
          </cell>
        </row>
        <row r="6040">
          <cell r="A6040" t="str">
            <v>SP-0000024</v>
          </cell>
          <cell r="B6040" t="str">
            <v>Keran Gas Cabang</v>
          </cell>
          <cell r="C6040" t="str">
            <v>NHD</v>
          </cell>
        </row>
        <row r="6041">
          <cell r="A6041" t="str">
            <v>SP-0000025</v>
          </cell>
          <cell r="B6041" t="str">
            <v>LAMPU PILOT 22MM (MERAH/KUNING/HIJAU)</v>
          </cell>
          <cell r="C6041" t="str">
            <v>NHD</v>
          </cell>
        </row>
        <row r="6042">
          <cell r="A6042" t="str">
            <v>SP-0000026</v>
          </cell>
          <cell r="B6042" t="str">
            <v>TDS Meter</v>
          </cell>
          <cell r="C6042" t="str">
            <v>NHD</v>
          </cell>
        </row>
        <row r="6043">
          <cell r="A6043" t="str">
            <v>SP-0000027</v>
          </cell>
          <cell r="B6043" t="str">
            <v>Flow Meter 10 gpm</v>
          </cell>
          <cell r="C6043" t="str">
            <v>NHD</v>
          </cell>
        </row>
        <row r="6044">
          <cell r="A6044" t="str">
            <v>SP-0000028</v>
          </cell>
          <cell r="B6044" t="str">
            <v>CONTROLLER,COMPUTER,C22,120/220 V,1PH 12 X 10 BOX</v>
          </cell>
          <cell r="C6044" t="str">
            <v>NHD</v>
          </cell>
        </row>
        <row r="6045">
          <cell r="A6045" t="str">
            <v>SP-0000029</v>
          </cell>
          <cell r="B6045" t="str">
            <v>Glass Fuse</v>
          </cell>
          <cell r="C6045" t="str">
            <v>NHD</v>
          </cell>
        </row>
        <row r="6046">
          <cell r="A6046" t="str">
            <v>SP-0000030</v>
          </cell>
          <cell r="B6046" t="str">
            <v>V-Lock Ring 1 x 1/2"</v>
          </cell>
          <cell r="C6046" t="str">
            <v>NHD</v>
          </cell>
        </row>
        <row r="6047">
          <cell r="A6047" t="str">
            <v>SP-0000031</v>
          </cell>
          <cell r="B6047" t="str">
            <v>V-Lock Ring 3/4"</v>
          </cell>
          <cell r="C6047" t="str">
            <v>NHD</v>
          </cell>
        </row>
        <row r="6048">
          <cell r="A6048" t="str">
            <v>SP-0000032</v>
          </cell>
          <cell r="B6048" t="str">
            <v>V-Lock Ring 3/4 x 1/2"</v>
          </cell>
          <cell r="C6048" t="str">
            <v>NHD</v>
          </cell>
        </row>
        <row r="6049">
          <cell r="A6049" t="str">
            <v>SP-0000033</v>
          </cell>
          <cell r="B6049" t="str">
            <v>Lem Odol</v>
          </cell>
          <cell r="C6049" t="str">
            <v>NHD</v>
          </cell>
        </row>
        <row r="6050">
          <cell r="A6050" t="str">
            <v>SP-0000034</v>
          </cell>
          <cell r="B6050" t="str">
            <v>Flow Meter RO 56 GPM</v>
          </cell>
          <cell r="C6050" t="str">
            <v>NHD</v>
          </cell>
        </row>
        <row r="6051">
          <cell r="A6051" t="str">
            <v>SP-0000035</v>
          </cell>
          <cell r="B6051" t="str">
            <v>TUSEN CLAP 1"</v>
          </cell>
          <cell r="C6051" t="str">
            <v>NHD</v>
          </cell>
        </row>
        <row r="6052">
          <cell r="A6052" t="str">
            <v>SP-0000036</v>
          </cell>
          <cell r="B6052" t="str">
            <v>STOP KONTAK 2 LUBANG</v>
          </cell>
          <cell r="C6052" t="str">
            <v>NHD</v>
          </cell>
        </row>
        <row r="6053">
          <cell r="A6053" t="str">
            <v>SP-0000037</v>
          </cell>
          <cell r="B6053" t="str">
            <v>STOP KONTAK 4 LUBANG</v>
          </cell>
          <cell r="C6053" t="str">
            <v>NHD</v>
          </cell>
        </row>
        <row r="6054">
          <cell r="A6054" t="str">
            <v>SP-0000038</v>
          </cell>
          <cell r="B6054" t="str">
            <v>KLEM SELANG 1/2"</v>
          </cell>
          <cell r="C6054" t="str">
            <v>NHD</v>
          </cell>
        </row>
        <row r="6055">
          <cell r="A6055" t="str">
            <v>SP-0000039</v>
          </cell>
          <cell r="B6055" t="str">
            <v>SEAL TAPE</v>
          </cell>
          <cell r="C6055" t="str">
            <v>NHD</v>
          </cell>
        </row>
        <row r="6056">
          <cell r="A6056" t="str">
            <v>SP-0000040</v>
          </cell>
          <cell r="B6056" t="str">
            <v>HOSE CONNECTOR 1/2"</v>
          </cell>
          <cell r="C6056" t="str">
            <v>NHD</v>
          </cell>
        </row>
        <row r="6057">
          <cell r="A6057" t="str">
            <v>SP-0000041</v>
          </cell>
          <cell r="B6057" t="str">
            <v>KAPASITOR</v>
          </cell>
          <cell r="C6057" t="str">
            <v>NHD</v>
          </cell>
        </row>
        <row r="6058">
          <cell r="A6058" t="str">
            <v>SP-0000042</v>
          </cell>
          <cell r="B6058" t="str">
            <v>Clamp Selang</v>
          </cell>
          <cell r="C6058" t="str">
            <v>NHD</v>
          </cell>
        </row>
        <row r="6059">
          <cell r="A6059" t="str">
            <v>SP-0000043</v>
          </cell>
          <cell r="B6059" t="str">
            <v>Radar</v>
          </cell>
          <cell r="C6059" t="str">
            <v>NHD</v>
          </cell>
        </row>
        <row r="6060">
          <cell r="A6060" t="str">
            <v>SP-0000044</v>
          </cell>
          <cell r="B6060" t="str">
            <v>Knee 1"</v>
          </cell>
          <cell r="C6060" t="str">
            <v>NHD</v>
          </cell>
        </row>
        <row r="6061">
          <cell r="A6061" t="str">
            <v>SP-0000045</v>
          </cell>
          <cell r="B6061" t="str">
            <v>Knee 3/4"</v>
          </cell>
          <cell r="C6061" t="str">
            <v>NHD</v>
          </cell>
        </row>
        <row r="6062">
          <cell r="A6062" t="str">
            <v>SP-0000046</v>
          </cell>
          <cell r="B6062" t="str">
            <v>Knee 1/2"</v>
          </cell>
          <cell r="C6062" t="str">
            <v>NHD</v>
          </cell>
        </row>
        <row r="6063">
          <cell r="A6063" t="str">
            <v>SP-0000047</v>
          </cell>
          <cell r="B6063" t="str">
            <v>Ball Valve 1"</v>
          </cell>
          <cell r="C6063" t="str">
            <v>NHD</v>
          </cell>
        </row>
        <row r="6064">
          <cell r="A6064" t="str">
            <v>SP-0000048</v>
          </cell>
          <cell r="B6064" t="str">
            <v>Ball Valve 3/4"</v>
          </cell>
          <cell r="C6064" t="str">
            <v>NHD</v>
          </cell>
        </row>
        <row r="6065">
          <cell r="A6065" t="str">
            <v>SP-0000049</v>
          </cell>
          <cell r="B6065" t="str">
            <v>Ball Valve 1/2"</v>
          </cell>
          <cell r="C6065" t="str">
            <v>NHD</v>
          </cell>
        </row>
        <row r="6066">
          <cell r="A6066" t="str">
            <v>SP-0000050</v>
          </cell>
          <cell r="B6066" t="str">
            <v>Water Moor 1"</v>
          </cell>
          <cell r="C6066" t="str">
            <v>NHD</v>
          </cell>
        </row>
        <row r="6067">
          <cell r="A6067" t="str">
            <v>SP-0000051</v>
          </cell>
          <cell r="B6067" t="str">
            <v>Water Moor 3/4"</v>
          </cell>
          <cell r="C6067" t="str">
            <v>NHD</v>
          </cell>
        </row>
        <row r="6068">
          <cell r="A6068" t="str">
            <v>SP-0000052</v>
          </cell>
          <cell r="B6068" t="str">
            <v>Water Moor 1/2"</v>
          </cell>
          <cell r="C6068" t="str">
            <v>NHD</v>
          </cell>
        </row>
        <row r="6069">
          <cell r="A6069" t="str">
            <v>SP-0000053</v>
          </cell>
          <cell r="B6069" t="str">
            <v>T 1"</v>
          </cell>
          <cell r="C6069" t="str">
            <v>NHD</v>
          </cell>
        </row>
        <row r="6070">
          <cell r="A6070" t="str">
            <v>SP-0000054</v>
          </cell>
          <cell r="B6070" t="str">
            <v>T 3/4"</v>
          </cell>
          <cell r="C6070" t="str">
            <v>NHD</v>
          </cell>
        </row>
        <row r="6071">
          <cell r="A6071" t="str">
            <v>SP-0000055</v>
          </cell>
          <cell r="B6071" t="str">
            <v>T 1/2"</v>
          </cell>
          <cell r="C6071" t="str">
            <v>NHD</v>
          </cell>
        </row>
        <row r="6072">
          <cell r="A6072" t="str">
            <v>SP-0000056</v>
          </cell>
          <cell r="B6072" t="str">
            <v>SDD 1"</v>
          </cell>
          <cell r="C6072" t="str">
            <v>NHD</v>
          </cell>
        </row>
        <row r="6073">
          <cell r="A6073" t="str">
            <v>SP-0000057</v>
          </cell>
          <cell r="B6073" t="str">
            <v>SDD 3/4"</v>
          </cell>
          <cell r="C6073" t="str">
            <v>NHD</v>
          </cell>
        </row>
        <row r="6074">
          <cell r="A6074" t="str">
            <v>SP-0000058</v>
          </cell>
          <cell r="B6074" t="str">
            <v>SDD 1/2"</v>
          </cell>
          <cell r="C6074" t="str">
            <v>NHD</v>
          </cell>
        </row>
        <row r="6075">
          <cell r="A6075" t="str">
            <v>SP-0000059</v>
          </cell>
          <cell r="B6075" t="str">
            <v>SDL 1"</v>
          </cell>
          <cell r="C6075" t="str">
            <v>NHD</v>
          </cell>
        </row>
        <row r="6076">
          <cell r="A6076" t="str">
            <v>SP-0000060</v>
          </cell>
          <cell r="B6076" t="str">
            <v>SDL 3/4"</v>
          </cell>
          <cell r="C6076" t="str">
            <v>NHD</v>
          </cell>
        </row>
        <row r="6077">
          <cell r="A6077" t="str">
            <v>SP-0000061</v>
          </cell>
          <cell r="B6077" t="str">
            <v>SDL 1/2"</v>
          </cell>
          <cell r="C6077" t="str">
            <v>NHD</v>
          </cell>
        </row>
        <row r="6078">
          <cell r="A6078" t="str">
            <v>SP-0000062</v>
          </cell>
          <cell r="B6078" t="str">
            <v>T 1 1/2 x 1"</v>
          </cell>
          <cell r="C6078" t="str">
            <v>NHD</v>
          </cell>
        </row>
        <row r="6079">
          <cell r="A6079" t="str">
            <v>SP-0000063</v>
          </cell>
          <cell r="B6079" t="str">
            <v>T 1 x 3/4"</v>
          </cell>
          <cell r="C6079" t="str">
            <v>NHD</v>
          </cell>
        </row>
        <row r="6080">
          <cell r="A6080" t="str">
            <v>SP-0000064</v>
          </cell>
          <cell r="B6080" t="str">
            <v>T 1 x 1/2"</v>
          </cell>
          <cell r="C6080" t="str">
            <v>NHD</v>
          </cell>
        </row>
        <row r="6081">
          <cell r="A6081" t="str">
            <v>SP-0000065</v>
          </cell>
          <cell r="B6081" t="str">
            <v>T 3/4 x 1/2"</v>
          </cell>
          <cell r="C6081" t="str">
            <v>NHD</v>
          </cell>
        </row>
        <row r="6082">
          <cell r="A6082" t="str">
            <v>SP-0000066</v>
          </cell>
          <cell r="B6082" t="str">
            <v>Shock 1"</v>
          </cell>
          <cell r="C6082" t="str">
            <v>NHD</v>
          </cell>
        </row>
        <row r="6083">
          <cell r="A6083" t="str">
            <v>SP-0000067</v>
          </cell>
          <cell r="B6083" t="str">
            <v>Shock 3/4"</v>
          </cell>
          <cell r="C6083" t="str">
            <v>NHD</v>
          </cell>
        </row>
        <row r="6084">
          <cell r="A6084" t="str">
            <v>SP-0000068</v>
          </cell>
          <cell r="B6084" t="str">
            <v>Shock 1/2"</v>
          </cell>
          <cell r="C6084" t="str">
            <v>NHD</v>
          </cell>
        </row>
        <row r="6085">
          <cell r="A6085" t="str">
            <v>SP-0000069</v>
          </cell>
          <cell r="B6085" t="str">
            <v>DOP 3/4"</v>
          </cell>
          <cell r="C6085" t="str">
            <v>NHD</v>
          </cell>
        </row>
        <row r="6086">
          <cell r="A6086" t="str">
            <v>SP-0000070</v>
          </cell>
          <cell r="B6086" t="str">
            <v>DOP 1/2"</v>
          </cell>
          <cell r="C6086" t="str">
            <v>NHD</v>
          </cell>
        </row>
        <row r="6087">
          <cell r="A6087" t="str">
            <v>SP-0000071</v>
          </cell>
          <cell r="B6087" t="str">
            <v>Vlock Shock 1 1/4 x 1"</v>
          </cell>
          <cell r="C6087" t="str">
            <v>NHD</v>
          </cell>
        </row>
        <row r="6088">
          <cell r="A6088" t="str">
            <v>SP-0000072</v>
          </cell>
          <cell r="B6088" t="str">
            <v>Vlock Shock 1 x 3/4"</v>
          </cell>
          <cell r="C6088" t="str">
            <v>NHD</v>
          </cell>
        </row>
        <row r="6089">
          <cell r="A6089" t="str">
            <v>SP-0000073</v>
          </cell>
          <cell r="B6089" t="str">
            <v>Vlock Shock 1 x 1/3"</v>
          </cell>
          <cell r="C6089" t="str">
            <v>NHD</v>
          </cell>
        </row>
        <row r="6090">
          <cell r="A6090" t="str">
            <v>SP-0000074</v>
          </cell>
          <cell r="B6090" t="str">
            <v>Vlock Shock 3/4 x 1/2"</v>
          </cell>
          <cell r="C6090" t="str">
            <v>NHD</v>
          </cell>
        </row>
        <row r="6091">
          <cell r="A6091" t="str">
            <v>SP-0000075</v>
          </cell>
          <cell r="B6091" t="str">
            <v>Knee Drat 1"</v>
          </cell>
          <cell r="C6091" t="str">
            <v>NHD</v>
          </cell>
        </row>
        <row r="6092">
          <cell r="A6092" t="str">
            <v>SP-0000076</v>
          </cell>
          <cell r="B6092" t="str">
            <v>Knee Drat 3/4"</v>
          </cell>
          <cell r="C6092" t="str">
            <v>NHD</v>
          </cell>
        </row>
        <row r="6093">
          <cell r="A6093" t="str">
            <v>SP-0000077</v>
          </cell>
          <cell r="B6093" t="str">
            <v>Knee Drat 1/2"</v>
          </cell>
          <cell r="C6093" t="str">
            <v>NHD</v>
          </cell>
        </row>
        <row r="6094">
          <cell r="A6094" t="str">
            <v>SP-0000078</v>
          </cell>
          <cell r="B6094" t="str">
            <v>T Drat 3/4"</v>
          </cell>
          <cell r="C6094" t="str">
            <v>NHD</v>
          </cell>
        </row>
        <row r="6095">
          <cell r="A6095" t="str">
            <v>SP-0000079</v>
          </cell>
          <cell r="B6095" t="str">
            <v>T Drat 1/2"</v>
          </cell>
          <cell r="C6095" t="str">
            <v>NHD</v>
          </cell>
        </row>
        <row r="6096">
          <cell r="A6096" t="str">
            <v>SP-0000080</v>
          </cell>
          <cell r="B6096" t="str">
            <v>T Drat 1/2 x 3/4"</v>
          </cell>
          <cell r="C6096" t="str">
            <v>NHD</v>
          </cell>
        </row>
        <row r="6097">
          <cell r="A6097" t="str">
            <v>SP-0000081</v>
          </cell>
          <cell r="B6097" t="str">
            <v>Head Resin Autotrol</v>
          </cell>
          <cell r="C6097" t="str">
            <v>NHD</v>
          </cell>
        </row>
        <row r="6098">
          <cell r="A6098" t="str">
            <v>SP-0000082</v>
          </cell>
          <cell r="B6098" t="str">
            <v>Head Resin Manual</v>
          </cell>
          <cell r="C6098" t="str">
            <v>NHD</v>
          </cell>
        </row>
        <row r="6099">
          <cell r="A6099" t="str">
            <v>SP-0000083</v>
          </cell>
          <cell r="B6099" t="str">
            <v>Head Carbon Manual</v>
          </cell>
          <cell r="C6099" t="str">
            <v>NHD</v>
          </cell>
        </row>
        <row r="6100">
          <cell r="A6100" t="str">
            <v>SP-0000084</v>
          </cell>
          <cell r="B6100" t="str">
            <v>Kabel NYM 2 x 1 1/2</v>
          </cell>
          <cell r="C6100" t="str">
            <v>NHD</v>
          </cell>
        </row>
        <row r="6101">
          <cell r="A6101" t="str">
            <v>SP-0000085</v>
          </cell>
          <cell r="B6101" t="str">
            <v>Kabel NYM 3 x 2 1/2</v>
          </cell>
          <cell r="C6101" t="str">
            <v>NHD</v>
          </cell>
        </row>
        <row r="6102">
          <cell r="A6102" t="str">
            <v>SP-0000086</v>
          </cell>
          <cell r="B6102" t="str">
            <v>Pressure Gauge 6 BAR</v>
          </cell>
          <cell r="C6102" t="str">
            <v>NHD</v>
          </cell>
        </row>
        <row r="6103">
          <cell r="A6103" t="str">
            <v>SP-0000087</v>
          </cell>
          <cell r="B6103" t="str">
            <v>Pressure Gauge 7 BAR</v>
          </cell>
          <cell r="C6103" t="str">
            <v>NHD</v>
          </cell>
        </row>
        <row r="6104">
          <cell r="A6104" t="str">
            <v>SP-0000088</v>
          </cell>
          <cell r="B6104" t="str">
            <v>Pressure Gauge 8 BAR</v>
          </cell>
          <cell r="C6104" t="str">
            <v>NHD</v>
          </cell>
        </row>
        <row r="6105">
          <cell r="A6105" t="str">
            <v>SP-0000089</v>
          </cell>
          <cell r="B6105" t="str">
            <v>Garam</v>
          </cell>
          <cell r="C6105" t="str">
            <v>NHD</v>
          </cell>
        </row>
        <row r="6106">
          <cell r="A6106" t="str">
            <v>SP-0000090</v>
          </cell>
          <cell r="B6106" t="str">
            <v>Kepala Head Procon Pump</v>
          </cell>
          <cell r="C6106" t="str">
            <v>NHD</v>
          </cell>
        </row>
        <row r="6107">
          <cell r="A6107" t="str">
            <v>SP-0000091</v>
          </cell>
          <cell r="B6107" t="str">
            <v>PANEL BOX CONDUCTIVITY</v>
          </cell>
          <cell r="C6107" t="str">
            <v>NHD</v>
          </cell>
        </row>
        <row r="6108">
          <cell r="A6108" t="str">
            <v>SP-0000092</v>
          </cell>
          <cell r="B6108" t="str">
            <v>Filter Carbon</v>
          </cell>
          <cell r="C6108" t="str">
            <v>NHD</v>
          </cell>
        </row>
        <row r="6109">
          <cell r="A6109" t="str">
            <v>SP-0000093</v>
          </cell>
          <cell r="B6109" t="str">
            <v>Selenoid Valve 1"</v>
          </cell>
          <cell r="C6109" t="str">
            <v>NHD</v>
          </cell>
        </row>
        <row r="6110">
          <cell r="A6110" t="str">
            <v>SP-0000094</v>
          </cell>
          <cell r="B6110" t="str">
            <v>Selenoid Valve 3/4"</v>
          </cell>
          <cell r="C6110" t="str">
            <v>NHD</v>
          </cell>
        </row>
        <row r="6111">
          <cell r="A6111" t="str">
            <v>SP-0000095</v>
          </cell>
          <cell r="B6111" t="str">
            <v>Selenoid Valve 1/2"</v>
          </cell>
          <cell r="C6111" t="str">
            <v>NHD</v>
          </cell>
        </row>
        <row r="6112">
          <cell r="A6112" t="str">
            <v>SP-0000096</v>
          </cell>
          <cell r="B6112" t="str">
            <v>Pressure Switch</v>
          </cell>
          <cell r="C6112" t="str">
            <v>NHD</v>
          </cell>
        </row>
        <row r="6113">
          <cell r="A6113" t="str">
            <v>SP-0000097</v>
          </cell>
          <cell r="B6113" t="str">
            <v>Globe Valve 3/4"</v>
          </cell>
          <cell r="C6113" t="str">
            <v>NHD</v>
          </cell>
        </row>
        <row r="6114">
          <cell r="A6114" t="str">
            <v>SP-0000098</v>
          </cell>
          <cell r="B6114" t="str">
            <v>BALLAST UV 45 LPM</v>
          </cell>
          <cell r="C6114" t="str">
            <v>NHD</v>
          </cell>
        </row>
        <row r="6115">
          <cell r="A6115" t="str">
            <v>SP-0000099</v>
          </cell>
          <cell r="B6115" t="str">
            <v>Selang Membrane 12 x 8</v>
          </cell>
          <cell r="C6115" t="str">
            <v>NHD</v>
          </cell>
        </row>
        <row r="6116">
          <cell r="A6116" t="str">
            <v>SP-0000100</v>
          </cell>
          <cell r="B6116" t="str">
            <v>Motor Procon Pump</v>
          </cell>
          <cell r="C6116" t="str">
            <v>NHD</v>
          </cell>
        </row>
        <row r="6117">
          <cell r="A6117" t="str">
            <v>SP-0000101</v>
          </cell>
          <cell r="B6117" t="str">
            <v>Hosing Filter 10"</v>
          </cell>
          <cell r="C6117" t="str">
            <v>NHD</v>
          </cell>
        </row>
        <row r="6118">
          <cell r="A6118" t="str">
            <v>SP-0000102</v>
          </cell>
          <cell r="B6118" t="str">
            <v>Pelampung Bola 1"</v>
          </cell>
          <cell r="C6118" t="str">
            <v>NHD</v>
          </cell>
        </row>
        <row r="6119">
          <cell r="A6119" t="str">
            <v>SP-0000103</v>
          </cell>
          <cell r="B6119" t="str">
            <v>Membrane HF4 4021</v>
          </cell>
          <cell r="C6119" t="str">
            <v>NHD</v>
          </cell>
        </row>
        <row r="6120">
          <cell r="A6120" t="str">
            <v>SP-0000104</v>
          </cell>
          <cell r="B6120" t="str">
            <v>Head Carbon Autotrol</v>
          </cell>
          <cell r="C6120" t="str">
            <v>NHD</v>
          </cell>
        </row>
        <row r="6121">
          <cell r="A6121" t="str">
            <v>SP-0000105</v>
          </cell>
          <cell r="B6121" t="str">
            <v>BRINE TANK</v>
          </cell>
          <cell r="C6121" t="str">
            <v>NHD</v>
          </cell>
        </row>
        <row r="6122">
          <cell r="A6122" t="str">
            <v>SP-0000106</v>
          </cell>
          <cell r="B6122" t="str">
            <v>Hosing Filter 5BB Jumbo</v>
          </cell>
          <cell r="C6122" t="str">
            <v>NHD</v>
          </cell>
        </row>
        <row r="6123">
          <cell r="A6123" t="str">
            <v>SP-0000107</v>
          </cell>
          <cell r="B6123" t="str">
            <v>Lampu UV 45 LPM Viqua</v>
          </cell>
          <cell r="C6123" t="str">
            <v>NHD</v>
          </cell>
        </row>
        <row r="6124">
          <cell r="A6124" t="str">
            <v>SP-0000108</v>
          </cell>
          <cell r="B6124" t="str">
            <v>Membrane 2521</v>
          </cell>
          <cell r="C6124" t="str">
            <v>NHD</v>
          </cell>
        </row>
        <row r="6125">
          <cell r="A6125" t="str">
            <v>SP-0000109</v>
          </cell>
          <cell r="B6125" t="str">
            <v>DOUBLE NEPLE 1/2" X 1/4"</v>
          </cell>
          <cell r="C6125" t="str">
            <v>NHD</v>
          </cell>
        </row>
        <row r="6126">
          <cell r="A6126" t="str">
            <v>SP-0000110</v>
          </cell>
          <cell r="B6126" t="str">
            <v>Membrane HF1 2540</v>
          </cell>
          <cell r="C6126" t="str">
            <v>NHD</v>
          </cell>
        </row>
        <row r="6127">
          <cell r="A6127" t="str">
            <v>SP-0000111</v>
          </cell>
          <cell r="B6127" t="str">
            <v>MC 3 (CITRIC CLEAN)</v>
          </cell>
          <cell r="C6127" t="str">
            <v>NHD</v>
          </cell>
        </row>
        <row r="6128">
          <cell r="A6128" t="str">
            <v>SP-0000113</v>
          </cell>
          <cell r="B6128" t="str">
            <v>Selang Benang 3/8"</v>
          </cell>
          <cell r="C6128" t="str">
            <v>NHD</v>
          </cell>
        </row>
        <row r="6129">
          <cell r="A6129" t="str">
            <v>SP-0000114</v>
          </cell>
          <cell r="B6129" t="str">
            <v>Sand Filter</v>
          </cell>
          <cell r="C6129" t="str">
            <v>NHD</v>
          </cell>
        </row>
        <row r="6130">
          <cell r="A6130" t="str">
            <v>SP-0000114-SF</v>
          </cell>
          <cell r="B6130" t="str">
            <v>Sand Filter</v>
          </cell>
          <cell r="C6130" t="str">
            <v>NHD</v>
          </cell>
        </row>
        <row r="6131">
          <cell r="A6131" t="str">
            <v>SP-0000115</v>
          </cell>
          <cell r="B6131" t="str">
            <v>DOUBLE NEPLE PLASTIK 1/2"</v>
          </cell>
          <cell r="C6131" t="str">
            <v>NHD</v>
          </cell>
        </row>
        <row r="6132">
          <cell r="A6132" t="str">
            <v>SP-0000116</v>
          </cell>
          <cell r="B6132" t="str">
            <v>Pyrolox</v>
          </cell>
          <cell r="C6132" t="str">
            <v>NHD</v>
          </cell>
        </row>
        <row r="6133">
          <cell r="A6133" t="str">
            <v>SP-0000116-P</v>
          </cell>
          <cell r="B6133" t="str">
            <v>Pyrolox</v>
          </cell>
          <cell r="C6133" t="str">
            <v>NHD</v>
          </cell>
        </row>
        <row r="6134">
          <cell r="A6134" t="str">
            <v>SP-0000117</v>
          </cell>
          <cell r="B6134" t="str">
            <v>Citric Acid</v>
          </cell>
          <cell r="C6134" t="str">
            <v>NHD</v>
          </cell>
        </row>
        <row r="6135">
          <cell r="A6135" t="str">
            <v>SP-0000118</v>
          </cell>
          <cell r="B6135" t="str">
            <v>Carbon Active</v>
          </cell>
          <cell r="C6135" t="str">
            <v>NHD</v>
          </cell>
        </row>
        <row r="6136">
          <cell r="A6136" t="str">
            <v>SP-0000119</v>
          </cell>
          <cell r="B6136" t="str">
            <v>Pompa GPA4</v>
          </cell>
          <cell r="C6136" t="str">
            <v>NHD</v>
          </cell>
        </row>
        <row r="6137">
          <cell r="A6137" t="str">
            <v>SP-0000120</v>
          </cell>
          <cell r="B6137" t="str">
            <v>Pompa CNP CHLF 8-50</v>
          </cell>
          <cell r="C6137" t="str">
            <v>NHD</v>
          </cell>
        </row>
        <row r="6138">
          <cell r="A6138" t="str">
            <v>SP-0000121</v>
          </cell>
          <cell r="B6138" t="str">
            <v>Pompa CDLF 315</v>
          </cell>
          <cell r="C6138" t="str">
            <v>NHD</v>
          </cell>
        </row>
        <row r="6139">
          <cell r="A6139" t="str">
            <v>SP-0000122</v>
          </cell>
          <cell r="B6139" t="str">
            <v>POMPA GOULDS 10GBS</v>
          </cell>
          <cell r="C6139" t="str">
            <v>NHD</v>
          </cell>
        </row>
        <row r="6140">
          <cell r="A6140" t="str">
            <v>SP-0000123</v>
          </cell>
          <cell r="B6140" t="str">
            <v>Pompa CNP CHLF 4-30</v>
          </cell>
          <cell r="C6140" t="str">
            <v>NHD</v>
          </cell>
        </row>
        <row r="6141">
          <cell r="A6141" t="str">
            <v>SP-0000124</v>
          </cell>
          <cell r="B6141" t="str">
            <v>Pompa Evak AHI 4-60</v>
          </cell>
          <cell r="C6141" t="str">
            <v>NHD</v>
          </cell>
        </row>
        <row r="6142">
          <cell r="A6142" t="str">
            <v>SP-0000125</v>
          </cell>
          <cell r="B6142" t="str">
            <v>Pompa JPA 8-62</v>
          </cell>
          <cell r="C6142" t="str">
            <v>NHD</v>
          </cell>
        </row>
        <row r="6143">
          <cell r="A6143" t="str">
            <v>SP-0000126</v>
          </cell>
          <cell r="B6143" t="str">
            <v>Pompa CM5-5</v>
          </cell>
          <cell r="C6143" t="str">
            <v>NHD</v>
          </cell>
        </row>
        <row r="6144">
          <cell r="A6144" t="str">
            <v>SP-0000127</v>
          </cell>
          <cell r="B6144" t="str">
            <v>Pompa CM5-3</v>
          </cell>
          <cell r="C6144" t="str">
            <v>NHD</v>
          </cell>
        </row>
        <row r="6145">
          <cell r="A6145" t="str">
            <v>SP-0000128</v>
          </cell>
          <cell r="B6145" t="str">
            <v>Pompa CNP 4-50</v>
          </cell>
          <cell r="C6145" t="str">
            <v>NHD</v>
          </cell>
        </row>
        <row r="6146">
          <cell r="A6146" t="str">
            <v>SP-0000129</v>
          </cell>
          <cell r="B6146" t="str">
            <v>Pompa CNP CHLF 4-60</v>
          </cell>
          <cell r="C6146" t="str">
            <v>NHD</v>
          </cell>
        </row>
        <row r="6147">
          <cell r="A6147" t="str">
            <v>SP-0000130</v>
          </cell>
          <cell r="B6147" t="str">
            <v>POMPA NOCCHI NCX 375</v>
          </cell>
          <cell r="C6147" t="str">
            <v>NHD</v>
          </cell>
        </row>
        <row r="6148">
          <cell r="A6148" t="str">
            <v>SP-0000131</v>
          </cell>
          <cell r="B6148" t="str">
            <v>MEMBRANE TORAY TM 710</v>
          </cell>
          <cell r="C6148" t="str">
            <v>NHD</v>
          </cell>
        </row>
        <row r="6149">
          <cell r="A6149" t="str">
            <v>SP-0000132</v>
          </cell>
          <cell r="B6149" t="str">
            <v>Filter GCTB 5A-20</v>
          </cell>
          <cell r="C6149" t="str">
            <v>NHD</v>
          </cell>
        </row>
        <row r="6150">
          <cell r="A6150" t="str">
            <v>SP-0000133</v>
          </cell>
          <cell r="B6150" t="str">
            <v>Filter GCTB 5A-10</v>
          </cell>
          <cell r="C6150" t="str">
            <v>NHD</v>
          </cell>
        </row>
        <row r="6151">
          <cell r="A6151" t="str">
            <v>SP-0000134</v>
          </cell>
          <cell r="B6151" t="str">
            <v>Filter GCTB 10A-20</v>
          </cell>
          <cell r="C6151" t="str">
            <v>NHD</v>
          </cell>
        </row>
        <row r="6152">
          <cell r="A6152" t="str">
            <v>SP-0000135</v>
          </cell>
          <cell r="B6152" t="str">
            <v>Filter GCTB 10A-10</v>
          </cell>
          <cell r="C6152" t="str">
            <v>NHD</v>
          </cell>
        </row>
        <row r="6153">
          <cell r="A6153" t="str">
            <v>SP-0000136</v>
          </cell>
          <cell r="B6153" t="str">
            <v>Filter GWTB 5BB-20</v>
          </cell>
          <cell r="C6153" t="str">
            <v>NHD</v>
          </cell>
        </row>
        <row r="6154">
          <cell r="A6154" t="str">
            <v>SP-0000137</v>
          </cell>
          <cell r="B6154" t="str">
            <v>TABUNG 13 x 54</v>
          </cell>
          <cell r="C6154" t="str">
            <v>NHD</v>
          </cell>
        </row>
        <row r="6155">
          <cell r="A6155" t="str">
            <v>SP-0000138</v>
          </cell>
          <cell r="B6155" t="str">
            <v>Strainer Atas</v>
          </cell>
          <cell r="C6155" t="str">
            <v>NHD</v>
          </cell>
        </row>
        <row r="6156">
          <cell r="A6156" t="str">
            <v>SP-0000139</v>
          </cell>
          <cell r="B6156" t="str">
            <v>Strainer Bawah</v>
          </cell>
          <cell r="C6156" t="str">
            <v>NHD</v>
          </cell>
        </row>
        <row r="6157">
          <cell r="A6157" t="str">
            <v>SP-0000140</v>
          </cell>
          <cell r="B6157" t="str">
            <v>SELANG RESIN</v>
          </cell>
          <cell r="C6157" t="str">
            <v>NHD</v>
          </cell>
        </row>
        <row r="6158">
          <cell r="A6158" t="str">
            <v>SP-0000141</v>
          </cell>
          <cell r="B6158" t="str">
            <v>SELANG GARAM</v>
          </cell>
          <cell r="C6158" t="str">
            <v>NHD</v>
          </cell>
        </row>
        <row r="6159">
          <cell r="A6159" t="str">
            <v>SP-0000142</v>
          </cell>
          <cell r="B6159" t="str">
            <v>Filter GCTB 1A-20</v>
          </cell>
          <cell r="C6159" t="str">
            <v>NHD</v>
          </cell>
        </row>
        <row r="6160">
          <cell r="A6160" t="str">
            <v>SP-0000143</v>
          </cell>
          <cell r="B6160" t="str">
            <v>Filter GCTB 1A-10</v>
          </cell>
          <cell r="C6160" t="str">
            <v>NHD</v>
          </cell>
        </row>
        <row r="6161">
          <cell r="A6161" t="str">
            <v>SP-0000144</v>
          </cell>
          <cell r="B6161" t="str">
            <v>Safety Valve 1/2</v>
          </cell>
          <cell r="C6161" t="str">
            <v>NHD</v>
          </cell>
        </row>
        <row r="6162">
          <cell r="A6162" t="str">
            <v>SP-0000145</v>
          </cell>
          <cell r="B6162" t="str">
            <v>Otomatis Pompa Stainless</v>
          </cell>
          <cell r="C6162" t="str">
            <v>NHD</v>
          </cell>
        </row>
        <row r="6163">
          <cell r="A6163" t="str">
            <v>SP-0000146</v>
          </cell>
          <cell r="B6163" t="str">
            <v>Ducting Flexible 15mm</v>
          </cell>
          <cell r="C6163" t="str">
            <v>NHD</v>
          </cell>
        </row>
        <row r="6164">
          <cell r="A6164" t="str">
            <v>SP-0000147</v>
          </cell>
          <cell r="B6164" t="str">
            <v>Vlock Ring Kuningan 1 x 1 1/4</v>
          </cell>
          <cell r="C6164" t="str">
            <v>NHD</v>
          </cell>
        </row>
        <row r="6165">
          <cell r="A6165" t="str">
            <v>SP-0000148</v>
          </cell>
          <cell r="B6165" t="str">
            <v>Double Nepel 1 x 1</v>
          </cell>
          <cell r="C6165" t="str">
            <v>NHD</v>
          </cell>
        </row>
        <row r="6166">
          <cell r="A6166" t="str">
            <v>SP-0000149</v>
          </cell>
          <cell r="B6166" t="str">
            <v>Double Nepel 3/4 x 3/4</v>
          </cell>
          <cell r="C6166" t="str">
            <v>NHD</v>
          </cell>
        </row>
        <row r="6167">
          <cell r="A6167" t="str">
            <v>SP-0000150</v>
          </cell>
          <cell r="B6167" t="str">
            <v>Vlock Ring Kuningan 1/2 x 1/2</v>
          </cell>
          <cell r="C6167" t="str">
            <v>NHD</v>
          </cell>
        </row>
        <row r="6168">
          <cell r="A6168" t="str">
            <v>SP-0000151</v>
          </cell>
          <cell r="B6168" t="str">
            <v>Vlock Ring Kuningan 1/2 x 1/4</v>
          </cell>
          <cell r="C6168" t="str">
            <v>NHD</v>
          </cell>
        </row>
        <row r="6169">
          <cell r="A6169" t="str">
            <v>SP-0000152</v>
          </cell>
          <cell r="B6169" t="str">
            <v>Vlock Ring 1/2 x 3/8</v>
          </cell>
          <cell r="C6169" t="str">
            <v>NHD</v>
          </cell>
        </row>
        <row r="6170">
          <cell r="A6170" t="str">
            <v>SP-0000153</v>
          </cell>
          <cell r="B6170" t="str">
            <v>Double Nepel Dalam 3/4 x 3/4</v>
          </cell>
          <cell r="C6170" t="str">
            <v>NHD</v>
          </cell>
        </row>
        <row r="6171">
          <cell r="A6171" t="str">
            <v>SP-0000154</v>
          </cell>
          <cell r="B6171" t="str">
            <v>Double Nepel Dalam 1 x 1</v>
          </cell>
          <cell r="C6171" t="str">
            <v>NHD</v>
          </cell>
        </row>
        <row r="6172">
          <cell r="A6172" t="str">
            <v>SP-0000155</v>
          </cell>
          <cell r="B6172" t="str">
            <v>Nepel Selang Kuningan 1/2</v>
          </cell>
          <cell r="C6172" t="str">
            <v>NHD</v>
          </cell>
        </row>
        <row r="6173">
          <cell r="A6173" t="str">
            <v>SP-0000156</v>
          </cell>
          <cell r="B6173" t="str">
            <v>Nepel Selang Kuningan 3/4</v>
          </cell>
          <cell r="C6173" t="str">
            <v>NHD</v>
          </cell>
        </row>
        <row r="6174">
          <cell r="A6174" t="str">
            <v>SP-0000157</v>
          </cell>
          <cell r="B6174" t="str">
            <v>Nepel Selang Kuningan 1/2 x 3/4</v>
          </cell>
          <cell r="C6174" t="str">
            <v>NHD</v>
          </cell>
        </row>
        <row r="6175">
          <cell r="A6175" t="str">
            <v>SP-0000158</v>
          </cell>
          <cell r="B6175" t="str">
            <v>Nepel Selang 1/2</v>
          </cell>
          <cell r="C6175" t="str">
            <v>NHD</v>
          </cell>
        </row>
        <row r="6176">
          <cell r="A6176" t="str">
            <v>SP-0000159</v>
          </cell>
          <cell r="B6176" t="str">
            <v>Nepel Selang 1/2 Panjang</v>
          </cell>
          <cell r="C6176" t="str">
            <v>NHD</v>
          </cell>
        </row>
        <row r="6177">
          <cell r="A6177" t="str">
            <v>SP-0000160</v>
          </cell>
          <cell r="B6177" t="str">
            <v>Nepel Selang Kuningan Drat Dalam 3/4</v>
          </cell>
          <cell r="C6177" t="str">
            <v>NHD</v>
          </cell>
        </row>
        <row r="6178">
          <cell r="A6178" t="str">
            <v>SP-0000161</v>
          </cell>
          <cell r="B6178" t="str">
            <v>Needle Valve 1/2</v>
          </cell>
          <cell r="C6178" t="str">
            <v>NHD</v>
          </cell>
        </row>
        <row r="6179">
          <cell r="A6179" t="str">
            <v>SP-0000162</v>
          </cell>
          <cell r="B6179" t="str">
            <v>E-MOTOR1.5</v>
          </cell>
          <cell r="C6179" t="str">
            <v>NHD</v>
          </cell>
        </row>
        <row r="6180">
          <cell r="A6180" t="str">
            <v>SP-0000163</v>
          </cell>
          <cell r="B6180" t="str">
            <v>FFM0,20</v>
          </cell>
          <cell r="C6180" t="str">
            <v>NHD</v>
          </cell>
        </row>
        <row r="6181">
          <cell r="A6181" t="str">
            <v>SP-0000164</v>
          </cell>
          <cell r="B6181" t="str">
            <v>FS 5</v>
          </cell>
          <cell r="C6181" t="str">
            <v>NHD</v>
          </cell>
        </row>
        <row r="6182">
          <cell r="A6182" t="str">
            <v>SP-0000165</v>
          </cell>
          <cell r="B6182" t="str">
            <v>GLOBE VALVE SS 3/4 INCH</v>
          </cell>
          <cell r="C6182" t="str">
            <v>NHD</v>
          </cell>
        </row>
        <row r="6183">
          <cell r="A6183" t="str">
            <v>SP-0000166</v>
          </cell>
          <cell r="B6183" t="str">
            <v>GRAVEL</v>
          </cell>
          <cell r="C6183" t="str">
            <v>NHD</v>
          </cell>
        </row>
        <row r="6184">
          <cell r="A6184" t="str">
            <v>SP-0000167</v>
          </cell>
          <cell r="B6184" t="str">
            <v>HEAD 263</v>
          </cell>
          <cell r="C6184" t="str">
            <v>NHD</v>
          </cell>
        </row>
        <row r="6185">
          <cell r="A6185" t="str">
            <v>SP-0000168</v>
          </cell>
          <cell r="B6185" t="str">
            <v>HOLDER</v>
          </cell>
          <cell r="C6185" t="str">
            <v>NHD</v>
          </cell>
        </row>
        <row r="6186">
          <cell r="A6186" t="str">
            <v>SP-0000169</v>
          </cell>
          <cell r="B6186" t="str">
            <v>HYPERFLOW E IV</v>
          </cell>
          <cell r="C6186" t="str">
            <v>NHD</v>
          </cell>
        </row>
        <row r="6187">
          <cell r="A6187" t="str">
            <v>SP-0000170</v>
          </cell>
          <cell r="B6187" t="str">
            <v>P-RK13.17</v>
          </cell>
          <cell r="C6187" t="str">
            <v>NHD</v>
          </cell>
        </row>
        <row r="6188">
          <cell r="A6188" t="str">
            <v>SP-0000171</v>
          </cell>
          <cell r="B6188" t="str">
            <v>P-RK21.10</v>
          </cell>
          <cell r="C6188" t="str">
            <v>NHD</v>
          </cell>
        </row>
        <row r="6189">
          <cell r="A6189" t="str">
            <v>SP-0000172</v>
          </cell>
          <cell r="B6189" t="str">
            <v>O-RING 2521</v>
          </cell>
          <cell r="C6189" t="str">
            <v>NHD</v>
          </cell>
        </row>
        <row r="6190">
          <cell r="A6190" t="str">
            <v>SP-0000173</v>
          </cell>
          <cell r="B6190" t="str">
            <v>RING 19-234</v>
          </cell>
          <cell r="C6190" t="str">
            <v>NHD</v>
          </cell>
        </row>
        <row r="6191">
          <cell r="A6191" t="str">
            <v>SP-0000174</v>
          </cell>
          <cell r="B6191" t="str">
            <v>S-9218KB</v>
          </cell>
          <cell r="C6191" t="str">
            <v>NHD</v>
          </cell>
        </row>
        <row r="6192">
          <cell r="A6192" t="str">
            <v>SP-0000175</v>
          </cell>
          <cell r="B6192" t="str">
            <v>Sen Harmess</v>
          </cell>
          <cell r="C6192" t="str">
            <v>NHD</v>
          </cell>
        </row>
        <row r="6193">
          <cell r="A6193" t="str">
            <v>SP-0000176</v>
          </cell>
          <cell r="B6193" t="str">
            <v>SP-000202</v>
          </cell>
          <cell r="C6193" t="str">
            <v>NHD</v>
          </cell>
        </row>
        <row r="6194">
          <cell r="A6194" t="str">
            <v>SP-0000177</v>
          </cell>
          <cell r="B6194" t="str">
            <v>SP-025163</v>
          </cell>
          <cell r="C6194" t="str">
            <v>NHD</v>
          </cell>
        </row>
        <row r="6195">
          <cell r="A6195" t="str">
            <v>SP-0000178</v>
          </cell>
          <cell r="B6195" t="str">
            <v>CRO-2600</v>
          </cell>
          <cell r="C6195" t="str">
            <v>NHD</v>
          </cell>
        </row>
        <row r="6196">
          <cell r="A6196" t="str">
            <v>SP-0000179</v>
          </cell>
          <cell r="B6196" t="str">
            <v>Filter Stratum C 10-10 NN</v>
          </cell>
          <cell r="C6196" t="str">
            <v>NHD</v>
          </cell>
        </row>
        <row r="6197">
          <cell r="A6197" t="str">
            <v>SP-0000180</v>
          </cell>
          <cell r="B6197" t="str">
            <v>Filter Stratum C 10-20 NN</v>
          </cell>
          <cell r="C6197" t="str">
            <v>NHD</v>
          </cell>
        </row>
        <row r="6198">
          <cell r="A6198" t="str">
            <v>SP-0000181</v>
          </cell>
          <cell r="B6198" t="str">
            <v>Filter Stratum C 5-10 NN</v>
          </cell>
          <cell r="C6198" t="str">
            <v>NHD</v>
          </cell>
        </row>
        <row r="6199">
          <cell r="A6199" t="str">
            <v>SP-0000182</v>
          </cell>
          <cell r="B6199" t="str">
            <v>SISTEM OTOMATIS</v>
          </cell>
          <cell r="C6199" t="str">
            <v>NHD</v>
          </cell>
        </row>
        <row r="6200">
          <cell r="A6200" t="str">
            <v>SP-0000183</v>
          </cell>
          <cell r="B6200" t="str">
            <v>SISTEM TIMER</v>
          </cell>
          <cell r="C6200" t="str">
            <v>NHD</v>
          </cell>
        </row>
        <row r="6201">
          <cell r="A6201" t="str">
            <v>SP-0000184</v>
          </cell>
          <cell r="B6201" t="str">
            <v>FILTER CFT0.2-20US</v>
          </cell>
          <cell r="C6201" t="str">
            <v>NHD</v>
          </cell>
        </row>
        <row r="6202">
          <cell r="A6202" t="str">
            <v>SP-0000185</v>
          </cell>
          <cell r="B6202" t="str">
            <v>FILTER GFPES 0.2A30C7S</v>
          </cell>
          <cell r="C6202" t="str">
            <v>NHD</v>
          </cell>
        </row>
        <row r="6203">
          <cell r="A6203" t="str">
            <v>SP-0000186</v>
          </cell>
          <cell r="B6203" t="str">
            <v>FILTER FG0.2A30C2S</v>
          </cell>
          <cell r="C6203" t="str">
            <v>NHD</v>
          </cell>
        </row>
        <row r="6204">
          <cell r="A6204" t="str">
            <v>SP-0000187</v>
          </cell>
          <cell r="B6204" t="str">
            <v>FILTER PP1.0A30C2S</v>
          </cell>
          <cell r="C6204" t="str">
            <v>NHD</v>
          </cell>
        </row>
        <row r="6205">
          <cell r="A6205" t="str">
            <v>SP-0000188</v>
          </cell>
          <cell r="B6205" t="str">
            <v>Pressure Gauge 10 BAR</v>
          </cell>
          <cell r="C6205" t="str">
            <v>NHD</v>
          </cell>
        </row>
        <row r="6206">
          <cell r="A6206" t="str">
            <v>SP-0000189</v>
          </cell>
          <cell r="B6206" t="str">
            <v>O-Ring for Dialyzer Coupling (Re-use)</v>
          </cell>
          <cell r="C6206" t="str">
            <v>NHD</v>
          </cell>
        </row>
        <row r="6207">
          <cell r="A6207" t="str">
            <v>SP-0000190</v>
          </cell>
          <cell r="B6207" t="str">
            <v>SILICONE O RING FLOW CONTROL (Re-use)</v>
          </cell>
          <cell r="C6207" t="str">
            <v>NHD</v>
          </cell>
        </row>
        <row r="6208">
          <cell r="A6208" t="str">
            <v>SP-0000191</v>
          </cell>
          <cell r="B6208" t="str">
            <v>PVC0035</v>
          </cell>
          <cell r="C6208" t="str">
            <v>NHD</v>
          </cell>
        </row>
        <row r="6209">
          <cell r="A6209" t="str">
            <v>SP-0000192</v>
          </cell>
          <cell r="B6209" t="str">
            <v>VENTURY 3/6</v>
          </cell>
          <cell r="C6209" t="str">
            <v>NHD</v>
          </cell>
        </row>
        <row r="6210">
          <cell r="A6210" t="str">
            <v>SP-0000193</v>
          </cell>
          <cell r="B6210" t="str">
            <v>PVC0058</v>
          </cell>
          <cell r="C6210" t="str">
            <v>NHD</v>
          </cell>
        </row>
        <row r="6211">
          <cell r="A6211" t="str">
            <v>SP-0000194</v>
          </cell>
          <cell r="B6211" t="str">
            <v>TABUNG CARBON 10 X 54 LOGIX</v>
          </cell>
          <cell r="C6211" t="str">
            <v>NHD</v>
          </cell>
        </row>
        <row r="6212">
          <cell r="A6212" t="str">
            <v>SP-0000195</v>
          </cell>
          <cell r="B6212" t="str">
            <v>PANEL BOX LISTRIK 1 SET</v>
          </cell>
          <cell r="C6212" t="str">
            <v>NHD</v>
          </cell>
        </row>
        <row r="6213">
          <cell r="A6213" t="str">
            <v>SP-0000196</v>
          </cell>
          <cell r="B6213" t="str">
            <v>LAMPU UV 30 LPM VIQUA</v>
          </cell>
          <cell r="C6213" t="str">
            <v>NHD</v>
          </cell>
        </row>
        <row r="6214">
          <cell r="A6214" t="str">
            <v>SP-0000197</v>
          </cell>
          <cell r="B6214" t="str">
            <v>TABUNG RESIN 10 X 54 LOGIX + BRINE TANK</v>
          </cell>
          <cell r="C6214" t="str">
            <v>NHD</v>
          </cell>
        </row>
        <row r="6215">
          <cell r="A6215" t="str">
            <v>SP-0000198</v>
          </cell>
          <cell r="B6215" t="str">
            <v>½ HOSE REPAIR CONNECTOR AUTO MALE</v>
          </cell>
          <cell r="C6215" t="str">
            <v>NHD</v>
          </cell>
        </row>
        <row r="6216">
          <cell r="A6216" t="str">
            <v>SP-0000199</v>
          </cell>
          <cell r="B6216" t="str">
            <v>AIR SEPARATOR / FSW – NDX1</v>
          </cell>
          <cell r="C6216" t="str">
            <v>NHD</v>
          </cell>
        </row>
        <row r="6217">
          <cell r="A6217" t="str">
            <v>SP-0000200</v>
          </cell>
          <cell r="B6217" t="str">
            <v>Bicarbonate Pump / B (P4)</v>
          </cell>
          <cell r="C6217" t="str">
            <v>NHD</v>
          </cell>
        </row>
        <row r="6218">
          <cell r="A6218" t="str">
            <v>SP-0000201</v>
          </cell>
          <cell r="B6218" t="str">
            <v>BUZZER</v>
          </cell>
          <cell r="C6218" t="str">
            <v>NHD</v>
          </cell>
        </row>
        <row r="6219">
          <cell r="A6219" t="str">
            <v>SP-0000202</v>
          </cell>
          <cell r="B6219" t="str">
            <v>CD BOARD 1,2,3</v>
          </cell>
          <cell r="C6219" t="str">
            <v>NHD</v>
          </cell>
        </row>
        <row r="6220">
          <cell r="A6220" t="str">
            <v>SP-0000203</v>
          </cell>
          <cell r="B6220" t="str">
            <v>CPU BOARD TYPE 2</v>
          </cell>
          <cell r="C6220" t="str">
            <v>NHD</v>
          </cell>
        </row>
        <row r="6221">
          <cell r="A6221" t="str">
            <v>SP-0000204</v>
          </cell>
          <cell r="B6221" t="str">
            <v>DIGITAL MANOMETER COPAL ELECTRONICS PG-100 102GH</v>
          </cell>
          <cell r="C6221" t="str">
            <v>NHD</v>
          </cell>
        </row>
        <row r="6222">
          <cell r="A6222" t="str">
            <v>SP-0000205</v>
          </cell>
          <cell r="B6222" t="str">
            <v>DRIP PROOF COVER FS1</v>
          </cell>
          <cell r="C6222" t="str">
            <v>NHD</v>
          </cell>
        </row>
        <row r="6223">
          <cell r="A6223" t="str">
            <v>SP-0000206</v>
          </cell>
          <cell r="B6223" t="str">
            <v>DRIP PROOF COVER FS2/FS4</v>
          </cell>
          <cell r="C6223" t="str">
            <v>NHD</v>
          </cell>
        </row>
        <row r="6224">
          <cell r="A6224" t="str">
            <v>SP-0000207</v>
          </cell>
          <cell r="B6224" t="str">
            <v>MAGNET GEAR PUMP FOR 230V MDG-R2RA230-33A</v>
          </cell>
          <cell r="C6224" t="str">
            <v>NHD</v>
          </cell>
        </row>
        <row r="6225">
          <cell r="A6225" t="str">
            <v>SP-0000208</v>
          </cell>
          <cell r="B6225" t="str">
            <v>MAIN BOARD TYPE I</v>
          </cell>
          <cell r="C6225" t="str">
            <v>NHD</v>
          </cell>
        </row>
        <row r="6226">
          <cell r="A6226" t="str">
            <v>SP-0000209</v>
          </cell>
          <cell r="B6226" t="str">
            <v>REDUCING VALVE ASSY (PR)</v>
          </cell>
          <cell r="C6226" t="str">
            <v>NHD</v>
          </cell>
        </row>
        <row r="6227">
          <cell r="A6227" t="str">
            <v>SP-0000210</v>
          </cell>
          <cell r="B6227" t="str">
            <v>ROLLER BLOOD PUMP SURDIAL MATERIAL SUS 304</v>
          </cell>
          <cell r="C6227" t="str">
            <v>NHD</v>
          </cell>
        </row>
        <row r="6228">
          <cell r="A6228" t="str">
            <v>SP-0000211</v>
          </cell>
          <cell r="B6228" t="str">
            <v>1/2 HOSE REPAIR CONN AUTO MALE</v>
          </cell>
          <cell r="C6228" t="str">
            <v>NHD</v>
          </cell>
        </row>
        <row r="6229">
          <cell r="A6229" t="str">
            <v>SP-0000212</v>
          </cell>
          <cell r="B6229" t="str">
            <v>BALLAST UV 30 LPM</v>
          </cell>
          <cell r="C6229" t="str">
            <v>NHD</v>
          </cell>
        </row>
        <row r="6230">
          <cell r="A6230" t="str">
            <v>SP-0000213</v>
          </cell>
          <cell r="B6230" t="str">
            <v>Digital Clamp Metter SANRIX BM518</v>
          </cell>
          <cell r="C6230" t="str">
            <v>NHD</v>
          </cell>
        </row>
        <row r="6231">
          <cell r="A6231" t="str">
            <v>SP-0000214</v>
          </cell>
          <cell r="B6231" t="str">
            <v>Digital Multitaster CD 800A SANWA</v>
          </cell>
          <cell r="C6231" t="str">
            <v>NHD</v>
          </cell>
        </row>
        <row r="6232">
          <cell r="A6232" t="str">
            <v>SP-0000215</v>
          </cell>
          <cell r="B6232" t="str">
            <v>KLEM SELANG 3/4"</v>
          </cell>
          <cell r="C6232" t="str">
            <v>NHD</v>
          </cell>
        </row>
        <row r="6233">
          <cell r="A6233" t="str">
            <v>SP-0000216</v>
          </cell>
          <cell r="B6233" t="str">
            <v>PD ASSY PD-02</v>
          </cell>
          <cell r="C6233" t="str">
            <v>NHD</v>
          </cell>
        </row>
        <row r="6234">
          <cell r="A6234" t="str">
            <v>SP-0000217</v>
          </cell>
          <cell r="B6234" t="str">
            <v>SELANG HYPREX 1/2</v>
          </cell>
          <cell r="C6234" t="str">
            <v>NHD</v>
          </cell>
        </row>
        <row r="6235">
          <cell r="A6235" t="str">
            <v>SP-0000218</v>
          </cell>
          <cell r="B6235" t="str">
            <v>SUB-BOARD SBY0270</v>
          </cell>
          <cell r="C6235" t="str">
            <v>NHD</v>
          </cell>
        </row>
        <row r="6236">
          <cell r="A6236" t="str">
            <v>SP-0000219</v>
          </cell>
          <cell r="B6236" t="str">
            <v>HEAD CARBON TYPE S</v>
          </cell>
          <cell r="C6236" t="str">
            <v>NHD</v>
          </cell>
        </row>
        <row r="6237">
          <cell r="A6237" t="str">
            <v>SP-0000220</v>
          </cell>
          <cell r="B6237" t="str">
            <v>ACCESSORIES SOFTENER</v>
          </cell>
          <cell r="C6237" t="str">
            <v>NHD</v>
          </cell>
        </row>
        <row r="6238">
          <cell r="A6238" t="str">
            <v>SP-0000221</v>
          </cell>
          <cell r="B6238" t="str">
            <v>BALLAST UV 19 LPM</v>
          </cell>
          <cell r="C6238" t="str">
            <v>NHD</v>
          </cell>
        </row>
        <row r="6239">
          <cell r="A6239" t="str">
            <v>SP-0000222</v>
          </cell>
          <cell r="B6239" t="str">
            <v>CARBON ACTIVE 1 ZAK</v>
          </cell>
          <cell r="C6239" t="str">
            <v>NHD</v>
          </cell>
        </row>
        <row r="6240">
          <cell r="A6240" t="str">
            <v>SP-0000222-CA</v>
          </cell>
          <cell r="B6240" t="str">
            <v>CARBON ACTIVE 1 ZAK</v>
          </cell>
          <cell r="C6240" t="str">
            <v>NHD</v>
          </cell>
        </row>
        <row r="6241">
          <cell r="A6241" t="str">
            <v>SP-0000223</v>
          </cell>
          <cell r="B6241" t="str">
            <v>DUDUKAN POMPA 2U</v>
          </cell>
          <cell r="C6241" t="str">
            <v>NHD</v>
          </cell>
        </row>
        <row r="6242">
          <cell r="A6242" t="str">
            <v>SP-0000224</v>
          </cell>
          <cell r="B6242" t="str">
            <v>DUDUKAN TANGKI PLASTIK 500 LTR</v>
          </cell>
          <cell r="C6242" t="str">
            <v>NHD</v>
          </cell>
        </row>
        <row r="6243">
          <cell r="A6243" t="str">
            <v>SP-0000225</v>
          </cell>
          <cell r="B6243" t="str">
            <v>Filter FG0.2A30C7S</v>
          </cell>
          <cell r="C6243" t="str">
            <v>NHD</v>
          </cell>
        </row>
        <row r="6244">
          <cell r="A6244" t="str">
            <v>SP-0000226</v>
          </cell>
          <cell r="B6244" t="str">
            <v>HD00-SP00-00002 (RADAR)</v>
          </cell>
          <cell r="C6244" t="str">
            <v>NHD</v>
          </cell>
        </row>
        <row r="6245">
          <cell r="A6245" t="str">
            <v>SP-0000227</v>
          </cell>
          <cell r="B6245" t="str">
            <v>HEAD RESIN LOGIC</v>
          </cell>
          <cell r="C6245" t="str">
            <v>NHD</v>
          </cell>
        </row>
        <row r="6246">
          <cell r="A6246" t="str">
            <v>SP-0000228</v>
          </cell>
          <cell r="B6246" t="str">
            <v>HEAD TABUNG CARBON AUTOTROL 13x54</v>
          </cell>
          <cell r="C6246" t="str">
            <v>NHD</v>
          </cell>
        </row>
        <row r="6247">
          <cell r="A6247" t="str">
            <v>SP-0000229</v>
          </cell>
          <cell r="B6247" t="str">
            <v>HEAD TABUNG CARBON MANUAL 13x54</v>
          </cell>
          <cell r="C6247" t="str">
            <v>NHD</v>
          </cell>
        </row>
        <row r="6248">
          <cell r="A6248" t="str">
            <v>SP-0000230</v>
          </cell>
          <cell r="B6248" t="str">
            <v>MC 11 (Mem Clean)</v>
          </cell>
          <cell r="C6248" t="str">
            <v>NHD</v>
          </cell>
        </row>
        <row r="6249">
          <cell r="A6249" t="str">
            <v>SP-0000231</v>
          </cell>
          <cell r="B6249" t="str">
            <v>MEMBRANE AXEON HF4 2540</v>
          </cell>
          <cell r="C6249" t="str">
            <v>NHD</v>
          </cell>
        </row>
        <row r="6250">
          <cell r="A6250" t="str">
            <v>SP-0000232</v>
          </cell>
          <cell r="B6250" t="str">
            <v>MEMBRANE AXEON HF4 4040</v>
          </cell>
          <cell r="C6250" t="str">
            <v>NHD</v>
          </cell>
        </row>
        <row r="6251">
          <cell r="A6251" t="str">
            <v>SP-0000233</v>
          </cell>
          <cell r="B6251" t="str">
            <v>PIPA, FITTING, VALVE 1 LOT</v>
          </cell>
          <cell r="C6251" t="str">
            <v>NHD</v>
          </cell>
        </row>
        <row r="6252">
          <cell r="A6252" t="str">
            <v>SP-0000234</v>
          </cell>
          <cell r="B6252" t="str">
            <v>POMPA GRUNDFOS JPA 5-61</v>
          </cell>
          <cell r="C6252" t="str">
            <v>NHD</v>
          </cell>
        </row>
        <row r="6253">
          <cell r="A6253" t="str">
            <v>SP-0000235</v>
          </cell>
          <cell r="B6253" t="str">
            <v>POMPA GRUNDFOS JP BASIC 5</v>
          </cell>
          <cell r="C6253" t="str">
            <v>NHD</v>
          </cell>
        </row>
        <row r="6254">
          <cell r="A6254" t="str">
            <v>SP-0000236</v>
          </cell>
          <cell r="B6254" t="str">
            <v>POMPA GRUNDFOS JP BASIC 7</v>
          </cell>
          <cell r="C6254" t="str">
            <v>NHD</v>
          </cell>
        </row>
        <row r="6255">
          <cell r="A6255" t="str">
            <v>SP-0000237</v>
          </cell>
          <cell r="B6255" t="str">
            <v>RESIN CATION 1ZAK</v>
          </cell>
          <cell r="C6255" t="str">
            <v>NHD</v>
          </cell>
        </row>
        <row r="6256">
          <cell r="A6256" t="str">
            <v>SP-0000237-RC</v>
          </cell>
          <cell r="B6256" t="str">
            <v>RESIN CATION 1ZAK</v>
          </cell>
          <cell r="C6256" t="str">
            <v>NHD</v>
          </cell>
        </row>
        <row r="6257">
          <cell r="A6257" t="str">
            <v>SP-0000238</v>
          </cell>
          <cell r="B6257" t="str">
            <v>Filter FG0.2A20C2S</v>
          </cell>
          <cell r="C6257" t="str">
            <v>NHD</v>
          </cell>
        </row>
        <row r="6258">
          <cell r="A6258" t="str">
            <v>SP-0000239</v>
          </cell>
          <cell r="B6258" t="str">
            <v>Filter FG0.2A30C7S</v>
          </cell>
          <cell r="C6258" t="str">
            <v>NHD</v>
          </cell>
        </row>
        <row r="6259">
          <cell r="A6259" t="str">
            <v>SP-0000240</v>
          </cell>
          <cell r="B6259" t="str">
            <v>MC 11 (Mem Clean)</v>
          </cell>
          <cell r="C6259" t="str">
            <v>NHD</v>
          </cell>
        </row>
        <row r="6260">
          <cell r="A6260" t="str">
            <v>SP-0000241</v>
          </cell>
          <cell r="B6260" t="str">
            <v>POMPA GRUNDFOS JPA 4-54</v>
          </cell>
          <cell r="C6260" t="str">
            <v>NHD</v>
          </cell>
        </row>
        <row r="6261">
          <cell r="A6261" t="str">
            <v>SP-0000242</v>
          </cell>
          <cell r="B6261" t="str">
            <v>POMPA GRUNDFOS JP BASIC 5</v>
          </cell>
          <cell r="C6261" t="str">
            <v>NHD</v>
          </cell>
        </row>
        <row r="6262">
          <cell r="A6262" t="str">
            <v>SP-0000243</v>
          </cell>
          <cell r="B6262" t="str">
            <v>DEAERATION BATH ASSY (AS2)</v>
          </cell>
          <cell r="C6262" t="str">
            <v>NHD</v>
          </cell>
        </row>
        <row r="6263">
          <cell r="A6263" t="str">
            <v>SP-0000244</v>
          </cell>
          <cell r="B6263" t="str">
            <v>PRESSURE SW (PS) ASSY</v>
          </cell>
          <cell r="C6263" t="str">
            <v>NHD</v>
          </cell>
        </row>
        <row r="6264">
          <cell r="A6264" t="str">
            <v>SP-0000245</v>
          </cell>
          <cell r="B6264" t="str">
            <v>SILICONE TUBE 3X5</v>
          </cell>
          <cell r="C6264" t="str">
            <v>NHD</v>
          </cell>
        </row>
        <row r="6265">
          <cell r="A6265" t="str">
            <v>SP-0000246</v>
          </cell>
          <cell r="B6265" t="str">
            <v>SILICONE TUBE 6 X 12</v>
          </cell>
          <cell r="C6265" t="str">
            <v>NHD</v>
          </cell>
        </row>
        <row r="6266">
          <cell r="A6266" t="str">
            <v>SP-0000247</v>
          </cell>
          <cell r="B6266" t="str">
            <v>FG02A</v>
          </cell>
          <cell r="C6266" t="str">
            <v>NHD</v>
          </cell>
        </row>
        <row r="6267">
          <cell r="A6267" t="str">
            <v>SP-0000248</v>
          </cell>
          <cell r="B6267" t="str">
            <v>PP10A</v>
          </cell>
          <cell r="C6267" t="str">
            <v>NHD</v>
          </cell>
        </row>
        <row r="6268">
          <cell r="A6268" t="str">
            <v>SP-0000249</v>
          </cell>
          <cell r="B6268" t="str">
            <v>HRESINA</v>
          </cell>
          <cell r="C6268" t="str">
            <v>NHD</v>
          </cell>
        </row>
        <row r="6269">
          <cell r="A6269" t="str">
            <v>SP-0000250</v>
          </cell>
          <cell r="B6269" t="str">
            <v>HRESINM</v>
          </cell>
          <cell r="C6269" t="str">
            <v>NHD</v>
          </cell>
        </row>
        <row r="6270">
          <cell r="A6270" t="str">
            <v>SP-0000251</v>
          </cell>
          <cell r="B6270" t="str">
            <v>HCARBONM</v>
          </cell>
          <cell r="C6270" t="str">
            <v>NHD</v>
          </cell>
        </row>
        <row r="6271">
          <cell r="A6271" t="str">
            <v>SP-0000252</v>
          </cell>
          <cell r="B6271" t="str">
            <v>NYM2112</v>
          </cell>
          <cell r="C6271" t="str">
            <v>NHD</v>
          </cell>
        </row>
        <row r="6272">
          <cell r="A6272" t="str">
            <v>SP-0000253</v>
          </cell>
          <cell r="B6272" t="str">
            <v>NYM3212</v>
          </cell>
          <cell r="C6272" t="str">
            <v>NHD</v>
          </cell>
        </row>
        <row r="6273">
          <cell r="A6273" t="str">
            <v>SP-0000254</v>
          </cell>
          <cell r="B6273" t="str">
            <v>PGAUGE6</v>
          </cell>
          <cell r="C6273" t="str">
            <v>NHD</v>
          </cell>
        </row>
        <row r="6274">
          <cell r="A6274" t="str">
            <v>SP-0000255</v>
          </cell>
          <cell r="B6274" t="str">
            <v>PGAUGE7</v>
          </cell>
          <cell r="C6274" t="str">
            <v>NHD</v>
          </cell>
        </row>
        <row r="6275">
          <cell r="A6275" t="str">
            <v>SP-0000256</v>
          </cell>
          <cell r="B6275" t="str">
            <v>PGAUGE10</v>
          </cell>
          <cell r="C6275" t="str">
            <v>NHD</v>
          </cell>
        </row>
        <row r="6276">
          <cell r="A6276" t="str">
            <v>SP-0000257</v>
          </cell>
          <cell r="B6276" t="str">
            <v>PANCOND</v>
          </cell>
          <cell r="C6276" t="str">
            <v>NHD</v>
          </cell>
        </row>
        <row r="6277">
          <cell r="A6277" t="str">
            <v>SP-0000258</v>
          </cell>
          <cell r="B6277" t="str">
            <v>SALT</v>
          </cell>
          <cell r="C6277" t="str">
            <v>NHD</v>
          </cell>
        </row>
        <row r="6278">
          <cell r="A6278" t="str">
            <v>SP-0000259</v>
          </cell>
          <cell r="B6278" t="str">
            <v>SLNDV1</v>
          </cell>
          <cell r="C6278" t="str">
            <v>NHD</v>
          </cell>
        </row>
        <row r="6279">
          <cell r="A6279" t="str">
            <v>SP-0000260</v>
          </cell>
          <cell r="B6279" t="str">
            <v>SLNDV34</v>
          </cell>
          <cell r="C6279" t="str">
            <v>NHD</v>
          </cell>
        </row>
        <row r="6280">
          <cell r="A6280" t="str">
            <v>SP-0000261</v>
          </cell>
          <cell r="B6280" t="str">
            <v>SLNDV12</v>
          </cell>
          <cell r="C6280" t="str">
            <v>NHD</v>
          </cell>
        </row>
        <row r="6281">
          <cell r="A6281" t="str">
            <v>SP-0000262</v>
          </cell>
          <cell r="B6281" t="str">
            <v>PRESSURE SWITCH SAGINOMIYA</v>
          </cell>
          <cell r="C6281" t="str">
            <v>NHD</v>
          </cell>
        </row>
        <row r="6282">
          <cell r="A6282" t="str">
            <v>SP-0000263</v>
          </cell>
          <cell r="B6282" t="str">
            <v>BALLAS</v>
          </cell>
          <cell r="C6282" t="str">
            <v>NHD</v>
          </cell>
        </row>
        <row r="6283">
          <cell r="A6283" t="str">
            <v>SP-0000264</v>
          </cell>
          <cell r="B6283" t="str">
            <v>MPROCOR</v>
          </cell>
          <cell r="C6283" t="str">
            <v>NHD</v>
          </cell>
        </row>
        <row r="6284">
          <cell r="A6284" t="str">
            <v>SP-0000265</v>
          </cell>
          <cell r="B6284" t="str">
            <v>HOUSEF10</v>
          </cell>
          <cell r="C6284" t="str">
            <v>NHD</v>
          </cell>
        </row>
        <row r="6285">
          <cell r="A6285" t="str">
            <v>SP-0000266</v>
          </cell>
          <cell r="B6285" t="str">
            <v>FLOAT1</v>
          </cell>
          <cell r="C6285" t="str">
            <v>NHD</v>
          </cell>
        </row>
        <row r="6286">
          <cell r="A6286" t="str">
            <v>SP-0000267</v>
          </cell>
          <cell r="B6286" t="str">
            <v>HF4</v>
          </cell>
          <cell r="C6286" t="str">
            <v>NHD</v>
          </cell>
        </row>
        <row r="6287">
          <cell r="A6287" t="str">
            <v>SP-0000268</v>
          </cell>
          <cell r="B6287" t="str">
            <v>HCARBONA</v>
          </cell>
          <cell r="C6287" t="str">
            <v>NHD</v>
          </cell>
        </row>
        <row r="6288">
          <cell r="A6288" t="str">
            <v>SP-0000269</v>
          </cell>
          <cell r="B6288" t="str">
            <v>HOUSEF20</v>
          </cell>
          <cell r="C6288" t="str">
            <v>NHD</v>
          </cell>
        </row>
        <row r="6289">
          <cell r="A6289" t="str">
            <v>SP-0000270</v>
          </cell>
          <cell r="B6289" t="str">
            <v>HOUSEF5BB</v>
          </cell>
          <cell r="C6289" t="str">
            <v>NHD</v>
          </cell>
        </row>
        <row r="6290">
          <cell r="A6290" t="str">
            <v>SP-0000271</v>
          </cell>
          <cell r="B6290" t="str">
            <v>LAMPUV45</v>
          </cell>
          <cell r="C6290" t="str">
            <v>NHD</v>
          </cell>
        </row>
        <row r="6291">
          <cell r="A6291" t="str">
            <v>SP-0000272</v>
          </cell>
          <cell r="B6291" t="str">
            <v>M4040</v>
          </cell>
          <cell r="C6291" t="str">
            <v>NHD</v>
          </cell>
        </row>
        <row r="6292">
          <cell r="A6292" t="str">
            <v>SP-0000273</v>
          </cell>
          <cell r="B6292" t="str">
            <v>PRESSV</v>
          </cell>
          <cell r="C6292" t="str">
            <v>NHD</v>
          </cell>
        </row>
        <row r="6293">
          <cell r="A6293" t="str">
            <v>SP-0000274</v>
          </cell>
          <cell r="B6293" t="str">
            <v>HF12540</v>
          </cell>
          <cell r="C6293" t="str">
            <v>NHD</v>
          </cell>
        </row>
        <row r="6294">
          <cell r="A6294" t="str">
            <v>SP-0000275</v>
          </cell>
          <cell r="B6294" t="str">
            <v>MC 3 (CITRIC CLEAN)</v>
          </cell>
          <cell r="C6294" t="str">
            <v>NHD</v>
          </cell>
        </row>
        <row r="6295">
          <cell r="A6295" t="str">
            <v>SP-0000276</v>
          </cell>
          <cell r="B6295" t="str">
            <v>MC 11 (MEM CLEAN)</v>
          </cell>
          <cell r="C6295" t="str">
            <v>NHD</v>
          </cell>
        </row>
        <row r="6296">
          <cell r="A6296" t="str">
            <v>SP-0000277</v>
          </cell>
          <cell r="B6296" t="str">
            <v>SAND</v>
          </cell>
          <cell r="C6296" t="str">
            <v>NHD</v>
          </cell>
        </row>
        <row r="6297">
          <cell r="A6297" t="str">
            <v>SP-0000278</v>
          </cell>
          <cell r="B6297" t="str">
            <v>RESIN</v>
          </cell>
          <cell r="C6297" t="str">
            <v>NHD</v>
          </cell>
        </row>
        <row r="6298">
          <cell r="A6298" t="str">
            <v>SP-0000279</v>
          </cell>
          <cell r="B6298" t="str">
            <v>PYROLOX</v>
          </cell>
          <cell r="C6298" t="str">
            <v>NHD</v>
          </cell>
        </row>
        <row r="6299">
          <cell r="A6299" t="str">
            <v>SP-0000280</v>
          </cell>
          <cell r="B6299" t="str">
            <v>CARBON</v>
          </cell>
          <cell r="C6299" t="str">
            <v>NHD</v>
          </cell>
        </row>
        <row r="6300">
          <cell r="A6300" t="str">
            <v>SP-0000281</v>
          </cell>
          <cell r="B6300" t="str">
            <v>GPA4</v>
          </cell>
          <cell r="C6300" t="str">
            <v>NHD</v>
          </cell>
        </row>
        <row r="6301">
          <cell r="A6301" t="str">
            <v>SP-0000282</v>
          </cell>
          <cell r="B6301" t="str">
            <v>CHLF850</v>
          </cell>
          <cell r="C6301" t="str">
            <v>NHD</v>
          </cell>
        </row>
        <row r="6302">
          <cell r="A6302" t="str">
            <v>SP-0000283</v>
          </cell>
          <cell r="B6302" t="str">
            <v>CDLF315</v>
          </cell>
          <cell r="C6302" t="str">
            <v>NHD</v>
          </cell>
        </row>
        <row r="6303">
          <cell r="A6303" t="str">
            <v>SP-0000284</v>
          </cell>
          <cell r="B6303" t="str">
            <v>GOULD</v>
          </cell>
          <cell r="C6303" t="str">
            <v>NHD</v>
          </cell>
        </row>
        <row r="6304">
          <cell r="A6304" t="str">
            <v>SP-0000285</v>
          </cell>
          <cell r="B6304" t="str">
            <v>CHLF430</v>
          </cell>
          <cell r="C6304" t="str">
            <v>NHD</v>
          </cell>
        </row>
        <row r="6305">
          <cell r="A6305" t="str">
            <v>SP-0000286</v>
          </cell>
          <cell r="B6305" t="str">
            <v>AHI460</v>
          </cell>
          <cell r="C6305" t="str">
            <v>NHD</v>
          </cell>
        </row>
        <row r="6306">
          <cell r="A6306" t="str">
            <v>SP-0000287</v>
          </cell>
          <cell r="B6306" t="str">
            <v>JPA862</v>
          </cell>
          <cell r="C6306" t="str">
            <v>NHD</v>
          </cell>
        </row>
        <row r="6307">
          <cell r="A6307" t="str">
            <v>SP-0000288</v>
          </cell>
          <cell r="B6307" t="str">
            <v>CM55</v>
          </cell>
          <cell r="C6307" t="str">
            <v>NHD</v>
          </cell>
        </row>
        <row r="6308">
          <cell r="A6308" t="str">
            <v>SP-0000289</v>
          </cell>
          <cell r="B6308" t="str">
            <v>CM53</v>
          </cell>
          <cell r="C6308" t="str">
            <v>NHD</v>
          </cell>
        </row>
        <row r="6309">
          <cell r="A6309" t="str">
            <v>SP-0000290</v>
          </cell>
          <cell r="B6309" t="str">
            <v>CNP450</v>
          </cell>
          <cell r="C6309" t="str">
            <v>NHD</v>
          </cell>
        </row>
        <row r="6310">
          <cell r="A6310" t="str">
            <v>SP-0000291</v>
          </cell>
          <cell r="B6310" t="str">
            <v>CNP460</v>
          </cell>
          <cell r="C6310" t="str">
            <v>NHD</v>
          </cell>
        </row>
        <row r="6311">
          <cell r="A6311" t="str">
            <v>SP-0000292</v>
          </cell>
          <cell r="B6311" t="str">
            <v>NCX375</v>
          </cell>
          <cell r="C6311" t="str">
            <v>NHD</v>
          </cell>
        </row>
        <row r="6312">
          <cell r="A6312" t="str">
            <v>SP-0000293</v>
          </cell>
          <cell r="B6312" t="str">
            <v>JPA561</v>
          </cell>
          <cell r="C6312" t="str">
            <v>NHD</v>
          </cell>
        </row>
        <row r="6313">
          <cell r="A6313" t="str">
            <v>SP-0000294</v>
          </cell>
          <cell r="B6313" t="str">
            <v>GCTB5A20</v>
          </cell>
          <cell r="C6313" t="str">
            <v>NHD</v>
          </cell>
        </row>
        <row r="6314">
          <cell r="A6314" t="str">
            <v>SP-0000295</v>
          </cell>
          <cell r="B6314" t="str">
            <v>GCTB5A10</v>
          </cell>
          <cell r="C6314" t="str">
            <v>NHD</v>
          </cell>
        </row>
        <row r="6315">
          <cell r="A6315" t="str">
            <v>SP-0000296</v>
          </cell>
          <cell r="B6315" t="str">
            <v>GCTB10A20</v>
          </cell>
          <cell r="C6315" t="str">
            <v>NHD</v>
          </cell>
        </row>
        <row r="6316">
          <cell r="A6316" t="str">
            <v>SP-0000297</v>
          </cell>
          <cell r="B6316" t="str">
            <v>GCTB10A10</v>
          </cell>
          <cell r="C6316" t="str">
            <v>NHD</v>
          </cell>
        </row>
        <row r="6317">
          <cell r="A6317" t="str">
            <v>SP-0000298</v>
          </cell>
          <cell r="B6317" t="str">
            <v>GWTB520</v>
          </cell>
          <cell r="C6317" t="str">
            <v>NHD</v>
          </cell>
        </row>
        <row r="6318">
          <cell r="A6318" t="str">
            <v>SP-0000299</v>
          </cell>
          <cell r="B6318" t="str">
            <v>TUBE1354</v>
          </cell>
          <cell r="C6318" t="str">
            <v>NHD</v>
          </cell>
        </row>
        <row r="6319">
          <cell r="A6319" t="str">
            <v>SP-0000300</v>
          </cell>
          <cell r="B6319" t="str">
            <v>STRAUP</v>
          </cell>
          <cell r="C6319" t="str">
            <v>NHD</v>
          </cell>
        </row>
        <row r="6320">
          <cell r="A6320" t="str">
            <v>SP-0000301</v>
          </cell>
          <cell r="B6320" t="str">
            <v>STRADOWN</v>
          </cell>
          <cell r="C6320" t="str">
            <v>NHD</v>
          </cell>
        </row>
        <row r="6321">
          <cell r="A6321" t="str">
            <v>SP-0000302</v>
          </cell>
          <cell r="B6321" t="str">
            <v>GCTB1A20</v>
          </cell>
          <cell r="C6321" t="str">
            <v>NHD</v>
          </cell>
        </row>
        <row r="6322">
          <cell r="A6322" t="str">
            <v>SP-0000303</v>
          </cell>
          <cell r="B6322" t="str">
            <v>GCTB1A10</v>
          </cell>
          <cell r="C6322" t="str">
            <v>NHD</v>
          </cell>
        </row>
        <row r="6323">
          <cell r="A6323" t="str">
            <v>SP-0000304</v>
          </cell>
          <cell r="B6323" t="str">
            <v>SAFEVALVE</v>
          </cell>
          <cell r="C6323" t="str">
            <v>NHD</v>
          </cell>
        </row>
        <row r="6324">
          <cell r="A6324" t="str">
            <v>SP-0000305</v>
          </cell>
          <cell r="B6324" t="str">
            <v>OTOMAT</v>
          </cell>
          <cell r="C6324" t="str">
            <v>NHD</v>
          </cell>
        </row>
        <row r="6325">
          <cell r="A6325" t="str">
            <v>SP-0000306</v>
          </cell>
          <cell r="B6325" t="str">
            <v>MIS0022</v>
          </cell>
          <cell r="C6325" t="str">
            <v>NHD</v>
          </cell>
        </row>
        <row r="6326">
          <cell r="A6326" t="str">
            <v>SP-0000307</v>
          </cell>
          <cell r="B6326" t="str">
            <v>MIS0032</v>
          </cell>
          <cell r="C6326" t="str">
            <v>NHD</v>
          </cell>
        </row>
        <row r="6327">
          <cell r="A6327" t="str">
            <v>SP-0000308</v>
          </cell>
          <cell r="B6327" t="str">
            <v>PVC0035</v>
          </cell>
          <cell r="C6327" t="str">
            <v>NHD</v>
          </cell>
        </row>
        <row r="6328">
          <cell r="A6328" t="str">
            <v>SP-0000309</v>
          </cell>
          <cell r="B6328" t="str">
            <v>VFC0045</v>
          </cell>
          <cell r="C6328" t="str">
            <v>NHD</v>
          </cell>
        </row>
        <row r="6329">
          <cell r="A6329" t="str">
            <v>SP-0000310</v>
          </cell>
          <cell r="B6329" t="str">
            <v>PVC0058</v>
          </cell>
          <cell r="C6329" t="str">
            <v>NHD</v>
          </cell>
        </row>
        <row r="6330">
          <cell r="A6330" t="str">
            <v>SP-0000311</v>
          </cell>
          <cell r="B6330" t="str">
            <v>LAMPUV30</v>
          </cell>
          <cell r="C6330" t="str">
            <v>NHD</v>
          </cell>
        </row>
        <row r="6331">
          <cell r="A6331" t="str">
            <v>SP-0000312</v>
          </cell>
          <cell r="B6331" t="str">
            <v>TABUNG CARBON 13 X 54 LOGIX</v>
          </cell>
          <cell r="C6331" t="str">
            <v>NHD</v>
          </cell>
        </row>
        <row r="6332">
          <cell r="A6332" t="str">
            <v>SP-0000313</v>
          </cell>
          <cell r="B6332" t="str">
            <v>PANEL BOX LISTRIK 1 SET</v>
          </cell>
          <cell r="C6332" t="str">
            <v>NHD</v>
          </cell>
        </row>
        <row r="6333">
          <cell r="A6333" t="str">
            <v>SP-0000314</v>
          </cell>
          <cell r="B6333" t="str">
            <v>TABUNG RESIN 13 X 54 LOGIX + BRINE TANK</v>
          </cell>
          <cell r="C6333" t="str">
            <v>NHD</v>
          </cell>
        </row>
        <row r="6334">
          <cell r="A6334" t="str">
            <v>SP-0000315</v>
          </cell>
          <cell r="B6334" t="str">
            <v>BEARING ROLLER</v>
          </cell>
          <cell r="C6334" t="str">
            <v>NHD</v>
          </cell>
        </row>
        <row r="6335">
          <cell r="A6335" t="str">
            <v>SP-0000316</v>
          </cell>
          <cell r="B6335" t="str">
            <v>REDUCTION VALVE CHROME PLATED</v>
          </cell>
          <cell r="C6335" t="str">
            <v>NHD</v>
          </cell>
        </row>
        <row r="6336">
          <cell r="A6336" t="str">
            <v>SP-0000317</v>
          </cell>
          <cell r="B6336" t="str">
            <v>Endotoxin Filter</v>
          </cell>
          <cell r="C6336" t="str">
            <v>NHD</v>
          </cell>
        </row>
        <row r="6337">
          <cell r="A6337" t="str">
            <v>SP-0000318</v>
          </cell>
          <cell r="B6337" t="str">
            <v>Kabel Ties</v>
          </cell>
          <cell r="C6337" t="str">
            <v>NHD</v>
          </cell>
        </row>
        <row r="6338">
          <cell r="A6338" t="str">
            <v>SP-0000319</v>
          </cell>
          <cell r="B6338" t="str">
            <v>Jg Screw-In Connector 15-1/2</v>
          </cell>
          <cell r="C6338" t="str">
            <v>NHD</v>
          </cell>
        </row>
        <row r="6339">
          <cell r="A6339" t="str">
            <v>SP-0000320</v>
          </cell>
          <cell r="B6339" t="str">
            <v>John Guest Insert Angle</v>
          </cell>
          <cell r="C6339" t="str">
            <v>NHD</v>
          </cell>
        </row>
        <row r="6340">
          <cell r="A6340" t="str">
            <v>SP-0000321</v>
          </cell>
          <cell r="B6340" t="str">
            <v>T-Connector John Guest 15 mm</v>
          </cell>
          <cell r="C6340" t="str">
            <v>NHD</v>
          </cell>
        </row>
        <row r="6341">
          <cell r="A6341" t="str">
            <v>SP-0000322</v>
          </cell>
          <cell r="B6341" t="str">
            <v>Pipe Clamp 100-105 mm</v>
          </cell>
          <cell r="C6341" t="str">
            <v>NHD</v>
          </cell>
        </row>
        <row r="6342">
          <cell r="A6342" t="str">
            <v>SP-0000323</v>
          </cell>
          <cell r="B6342" t="str">
            <v>Pa Pipe 15 x 1,5 Black</v>
          </cell>
          <cell r="C6342" t="str">
            <v>NHD</v>
          </cell>
        </row>
        <row r="6343">
          <cell r="A6343" t="str">
            <v>SP-0000324</v>
          </cell>
          <cell r="B6343" t="str">
            <v>Concentrate Pres Keeping 2 Rom W. Bundle</v>
          </cell>
          <cell r="C6343" t="str">
            <v>NHD</v>
          </cell>
        </row>
        <row r="6344">
          <cell r="A6344" t="str">
            <v>SP-0000325</v>
          </cell>
          <cell r="B6344" t="str">
            <v>Pressure Pipe W 300 E-4-1</v>
          </cell>
          <cell r="C6344" t="str">
            <v>NHD</v>
          </cell>
        </row>
        <row r="6345">
          <cell r="A6345" t="str">
            <v>SP-0000326</v>
          </cell>
          <cell r="B6345" t="str">
            <v>Plug PVC-U 1/2</v>
          </cell>
          <cell r="C6345" t="str">
            <v>NHD</v>
          </cell>
        </row>
        <row r="6346">
          <cell r="A6346" t="str">
            <v>SP-0000327</v>
          </cell>
          <cell r="B6346" t="str">
            <v>Pp Pipe Clamp Type 061 H Da 25</v>
          </cell>
          <cell r="C6346" t="str">
            <v>NHD</v>
          </cell>
        </row>
        <row r="6347">
          <cell r="A6347" t="str">
            <v>SP-0000328</v>
          </cell>
          <cell r="B6347" t="str">
            <v>Membrane Low1 4040 XI</v>
          </cell>
          <cell r="C6347" t="str">
            <v>NHD</v>
          </cell>
        </row>
        <row r="6348">
          <cell r="A6348" t="str">
            <v>SP-0000329</v>
          </cell>
          <cell r="B6348" t="str">
            <v>Membrane Low1 4040 X</v>
          </cell>
          <cell r="C6348" t="str">
            <v>NHD</v>
          </cell>
        </row>
        <row r="6349">
          <cell r="A6349" t="str">
            <v>SP-0000330</v>
          </cell>
          <cell r="B6349" t="str">
            <v>Pump Booster, Mvi1 14-1/25/E/1-230-50-2</v>
          </cell>
          <cell r="C6349" t="str">
            <v>NHD</v>
          </cell>
        </row>
        <row r="6350">
          <cell r="A6350" t="str">
            <v>SP-0000331</v>
          </cell>
          <cell r="B6350" t="str">
            <v>Filter PP 0,2A30C2S</v>
          </cell>
          <cell r="C6350" t="str">
            <v>NHD</v>
          </cell>
        </row>
        <row r="6351">
          <cell r="A6351" t="str">
            <v>SP-0000332</v>
          </cell>
          <cell r="B6351" t="str">
            <v>1 SET OF UPGRADE KIT RO BASIS 700 L/H</v>
          </cell>
          <cell r="C6351" t="str">
            <v>NHD</v>
          </cell>
        </row>
        <row r="6352">
          <cell r="A6352" t="str">
            <v>SP-0000333</v>
          </cell>
          <cell r="B6352" t="str">
            <v>RADAR</v>
          </cell>
          <cell r="C6352" t="str">
            <v>NHD</v>
          </cell>
        </row>
        <row r="6353">
          <cell r="A6353" t="str">
            <v>SP-0000334</v>
          </cell>
          <cell r="B6353" t="str">
            <v>Dudukan Pompa</v>
          </cell>
          <cell r="C6353" t="str">
            <v>NHD</v>
          </cell>
        </row>
        <row r="6354">
          <cell r="A6354" t="str">
            <v>SP-0000335</v>
          </cell>
          <cell r="B6354" t="str">
            <v>Garam Regenerasi</v>
          </cell>
          <cell r="C6354" t="str">
            <v>NHD</v>
          </cell>
        </row>
        <row r="6355">
          <cell r="A6355" t="str">
            <v>SP-0000336</v>
          </cell>
          <cell r="B6355" t="str">
            <v>LAMPU UV 19 LPM VIQUA</v>
          </cell>
          <cell r="C6355" t="str">
            <v>NHD</v>
          </cell>
        </row>
        <row r="6356">
          <cell r="A6356" t="str">
            <v>SP-0000337</v>
          </cell>
          <cell r="B6356" t="str">
            <v>HOUSING FILTER 20"</v>
          </cell>
          <cell r="C6356" t="str">
            <v>NHD</v>
          </cell>
        </row>
        <row r="6357">
          <cell r="A6357" t="str">
            <v>SP-0000338</v>
          </cell>
          <cell r="B6357" t="str">
            <v>HOUSING FILTER 20" NON TRANSPARANT</v>
          </cell>
          <cell r="C6357" t="str">
            <v>NHD</v>
          </cell>
        </row>
        <row r="6358">
          <cell r="A6358" t="str">
            <v>SP-0000339</v>
          </cell>
          <cell r="B6358" t="str">
            <v>PRESSURE VESSEL 4040 SS 304</v>
          </cell>
          <cell r="C6358" t="str">
            <v>NHD</v>
          </cell>
        </row>
        <row r="6359">
          <cell r="A6359" t="str">
            <v>SP-0000340</v>
          </cell>
          <cell r="B6359" t="str">
            <v>TABUNG RESIN 13 x 54 AUTOTROL</v>
          </cell>
          <cell r="C6359" t="str">
            <v>NHD</v>
          </cell>
        </row>
        <row r="6360">
          <cell r="A6360" t="str">
            <v>SP-0000341</v>
          </cell>
          <cell r="B6360" t="str">
            <v>RELAY 2 Y 8 KCK (OMRON) SOCKET 1 + SOCKET</v>
          </cell>
          <cell r="C6360" t="str">
            <v>NHD</v>
          </cell>
        </row>
        <row r="6361">
          <cell r="A6361" t="str">
            <v>SP-0000342</v>
          </cell>
          <cell r="B6361" t="str">
            <v>RELAY</v>
          </cell>
          <cell r="C6361" t="str">
            <v>NHD</v>
          </cell>
        </row>
        <row r="6362">
          <cell r="A6362" t="str">
            <v>SP-0000343</v>
          </cell>
          <cell r="B6362" t="str">
            <v>KARET DUDUKAN (KABIN MOUNTING)</v>
          </cell>
          <cell r="C6362" t="str">
            <v>NHD</v>
          </cell>
        </row>
        <row r="6363">
          <cell r="A6363" t="str">
            <v>SP-0000344</v>
          </cell>
          <cell r="B6363" t="str">
            <v>KRAN 1/2" KUNINGAN GAS</v>
          </cell>
          <cell r="C6363" t="str">
            <v>NHD</v>
          </cell>
        </row>
        <row r="6364">
          <cell r="A6364" t="str">
            <v>SP-0000345</v>
          </cell>
          <cell r="B6364" t="str">
            <v>KRAN SAMPLE MAGO D311</v>
          </cell>
          <cell r="C6364" t="str">
            <v>NHD</v>
          </cell>
        </row>
        <row r="6365">
          <cell r="A6365" t="str">
            <v>SP-0000346</v>
          </cell>
          <cell r="B6365" t="str">
            <v>SELENOID 1"</v>
          </cell>
          <cell r="C6365" t="str">
            <v>NHD</v>
          </cell>
        </row>
        <row r="6366">
          <cell r="A6366" t="str">
            <v>SP-0000347</v>
          </cell>
          <cell r="B6366" t="str">
            <v>SELANG BENANG 1/2''</v>
          </cell>
          <cell r="C6366" t="str">
            <v>NHD</v>
          </cell>
        </row>
        <row r="6367">
          <cell r="A6367" t="str">
            <v>SP-0000347-SB</v>
          </cell>
          <cell r="B6367" t="str">
            <v>SELANG BENANG 1/2''</v>
          </cell>
          <cell r="C6367" t="str">
            <v>NHD</v>
          </cell>
        </row>
        <row r="6368">
          <cell r="A6368" t="str">
            <v>SP-0000348</v>
          </cell>
          <cell r="B6368" t="str">
            <v>SELANG BENANG 3/4''</v>
          </cell>
          <cell r="C6368" t="str">
            <v>NHD</v>
          </cell>
        </row>
        <row r="6369">
          <cell r="A6369" t="str">
            <v>SP-0000348-SB</v>
          </cell>
          <cell r="B6369" t="str">
            <v>SELANG BENANG 3/4''</v>
          </cell>
          <cell r="C6369" t="str">
            <v>NHD</v>
          </cell>
        </row>
        <row r="6370">
          <cell r="A6370" t="str">
            <v>SP-0000349</v>
          </cell>
          <cell r="B6370" t="str">
            <v>KLEM SELANG 1''</v>
          </cell>
          <cell r="C6370" t="str">
            <v>NHD</v>
          </cell>
        </row>
        <row r="6371">
          <cell r="A6371" t="str">
            <v>SP-0000350</v>
          </cell>
          <cell r="B6371" t="str">
            <v>KLEM SELANG 3/4 INCHI</v>
          </cell>
          <cell r="C6371" t="str">
            <v>NHD</v>
          </cell>
        </row>
        <row r="6372">
          <cell r="A6372" t="str">
            <v>SP-0000351</v>
          </cell>
          <cell r="B6372" t="str">
            <v>VLOCK RING 1 X 1 1/4''</v>
          </cell>
          <cell r="C6372" t="str">
            <v>NHD</v>
          </cell>
        </row>
        <row r="6373">
          <cell r="A6373" t="str">
            <v>SP-0000352</v>
          </cell>
          <cell r="B6373" t="str">
            <v>VLOCK RING 1/2" X 1/4''</v>
          </cell>
          <cell r="C6373" t="str">
            <v>NHD</v>
          </cell>
        </row>
        <row r="6374">
          <cell r="A6374" t="str">
            <v>SP-0000353</v>
          </cell>
          <cell r="B6374" t="str">
            <v>DOUBLE NEPLE 1/4''</v>
          </cell>
          <cell r="C6374" t="str">
            <v>NHD</v>
          </cell>
        </row>
        <row r="6375">
          <cell r="A6375" t="str">
            <v>SP-0000354</v>
          </cell>
          <cell r="B6375" t="str">
            <v>NEPLE SELANG 3/4'' X 3/4'' KUNINGAN</v>
          </cell>
          <cell r="C6375" t="str">
            <v>NHD</v>
          </cell>
        </row>
        <row r="6376">
          <cell r="A6376" t="str">
            <v>SP-0000355</v>
          </cell>
          <cell r="B6376" t="str">
            <v>NEPLE SELANG 1/2'' X 1/2'' KUNINGAN</v>
          </cell>
          <cell r="C6376" t="str">
            <v>NHD</v>
          </cell>
        </row>
        <row r="6377">
          <cell r="A6377" t="str">
            <v>SP-0000356</v>
          </cell>
          <cell r="B6377" t="str">
            <v>DUDUKAN TANGKI PLASTIK 1000 LTR</v>
          </cell>
          <cell r="C6377" t="str">
            <v>NHD</v>
          </cell>
        </row>
        <row r="6378">
          <cell r="A6378" t="str">
            <v>SP-0000357</v>
          </cell>
          <cell r="B6378" t="str">
            <v>CONDUCTIVITY</v>
          </cell>
          <cell r="C6378" t="str">
            <v>NHD</v>
          </cell>
        </row>
        <row r="6379">
          <cell r="A6379" t="str">
            <v>SP-0000358</v>
          </cell>
          <cell r="B6379" t="str">
            <v>HEAD TABUNG RESIN  13 x 54 (AUTOTROL)</v>
          </cell>
          <cell r="C6379" t="str">
            <v>NHD</v>
          </cell>
        </row>
        <row r="6380">
          <cell r="A6380" t="str">
            <v>SP-0000359</v>
          </cell>
          <cell r="B6380" t="str">
            <v>BALL VALVE SS + HOSE NIPPLE SS 304 SIZE 1/2 INCH</v>
          </cell>
          <cell r="C6380" t="str">
            <v>NHD</v>
          </cell>
        </row>
        <row r="6381">
          <cell r="A6381" t="str">
            <v>SP-0000360</v>
          </cell>
          <cell r="B6381" t="str">
            <v>TANGKI SS 1000 LITER+DUDUKAN</v>
          </cell>
          <cell r="C6381" t="str">
            <v>NHD</v>
          </cell>
        </row>
        <row r="6382">
          <cell r="A6382" t="str">
            <v>SP-0000361</v>
          </cell>
          <cell r="B6382" t="str">
            <v>TANGKI SS 2000 LITER+DUDUKAN</v>
          </cell>
          <cell r="C6382" t="str">
            <v>NHD</v>
          </cell>
        </row>
        <row r="6383">
          <cell r="A6383" t="str">
            <v>SP-0000362</v>
          </cell>
          <cell r="B6383" t="str">
            <v>TANGKI SS 500 LITER+DUDUKAN</v>
          </cell>
          <cell r="C6383" t="str">
            <v>NHD</v>
          </cell>
        </row>
        <row r="6384">
          <cell r="A6384" t="str">
            <v>SP-0000363</v>
          </cell>
          <cell r="B6384" t="str">
            <v>TANGKI PLASTIK 1000 LITER</v>
          </cell>
          <cell r="C6384" t="str">
            <v>NHD</v>
          </cell>
        </row>
        <row r="6385">
          <cell r="A6385" t="str">
            <v>SP-0000364</v>
          </cell>
          <cell r="B6385" t="str">
            <v>TANGKI PLASTIK 500 LITER</v>
          </cell>
          <cell r="C6385" t="str">
            <v>NHD</v>
          </cell>
        </row>
        <row r="6386">
          <cell r="A6386" t="str">
            <v>SP-0000365</v>
          </cell>
          <cell r="B6386" t="str">
            <v>TANGKI PLASTIK 2000 LITER</v>
          </cell>
          <cell r="C6386" t="str">
            <v>NHD</v>
          </cell>
        </row>
        <row r="6387">
          <cell r="A6387" t="str">
            <v>SP-0000366</v>
          </cell>
          <cell r="B6387" t="str">
            <v>Kabel Fleksible</v>
          </cell>
          <cell r="C6387" t="str">
            <v>NHD</v>
          </cell>
        </row>
        <row r="6388">
          <cell r="A6388" t="str">
            <v>SP-0000367</v>
          </cell>
          <cell r="B6388" t="str">
            <v>Kabel Duct</v>
          </cell>
          <cell r="C6388" t="str">
            <v>NHD</v>
          </cell>
        </row>
        <row r="6389">
          <cell r="A6389" t="str">
            <v>SP-0000368</v>
          </cell>
          <cell r="B6389" t="str">
            <v>Stop Kontak 6 Lubang</v>
          </cell>
          <cell r="C6389" t="str">
            <v>NHD</v>
          </cell>
        </row>
        <row r="6390">
          <cell r="A6390" t="str">
            <v>SP-0000369</v>
          </cell>
          <cell r="B6390" t="str">
            <v>Stekker</v>
          </cell>
          <cell r="C6390" t="str">
            <v>NHD</v>
          </cell>
        </row>
        <row r="6391">
          <cell r="A6391" t="str">
            <v>SP-0000370</v>
          </cell>
          <cell r="B6391" t="str">
            <v>Shock 1" x 3/4"</v>
          </cell>
          <cell r="C6391" t="str">
            <v>NHD</v>
          </cell>
        </row>
        <row r="6392">
          <cell r="A6392" t="str">
            <v>SP-0000371</v>
          </cell>
          <cell r="B6392" t="str">
            <v>Kabel Externa</v>
          </cell>
          <cell r="C6392" t="str">
            <v>NHD</v>
          </cell>
        </row>
        <row r="6393">
          <cell r="A6393" t="str">
            <v>SP-0000372</v>
          </cell>
          <cell r="B6393" t="str">
            <v>Kabel Nym 4 X 0.75</v>
          </cell>
          <cell r="C6393" t="str">
            <v>NHD</v>
          </cell>
        </row>
        <row r="6394">
          <cell r="A6394" t="str">
            <v>SP-0000373</v>
          </cell>
          <cell r="B6394" t="str">
            <v>Fisher</v>
          </cell>
          <cell r="C6394" t="str">
            <v>NHD</v>
          </cell>
        </row>
        <row r="6395">
          <cell r="A6395" t="str">
            <v>SP-0000374</v>
          </cell>
          <cell r="B6395" t="str">
            <v>Pipe 1"</v>
          </cell>
          <cell r="C6395" t="str">
            <v>NHD</v>
          </cell>
        </row>
        <row r="6396">
          <cell r="A6396" t="str">
            <v>SP-0000375</v>
          </cell>
          <cell r="B6396" t="str">
            <v>Pipa 3/4"</v>
          </cell>
          <cell r="C6396" t="str">
            <v>NHD</v>
          </cell>
        </row>
        <row r="6397">
          <cell r="A6397" t="str">
            <v>SP-0000376</v>
          </cell>
          <cell r="B6397" t="str">
            <v>Screw S6</v>
          </cell>
          <cell r="C6397" t="str">
            <v>NHD</v>
          </cell>
        </row>
        <row r="6398">
          <cell r="A6398" t="str">
            <v>SP-0000377</v>
          </cell>
          <cell r="B6398" t="str">
            <v>Ceramic Seal pump JP Basic 5</v>
          </cell>
          <cell r="C6398" t="str">
            <v>NHD</v>
          </cell>
        </row>
        <row r="6399">
          <cell r="A6399" t="str">
            <v>SP-0000378</v>
          </cell>
          <cell r="B6399" t="str">
            <v>Bearing Pump 6204</v>
          </cell>
          <cell r="C6399" t="str">
            <v>NHD</v>
          </cell>
        </row>
        <row r="6400">
          <cell r="A6400" t="str">
            <v>SP-0000379</v>
          </cell>
          <cell r="B6400" t="str">
            <v>Impeler Grundfos JP Basic 5</v>
          </cell>
          <cell r="C6400" t="str">
            <v>NHD</v>
          </cell>
        </row>
        <row r="6401">
          <cell r="A6401" t="str">
            <v>SP-0000380</v>
          </cell>
          <cell r="B6401" t="str">
            <v>Difuser Grundfos JP Basic 5</v>
          </cell>
          <cell r="C6401" t="str">
            <v>NHD</v>
          </cell>
        </row>
        <row r="6402">
          <cell r="A6402" t="str">
            <v>SP-0000381</v>
          </cell>
          <cell r="B6402" t="str">
            <v>OTOMATIS POMPA JP 5</v>
          </cell>
          <cell r="C6402" t="str">
            <v>NHD</v>
          </cell>
        </row>
        <row r="6403">
          <cell r="A6403" t="str">
            <v>SP-0000382</v>
          </cell>
          <cell r="B6403" t="str">
            <v>HOUSING JUMBO GWTB 5BB20</v>
          </cell>
          <cell r="C6403" t="str">
            <v>NHD</v>
          </cell>
        </row>
        <row r="6404">
          <cell r="A6404" t="str">
            <v>SP-0000383</v>
          </cell>
          <cell r="B6404" t="str">
            <v>HOUSING FILTER 10" NON TRANSPARANT</v>
          </cell>
          <cell r="C6404" t="str">
            <v>NHD</v>
          </cell>
        </row>
        <row r="6405">
          <cell r="A6405" t="str">
            <v>SP-0000384</v>
          </cell>
          <cell r="B6405" t="str">
            <v>MECHANICAL SEAL DAB 255</v>
          </cell>
          <cell r="C6405" t="str">
            <v>NHD</v>
          </cell>
        </row>
        <row r="6406">
          <cell r="A6406" t="str">
            <v>SP-0000385</v>
          </cell>
          <cell r="B6406" t="str">
            <v>BEARING PUMP 6203</v>
          </cell>
          <cell r="C6406" t="str">
            <v>NHD</v>
          </cell>
        </row>
        <row r="6407">
          <cell r="A6407" t="str">
            <v>SP-0000386</v>
          </cell>
          <cell r="B6407" t="str">
            <v>BEARING PUMP 6205</v>
          </cell>
          <cell r="C6407" t="str">
            <v>NHD</v>
          </cell>
        </row>
        <row r="6408">
          <cell r="A6408" t="str">
            <v>SP-0000387</v>
          </cell>
          <cell r="B6408" t="str">
            <v>Globe Valve 1/2"</v>
          </cell>
          <cell r="C6408" t="str">
            <v>NHD</v>
          </cell>
        </row>
        <row r="6409">
          <cell r="A6409" t="str">
            <v>SP-0000388</v>
          </cell>
          <cell r="B6409" t="str">
            <v>Pressure Gauge 20 BAR</v>
          </cell>
          <cell r="C6409" t="str">
            <v>NHD</v>
          </cell>
        </row>
        <row r="6410">
          <cell r="A6410" t="str">
            <v>SP-0000389</v>
          </cell>
          <cell r="B6410" t="str">
            <v>Tangki garam / brine  tank + perlengkapan</v>
          </cell>
          <cell r="C6410" t="str">
            <v>NHD</v>
          </cell>
        </row>
        <row r="6411">
          <cell r="A6411" t="str">
            <v>SP-0000390</v>
          </cell>
          <cell r="B6411" t="str">
            <v>Klem Pipa 1"</v>
          </cell>
          <cell r="C6411" t="str">
            <v>NHD</v>
          </cell>
        </row>
        <row r="6412">
          <cell r="A6412" t="str">
            <v>SP-0000391</v>
          </cell>
          <cell r="B6412" t="str">
            <v>Klem Pipa 3/4"</v>
          </cell>
          <cell r="C6412" t="str">
            <v>NHD</v>
          </cell>
        </row>
        <row r="6413">
          <cell r="A6413" t="str">
            <v>SP-0000392</v>
          </cell>
          <cell r="B6413" t="str">
            <v>FILTER UDARA</v>
          </cell>
          <cell r="C6413" t="str">
            <v>NHD</v>
          </cell>
        </row>
        <row r="6414">
          <cell r="A6414" t="str">
            <v>SP-0000393</v>
          </cell>
          <cell r="B6414" t="str">
            <v>SILICON GREASE</v>
          </cell>
          <cell r="C6414" t="str">
            <v>NHD</v>
          </cell>
        </row>
        <row r="6415">
          <cell r="A6415" t="str">
            <v>SP-0000394</v>
          </cell>
          <cell r="B6415" t="str">
            <v>GOOT CD-10 OBENG TRIM</v>
          </cell>
          <cell r="C6415" t="str">
            <v>NHD</v>
          </cell>
        </row>
        <row r="6416">
          <cell r="A6416" t="str">
            <v>SP-0000395</v>
          </cell>
          <cell r="B6416" t="str">
            <v>KUNCI L 1.5 MM</v>
          </cell>
          <cell r="C6416" t="str">
            <v>NHD</v>
          </cell>
        </row>
        <row r="6417">
          <cell r="A6417" t="str">
            <v>SP-0000396</v>
          </cell>
          <cell r="B6417" t="str">
            <v>GUNTING JEPIT</v>
          </cell>
          <cell r="C6417" t="str">
            <v>NHD</v>
          </cell>
        </row>
        <row r="6418">
          <cell r="A6418" t="str">
            <v>SP-0000397</v>
          </cell>
          <cell r="B6418" t="str">
            <v>TREKER 6</v>
          </cell>
          <cell r="C6418" t="str">
            <v>NHD</v>
          </cell>
        </row>
        <row r="6419">
          <cell r="A6419" t="str">
            <v>SP-0000398</v>
          </cell>
          <cell r="B6419" t="str">
            <v>OBENG PHILIPS (+)</v>
          </cell>
          <cell r="C6419" t="str">
            <v>NHD</v>
          </cell>
        </row>
        <row r="6420">
          <cell r="A6420" t="str">
            <v>SP-0000399</v>
          </cell>
          <cell r="B6420" t="str">
            <v>KUNCI SHOCK</v>
          </cell>
          <cell r="C6420" t="str">
            <v>NHD</v>
          </cell>
        </row>
        <row r="6421">
          <cell r="A6421" t="str">
            <v>SP-0000400</v>
          </cell>
          <cell r="B6421" t="str">
            <v>MATA SHOCK 17 MM</v>
          </cell>
          <cell r="C6421" t="str">
            <v>NHD</v>
          </cell>
        </row>
        <row r="6422">
          <cell r="A6422" t="str">
            <v>SP-0000401</v>
          </cell>
          <cell r="B6422" t="str">
            <v>MATA SHOCK 12 MM</v>
          </cell>
          <cell r="C6422" t="str">
            <v>NHD</v>
          </cell>
        </row>
        <row r="6423">
          <cell r="A6423" t="str">
            <v>SP-0000402</v>
          </cell>
          <cell r="B6423" t="str">
            <v>HARDNESS METER / STRIP</v>
          </cell>
          <cell r="C6423" t="str">
            <v>NHD</v>
          </cell>
        </row>
        <row r="6424">
          <cell r="A6424" t="str">
            <v>SP-0000403</v>
          </cell>
          <cell r="B6424" t="str">
            <v>PH METER</v>
          </cell>
          <cell r="C6424" t="str">
            <v>NHD</v>
          </cell>
        </row>
        <row r="6425">
          <cell r="A6425" t="str">
            <v>SP-0000404</v>
          </cell>
          <cell r="B6425" t="str">
            <v>SALINITY METER</v>
          </cell>
          <cell r="C6425" t="str">
            <v>NHD</v>
          </cell>
        </row>
        <row r="6426">
          <cell r="A6426" t="str">
            <v>SP-0000405</v>
          </cell>
          <cell r="B6426" t="str">
            <v>GUNTING PIPA</v>
          </cell>
          <cell r="C6426" t="str">
            <v>NHD</v>
          </cell>
        </row>
        <row r="6427">
          <cell r="A6427" t="str">
            <v>SP-0000406</v>
          </cell>
          <cell r="B6427" t="str">
            <v>Pressure Gauge 60 BAR</v>
          </cell>
          <cell r="C6427" t="str">
            <v>NHD</v>
          </cell>
        </row>
        <row r="6428">
          <cell r="A6428" t="str">
            <v>SP-0000407</v>
          </cell>
          <cell r="B6428" t="str">
            <v>Double Nepel 1/2"</v>
          </cell>
          <cell r="C6428" t="str">
            <v>NHD</v>
          </cell>
        </row>
        <row r="6429">
          <cell r="A6429" t="str">
            <v>SP-0000408</v>
          </cell>
          <cell r="B6429" t="str">
            <v>Tabung Resin 16 x 65 Logix + Brine Tank</v>
          </cell>
          <cell r="C6429" t="str">
            <v>NHD</v>
          </cell>
        </row>
        <row r="6430">
          <cell r="A6430" t="str">
            <v>SP-0000409</v>
          </cell>
          <cell r="B6430" t="str">
            <v>Seal Kit</v>
          </cell>
          <cell r="C6430" t="str">
            <v>NHD</v>
          </cell>
        </row>
        <row r="6431">
          <cell r="A6431" t="str">
            <v>SP-0000410</v>
          </cell>
          <cell r="B6431" t="str">
            <v>Shock 1" x 1/2"</v>
          </cell>
          <cell r="C6431" t="str">
            <v>NHD</v>
          </cell>
        </row>
        <row r="6432">
          <cell r="A6432" t="str">
            <v>SP-0000411</v>
          </cell>
          <cell r="B6432" t="str">
            <v>Lem Silikon</v>
          </cell>
          <cell r="C6432" t="str">
            <v>NHD</v>
          </cell>
        </row>
        <row r="6433">
          <cell r="A6433" t="str">
            <v>SP-0000412</v>
          </cell>
          <cell r="B6433" t="str">
            <v>Isolasi</v>
          </cell>
          <cell r="C6433" t="str">
            <v>NHD</v>
          </cell>
        </row>
        <row r="6434">
          <cell r="A6434" t="str">
            <v>SP-0000413</v>
          </cell>
          <cell r="B6434" t="str">
            <v>Klem Kabel UTP</v>
          </cell>
          <cell r="C6434" t="str">
            <v>NHD</v>
          </cell>
        </row>
        <row r="6435">
          <cell r="A6435" t="str">
            <v>SP-0000414</v>
          </cell>
          <cell r="B6435" t="str">
            <v>Dudukan Pompa Ganda</v>
          </cell>
          <cell r="C6435" t="str">
            <v>NHD</v>
          </cell>
        </row>
        <row r="6436">
          <cell r="A6436" t="str">
            <v>SP-0000415</v>
          </cell>
          <cell r="B6436" t="str">
            <v>Dudukan Pompa Tunggal</v>
          </cell>
          <cell r="C6436" t="str">
            <v>NHD</v>
          </cell>
        </row>
        <row r="6437">
          <cell r="A6437" t="str">
            <v>SP-0000416</v>
          </cell>
          <cell r="B6437" t="str">
            <v>KLEM SELANG 1''</v>
          </cell>
          <cell r="C6437" t="str">
            <v>NHD</v>
          </cell>
        </row>
        <row r="6438">
          <cell r="A6438" t="str">
            <v>SP-0000417</v>
          </cell>
          <cell r="B6438" t="str">
            <v>Tabung Carbon 16 x 65 Logix</v>
          </cell>
          <cell r="C6438" t="str">
            <v>NHD</v>
          </cell>
        </row>
        <row r="6439">
          <cell r="A6439" t="str">
            <v>SP-0000418</v>
          </cell>
          <cell r="B6439" t="str">
            <v>Pipa 1/2"</v>
          </cell>
          <cell r="C6439" t="str">
            <v>NHD</v>
          </cell>
        </row>
        <row r="6440">
          <cell r="A6440" t="str">
            <v>SP-0000419</v>
          </cell>
          <cell r="B6440" t="str">
            <v>Klem Pipa 1/2"</v>
          </cell>
          <cell r="C6440" t="str">
            <v>NHD</v>
          </cell>
        </row>
        <row r="6441">
          <cell r="A6441" t="str">
            <v>SP-0000420</v>
          </cell>
          <cell r="B6441" t="str">
            <v>VLOCK T-Drat Dalam 1"x 3/4</v>
          </cell>
          <cell r="C6441" t="str">
            <v>NHD</v>
          </cell>
        </row>
        <row r="6442">
          <cell r="A6442" t="str">
            <v>SP-0000421</v>
          </cell>
          <cell r="B6442" t="str">
            <v>Kabel UTP</v>
          </cell>
          <cell r="C6442" t="str">
            <v>NHD</v>
          </cell>
        </row>
        <row r="6443">
          <cell r="A6443" t="str">
            <v>SP-0000422</v>
          </cell>
          <cell r="B6443" t="str">
            <v>Double Tape 3M</v>
          </cell>
          <cell r="C6443" t="str">
            <v>NHD</v>
          </cell>
        </row>
        <row r="6444">
          <cell r="A6444" t="str">
            <v>SP-0000423</v>
          </cell>
          <cell r="B6444" t="str">
            <v>Nepel Selang Nylon 10mm</v>
          </cell>
          <cell r="C6444" t="str">
            <v>NHD</v>
          </cell>
        </row>
        <row r="6445">
          <cell r="A6445" t="str">
            <v>SP-0000424</v>
          </cell>
          <cell r="B6445" t="str">
            <v>Selang Nylon 8mm</v>
          </cell>
          <cell r="C6445" t="str">
            <v>NHD</v>
          </cell>
        </row>
        <row r="6446">
          <cell r="A6446" t="str">
            <v>SP-0000425</v>
          </cell>
          <cell r="B6446" t="str">
            <v>Selang Nylon 10mm</v>
          </cell>
          <cell r="C6446" t="str">
            <v>NHD</v>
          </cell>
        </row>
        <row r="6447">
          <cell r="A6447" t="str">
            <v>SP-0000426</v>
          </cell>
          <cell r="B6447" t="str">
            <v>VLOCK T 1" x 3/4"</v>
          </cell>
          <cell r="C6447" t="str">
            <v>NHD</v>
          </cell>
        </row>
        <row r="6448">
          <cell r="A6448" t="str">
            <v>SP-0000427</v>
          </cell>
          <cell r="B6448" t="str">
            <v>VLOCK T 1" x 1/2"</v>
          </cell>
          <cell r="C6448" t="str">
            <v>NHD</v>
          </cell>
        </row>
        <row r="6449">
          <cell r="A6449" t="str">
            <v>SP-0000428</v>
          </cell>
          <cell r="B6449" t="str">
            <v>VLOCK T 3/4" x 1/2"</v>
          </cell>
          <cell r="C6449" t="str">
            <v>NHD</v>
          </cell>
        </row>
        <row r="6450">
          <cell r="A6450" t="str">
            <v>SP-0000429</v>
          </cell>
          <cell r="B6450" t="str">
            <v>VLOCK T DRAT DALAM 3/4" x 1/2"</v>
          </cell>
          <cell r="C6450" t="str">
            <v>NHD</v>
          </cell>
        </row>
        <row r="6451">
          <cell r="A6451" t="str">
            <v>SP-0000430</v>
          </cell>
          <cell r="B6451" t="str">
            <v>Sekrup</v>
          </cell>
          <cell r="C6451" t="str">
            <v>NHD</v>
          </cell>
        </row>
        <row r="6452">
          <cell r="A6452" t="str">
            <v>SP-0000431</v>
          </cell>
          <cell r="B6452" t="str">
            <v>STOP KONTAK 1 LUBANG</v>
          </cell>
          <cell r="C6452" t="str">
            <v>NHD</v>
          </cell>
        </row>
        <row r="6453">
          <cell r="A6453" t="str">
            <v>SP-0000432</v>
          </cell>
          <cell r="B6453" t="str">
            <v>GOULDS IMPELLER SHIM-BOX OF 12-7K155</v>
          </cell>
          <cell r="C6453" t="str">
            <v>NHD</v>
          </cell>
        </row>
        <row r="6454">
          <cell r="A6454" t="str">
            <v>SP-0000433</v>
          </cell>
          <cell r="B6454" t="str">
            <v>GOULDS IMPELLER-7K35</v>
          </cell>
          <cell r="C6454" t="str">
            <v>NHD</v>
          </cell>
        </row>
        <row r="6455">
          <cell r="A6455" t="str">
            <v>SP-0000434</v>
          </cell>
          <cell r="B6455" t="str">
            <v>BOWL-7K478</v>
          </cell>
          <cell r="C6455" t="str">
            <v>NHD</v>
          </cell>
        </row>
        <row r="6456">
          <cell r="A6456" t="str">
            <v>SP-0000435</v>
          </cell>
          <cell r="B6456" t="str">
            <v>GOULDS IMPELLER-7K35</v>
          </cell>
          <cell r="C6456" t="str">
            <v>NHD</v>
          </cell>
        </row>
        <row r="6457">
          <cell r="A6457" t="str">
            <v>SP-0000436</v>
          </cell>
          <cell r="B6457" t="str">
            <v>MECHANICAL SEAL, C/SC/VITION-10K55</v>
          </cell>
          <cell r="C6457" t="str">
            <v>NHD</v>
          </cell>
        </row>
        <row r="6458">
          <cell r="A6458" t="str">
            <v>SP-0000437</v>
          </cell>
          <cell r="B6458" t="str">
            <v>KLIP RING-7K817</v>
          </cell>
          <cell r="C6458" t="str">
            <v>NHD</v>
          </cell>
        </row>
        <row r="6459">
          <cell r="A6459" t="str">
            <v>SP-0000438</v>
          </cell>
          <cell r="B6459" t="str">
            <v>GOULDS IMPELLER SHIM-BOX OF 12-7K155</v>
          </cell>
          <cell r="C6459" t="str">
            <v>NHD</v>
          </cell>
        </row>
        <row r="6460">
          <cell r="A6460" t="str">
            <v>SP-0000439</v>
          </cell>
          <cell r="B6460" t="str">
            <v>DIFFUSER-7K17</v>
          </cell>
          <cell r="C6460" t="str">
            <v>NHD</v>
          </cell>
        </row>
        <row r="6461">
          <cell r="A6461" t="str">
            <v>SP-0000440</v>
          </cell>
          <cell r="B6461" t="str">
            <v>Nozzle Packing Lokal</v>
          </cell>
          <cell r="C6461" t="str">
            <v>NHD</v>
          </cell>
        </row>
        <row r="6462">
          <cell r="A6462" t="str">
            <v>SP-0000441</v>
          </cell>
          <cell r="B6462" t="str">
            <v>Tandon Air Plastik uk. 650 L</v>
          </cell>
          <cell r="C6462" t="str">
            <v>NHD</v>
          </cell>
        </row>
        <row r="6463">
          <cell r="A6463" t="str">
            <v>SP-0000442</v>
          </cell>
          <cell r="B6463" t="str">
            <v>Tandon Air Plastik uk. 5300 L</v>
          </cell>
          <cell r="C6463" t="str">
            <v>NHD</v>
          </cell>
        </row>
        <row r="6464">
          <cell r="A6464" t="str">
            <v>SP-0000443</v>
          </cell>
          <cell r="B6464" t="str">
            <v>KAPASITOR 16 MIKRO</v>
          </cell>
          <cell r="C6464" t="str">
            <v>NHD</v>
          </cell>
        </row>
        <row r="6465">
          <cell r="A6465" t="str">
            <v>SP-0000444</v>
          </cell>
          <cell r="B6465" t="str">
            <v>LEM JEPANG</v>
          </cell>
          <cell r="C6465" t="str">
            <v>NHD</v>
          </cell>
        </row>
        <row r="6466">
          <cell r="A6466" t="str">
            <v>SP-0000445</v>
          </cell>
          <cell r="B6466" t="str">
            <v>CONNECTOR FS</v>
          </cell>
          <cell r="C6466" t="str">
            <v>NHD</v>
          </cell>
        </row>
        <row r="6467">
          <cell r="A6467" t="str">
            <v>SP-0000446</v>
          </cell>
          <cell r="B6467" t="str">
            <v>Kontaktor + Overload</v>
          </cell>
          <cell r="C6467" t="str">
            <v>NHD</v>
          </cell>
        </row>
        <row r="6468">
          <cell r="A6468" t="str">
            <v>SP-0000447</v>
          </cell>
          <cell r="B6468" t="str">
            <v>TOTAL HARDNESS TEST</v>
          </cell>
          <cell r="C6468" t="str">
            <v>NHD</v>
          </cell>
        </row>
        <row r="6469">
          <cell r="A6469" t="str">
            <v>SP-0000448</v>
          </cell>
          <cell r="B6469" t="str">
            <v>CHLORINE TEST</v>
          </cell>
          <cell r="C6469" t="str">
            <v>NHD</v>
          </cell>
        </row>
        <row r="6470">
          <cell r="A6470" t="str">
            <v>SP-0000449</v>
          </cell>
          <cell r="B6470" t="str">
            <v>POLYRETHANE TUBE 6,5x10mm</v>
          </cell>
          <cell r="C6470" t="str">
            <v>NHD</v>
          </cell>
        </row>
        <row r="6471">
          <cell r="A6471" t="str">
            <v>SP-0000450</v>
          </cell>
          <cell r="B6471" t="str">
            <v>NSF LLDPE TUBE 1/4</v>
          </cell>
          <cell r="C6471" t="str">
            <v>NHD</v>
          </cell>
        </row>
        <row r="6472">
          <cell r="A6472" t="str">
            <v>SP-0000451</v>
          </cell>
          <cell r="B6472" t="str">
            <v>PANEL BOX LISTRIK PLAT BESI 25 x 25</v>
          </cell>
          <cell r="C6472" t="str">
            <v>NHD</v>
          </cell>
        </row>
        <row r="6473">
          <cell r="A6473" t="str">
            <v>SP-0000452</v>
          </cell>
          <cell r="B6473" t="str">
            <v>KRAN STAINLESS 1/2"</v>
          </cell>
          <cell r="C6473" t="str">
            <v>NHD</v>
          </cell>
        </row>
        <row r="6474">
          <cell r="A6474" t="str">
            <v>SP-0000453</v>
          </cell>
          <cell r="B6474" t="str">
            <v>KABEL NYY 3x1,5</v>
          </cell>
          <cell r="C6474" t="str">
            <v>NHD</v>
          </cell>
        </row>
        <row r="6475">
          <cell r="A6475" t="str">
            <v>SP-0000454</v>
          </cell>
          <cell r="B6475" t="str">
            <v>CONNECTOR SELANG AIR Y (2 ARAH)</v>
          </cell>
          <cell r="C6475" t="str">
            <v>NHD</v>
          </cell>
        </row>
        <row r="6476">
          <cell r="A6476" t="str">
            <v>SP-0000455</v>
          </cell>
          <cell r="B6476" t="str">
            <v>DOUBLE NEPEL 3/4 x 1/2 SS</v>
          </cell>
          <cell r="C6476" t="str">
            <v>NHD</v>
          </cell>
        </row>
        <row r="6477">
          <cell r="A6477" t="str">
            <v>SP-0000456</v>
          </cell>
          <cell r="B6477" t="str">
            <v>TANGKI SS 1100 LITER+DUDUKAN</v>
          </cell>
          <cell r="C6477" t="str">
            <v>NHD</v>
          </cell>
        </row>
        <row r="6478">
          <cell r="A6478" t="str">
            <v>SP-0000457</v>
          </cell>
          <cell r="B6478" t="str">
            <v>KAPASITOR 50 Mikro</v>
          </cell>
          <cell r="C6478" t="str">
            <v>NHD</v>
          </cell>
        </row>
        <row r="6479">
          <cell r="A6479" t="str">
            <v>SP-0000458</v>
          </cell>
          <cell r="B6479" t="str">
            <v>KAPASITOR 750-800 Mikro</v>
          </cell>
          <cell r="C6479" t="str">
            <v>NHD</v>
          </cell>
        </row>
        <row r="6480">
          <cell r="A6480" t="str">
            <v>SP-0000459</v>
          </cell>
          <cell r="B6480" t="str">
            <v>VLOCK RING TORRENT 1 x 3/4</v>
          </cell>
          <cell r="C6480" t="str">
            <v>NHD</v>
          </cell>
        </row>
        <row r="6481">
          <cell r="A6481" t="str">
            <v>SP-0000460</v>
          </cell>
          <cell r="B6481" t="str">
            <v>CONTROLLER TDS PANEL MNT PS 100 HM DIGITAL</v>
          </cell>
          <cell r="C6481" t="str">
            <v>NHD</v>
          </cell>
        </row>
        <row r="6482">
          <cell r="A6482" t="str">
            <v>SP-0000461</v>
          </cell>
          <cell r="B6482" t="str">
            <v>BALL VALVE SS + HOSE NIPPLE SS 304 SIZE 3/8 INCH</v>
          </cell>
          <cell r="C6482" t="str">
            <v>NHD</v>
          </cell>
        </row>
        <row r="6483">
          <cell r="A6483" t="str">
            <v>SP-0000500</v>
          </cell>
          <cell r="B6483" t="str">
            <v>VLOCK RING TORRENT 3/4 X 1/2</v>
          </cell>
          <cell r="C6483" t="str">
            <v>NHD</v>
          </cell>
        </row>
        <row r="6484">
          <cell r="A6484" t="str">
            <v>SP-0000501</v>
          </cell>
          <cell r="B6484" t="str">
            <v>Tandon 600 Liter</v>
          </cell>
          <cell r="C6484" t="str">
            <v>NHD</v>
          </cell>
        </row>
        <row r="6485">
          <cell r="A6485" t="str">
            <v>SP-0000502</v>
          </cell>
          <cell r="B6485" t="str">
            <v>TANDON STAINLESS 1000 LITER + DUDUKAN</v>
          </cell>
          <cell r="C6485" t="str">
            <v>NHD</v>
          </cell>
        </row>
        <row r="6486">
          <cell r="A6486" t="str">
            <v>SP-0000503</v>
          </cell>
          <cell r="B6486" t="str">
            <v>CONTROLLER TDS PANEL MNT PS 100 HM DIGITAL</v>
          </cell>
          <cell r="C6486" t="str">
            <v>NHD</v>
          </cell>
        </row>
        <row r="6487">
          <cell r="A6487" t="str">
            <v>SP-0000504</v>
          </cell>
          <cell r="B6487" t="str">
            <v>TANGKI PLASTIK 550 LITER</v>
          </cell>
          <cell r="C6487" t="str">
            <v>NHD</v>
          </cell>
        </row>
        <row r="6488">
          <cell r="A6488" t="str">
            <v>SP10</v>
          </cell>
          <cell r="B6488" t="str">
            <v>INFUSION PUMP SP-10</v>
          </cell>
          <cell r="C6488" t="str">
            <v>NHD</v>
          </cell>
        </row>
        <row r="6489">
          <cell r="A6489" t="str">
            <v>SP-60</v>
          </cell>
          <cell r="B6489" t="str">
            <v>SYRINGE PUMP SP-60</v>
          </cell>
          <cell r="C6489" t="str">
            <v>NHD</v>
          </cell>
        </row>
        <row r="6490">
          <cell r="A6490" t="str">
            <v>S-PLASTIC WRISTBAND</v>
          </cell>
          <cell r="B6490" t="str">
            <v>SAMPLE PLASTIC WRISTBAND</v>
          </cell>
          <cell r="C6490" t="str">
            <v>NHD</v>
          </cell>
        </row>
        <row r="6491">
          <cell r="A6491" t="str">
            <v>S-PR-325100-10ST</v>
          </cell>
          <cell r="B6491" t="str">
            <v>SAMPLE NIPRO PREMIER BLOOD GLUCOSE TEST STRIP(10T)</v>
          </cell>
          <cell r="C6491" t="str">
            <v>NHD</v>
          </cell>
        </row>
        <row r="6492">
          <cell r="A6492" t="str">
            <v>S-PR-325104-50ST</v>
          </cell>
          <cell r="B6492" t="str">
            <v>Sample NIPRO Premier Blood Glucose Test Strip</v>
          </cell>
          <cell r="C6492" t="str">
            <v>NHD</v>
          </cell>
        </row>
        <row r="6493">
          <cell r="A6493" t="str">
            <v>SP-REDUCT</v>
          </cell>
          <cell r="B6493" t="str">
            <v>REDUCTION VALVE CHROME PLATED</v>
          </cell>
          <cell r="C6493" t="str">
            <v>NHD</v>
          </cell>
        </row>
        <row r="6494">
          <cell r="A6494" t="str">
            <v>S-PSLABEL</v>
          </cell>
          <cell r="B6494" t="str">
            <v>SAMPLE HEALTHCARE LABEL</v>
          </cell>
          <cell r="C6494" t="str">
            <v>NHD</v>
          </cell>
        </row>
        <row r="6495">
          <cell r="A6495" t="str">
            <v>SP-SMART</v>
          </cell>
          <cell r="B6495" t="str">
            <v>SYRINGE PUMP SMARTFUSION SP-SMART</v>
          </cell>
          <cell r="C6495" t="str">
            <v>NHD</v>
          </cell>
        </row>
        <row r="6496">
          <cell r="A6496" t="str">
            <v>S-PTMC-26</v>
          </cell>
          <cell r="B6496" t="str">
            <v>Sample PTMC-26 (PTMC-26 INOUE BALLOON)</v>
          </cell>
          <cell r="C6496" t="str">
            <v>NHD</v>
          </cell>
        </row>
        <row r="6497">
          <cell r="A6497" t="str">
            <v>SRU-HDP 1</v>
          </cell>
          <cell r="B6497" t="str">
            <v>SRU-HD PACK 1</v>
          </cell>
          <cell r="C6497" t="str">
            <v>NHD</v>
          </cell>
        </row>
        <row r="6498">
          <cell r="A6498" t="str">
            <v>SRU-HDP 2</v>
          </cell>
          <cell r="B6498" t="str">
            <v>SRU-HD PACK 2</v>
          </cell>
          <cell r="C6498" t="str">
            <v>NHD</v>
          </cell>
        </row>
        <row r="6499">
          <cell r="A6499" t="str">
            <v>SRU-HDP 3</v>
          </cell>
          <cell r="B6499" t="str">
            <v>SRU-HD PACK 3</v>
          </cell>
          <cell r="C6499" t="str">
            <v>NHD</v>
          </cell>
        </row>
        <row r="6500">
          <cell r="A6500" t="str">
            <v>SS-525</v>
          </cell>
          <cell r="B6500" t="str">
            <v>SENSITIVE STETHOSCOPE SS-525</v>
          </cell>
          <cell r="C6500" t="str">
            <v>NHD</v>
          </cell>
        </row>
        <row r="6501">
          <cell r="A6501" t="str">
            <v>S-SF-05E</v>
          </cell>
          <cell r="B6501" t="str">
            <v>SAMPLE SUREFLUX-05E LC GA PP</v>
          </cell>
          <cell r="C6501" t="str">
            <v>NHD</v>
          </cell>
        </row>
        <row r="6502">
          <cell r="A6502" t="str">
            <v>S-SF-05L</v>
          </cell>
          <cell r="B6502" t="str">
            <v>SAMPLE SUREFLUX-05L LC GA PP</v>
          </cell>
          <cell r="C6502" t="str">
            <v>NHD</v>
          </cell>
        </row>
        <row r="6503">
          <cell r="A6503" t="str">
            <v>S-SF-07E</v>
          </cell>
          <cell r="B6503" t="str">
            <v>SAMPLE SUREFLUX-07E LC GA PP</v>
          </cell>
          <cell r="C6503" t="str">
            <v>NHD</v>
          </cell>
        </row>
        <row r="6504">
          <cell r="A6504" t="str">
            <v>S-SF-07L</v>
          </cell>
          <cell r="B6504" t="str">
            <v>SAMPLE SUREFLUX-07L LC GA PP</v>
          </cell>
          <cell r="C6504" t="str">
            <v>NHD</v>
          </cell>
        </row>
        <row r="6505">
          <cell r="A6505" t="str">
            <v>S-SF-09E</v>
          </cell>
          <cell r="B6505" t="str">
            <v>SAMPLE SUREFLUX-09E LC GA PP</v>
          </cell>
          <cell r="C6505" t="str">
            <v>NHD</v>
          </cell>
        </row>
        <row r="6506">
          <cell r="A6506" t="str">
            <v>S-SF-09L</v>
          </cell>
          <cell r="B6506" t="str">
            <v>SAMPLE SUREFLUX-09L LC GA PP</v>
          </cell>
          <cell r="C6506" t="str">
            <v>NHD</v>
          </cell>
        </row>
        <row r="6507">
          <cell r="A6507" t="str">
            <v>S-SG-CLFINE</v>
          </cell>
          <cell r="B6507" t="str">
            <v>SAMPLE IONLESS CLFINE HYPOCHLOROUS WATER</v>
          </cell>
          <cell r="C6507" t="str">
            <v>NHD</v>
          </cell>
        </row>
        <row r="6508">
          <cell r="A6508" t="str">
            <v>S-SG-EH-N-31818</v>
          </cell>
          <cell r="B6508" t="str">
            <v>SAMPLE ULTRASONIC HUMIDIFIER</v>
          </cell>
          <cell r="C6508" t="str">
            <v>NHD</v>
          </cell>
        </row>
        <row r="6509">
          <cell r="A6509" t="str">
            <v>S-TA-LA001</v>
          </cell>
          <cell r="B6509" t="str">
            <v>SAMPLE AMTEC CITRIX-LA</v>
          </cell>
          <cell r="C6509" t="str">
            <v>NHD</v>
          </cell>
        </row>
        <row r="6510">
          <cell r="A6510" t="str">
            <v>STANDART PLESTER</v>
          </cell>
          <cell r="B6510" t="str">
            <v>STANDART PLESTER</v>
          </cell>
          <cell r="C6510" t="str">
            <v>NHD</v>
          </cell>
        </row>
        <row r="6511">
          <cell r="A6511" t="str">
            <v>S-TA-R7-001</v>
          </cell>
          <cell r="B6511" t="str">
            <v>SAMPLE AMTEC SANACIDE-R7</v>
          </cell>
          <cell r="C6511" t="str">
            <v>NHD</v>
          </cell>
        </row>
        <row r="6512">
          <cell r="A6512" t="str">
            <v>STERILE FIELD</v>
          </cell>
          <cell r="B6512" t="str">
            <v>STERILE FIELD</v>
          </cell>
          <cell r="C6512" t="str">
            <v>NHD</v>
          </cell>
        </row>
        <row r="6513">
          <cell r="A6513" t="str">
            <v>SURDIAL</v>
          </cell>
          <cell r="B6513" t="str">
            <v>MESIN HD - SURDIAL</v>
          </cell>
          <cell r="C6513" t="str">
            <v>NHD</v>
          </cell>
        </row>
        <row r="6514">
          <cell r="A6514" t="str">
            <v>SURDIAL-55</v>
          </cell>
          <cell r="B6514" t="str">
            <v>MESIN HD SURDIAL-55</v>
          </cell>
          <cell r="C6514" t="str">
            <v>NHD</v>
          </cell>
        </row>
        <row r="6515">
          <cell r="A6515" t="str">
            <v>SURDIAL-55 PLUS</v>
          </cell>
          <cell r="B6515" t="str">
            <v>MESIN HD SURDIAL-55 PLUS</v>
          </cell>
          <cell r="C6515" t="str">
            <v>NHD</v>
          </cell>
        </row>
        <row r="6516">
          <cell r="A6516" t="str">
            <v>SURDIAL-55 PLUSB</v>
          </cell>
          <cell r="B6516" t="str">
            <v>MESIN SURDIAL 55 PLUS+NIBP+CF</v>
          </cell>
          <cell r="C6516" t="str">
            <v>NHD</v>
          </cell>
        </row>
        <row r="6517">
          <cell r="A6517" t="str">
            <v>SURDIAL-55 PLUSC</v>
          </cell>
          <cell r="B6517" t="str">
            <v>SURDIAL 55 PLUS+NIBP</v>
          </cell>
          <cell r="C6517" t="str">
            <v>NHD</v>
          </cell>
        </row>
        <row r="6518">
          <cell r="A6518" t="str">
            <v>SURDIAL-55 S</v>
          </cell>
          <cell r="B6518" t="str">
            <v>MESIN HD SURDIAL-SLED</v>
          </cell>
          <cell r="C6518" t="str">
            <v>NHD</v>
          </cell>
        </row>
        <row r="6519">
          <cell r="A6519" t="str">
            <v>SUREFUSION</v>
          </cell>
          <cell r="B6519" t="str">
            <v>SUREFUSION (INFUSION PUMP)</v>
          </cell>
          <cell r="C6519" t="str">
            <v>NHD</v>
          </cell>
        </row>
        <row r="6520">
          <cell r="A6520" t="str">
            <v>SXQ-1F</v>
          </cell>
          <cell r="B6520" t="str">
            <v>NIPRO Blood Tranfusion Set</v>
          </cell>
          <cell r="C6520" t="str">
            <v>NHD</v>
          </cell>
        </row>
        <row r="6521">
          <cell r="A6521" t="str">
            <v>S-XR-700S</v>
          </cell>
          <cell r="B6521" t="str">
            <v>SAMPLE X-RAY EXTRA WIDE (METALLIC SILVER)</v>
          </cell>
          <cell r="C6521" t="str">
            <v>NHD</v>
          </cell>
        </row>
        <row r="6522">
          <cell r="A6522" t="str">
            <v>TB320-12</v>
          </cell>
          <cell r="B6522" t="str">
            <v>TRIBAND SERIES TB320-12 PINK</v>
          </cell>
          <cell r="C6522" t="str">
            <v>NHD</v>
          </cell>
        </row>
        <row r="6523">
          <cell r="A6523" t="str">
            <v>TB320-18</v>
          </cell>
          <cell r="B6523" t="str">
            <v>TRIBAND SERIES TB320-18 LIGHT BLUE</v>
          </cell>
          <cell r="C6523" t="str">
            <v>NHD</v>
          </cell>
        </row>
        <row r="6524">
          <cell r="A6524" t="str">
            <v>TF4D2</v>
          </cell>
          <cell r="B6524" t="str">
            <v>BLOOD TRANSFUSION SET</v>
          </cell>
          <cell r="C6524" t="str">
            <v>NHD</v>
          </cell>
        </row>
        <row r="6525">
          <cell r="A6525" t="str">
            <v>TF4D2-C</v>
          </cell>
          <cell r="B6525" t="str">
            <v>BLOOD TRANSFUSION SET - C</v>
          </cell>
          <cell r="C6525" t="str">
            <v>NHD</v>
          </cell>
        </row>
        <row r="6526">
          <cell r="A6526" t="str">
            <v>THERM-C</v>
          </cell>
          <cell r="B6526" t="str">
            <v>THERMOMETER CELCIUS [CR.W23]</v>
          </cell>
          <cell r="C6526" t="str">
            <v>NHD</v>
          </cell>
        </row>
        <row r="6527">
          <cell r="A6527" t="str">
            <v>THERM-L</v>
          </cell>
          <cell r="B6527" t="str">
            <v>THERMOMETER CELCIUS (LARGE)</v>
          </cell>
          <cell r="C6527" t="str">
            <v>NHD</v>
          </cell>
        </row>
        <row r="6528">
          <cell r="A6528" t="str">
            <v>TITAN 1800</v>
          </cell>
          <cell r="B6528" t="str">
            <v>MESIN RO TITAN 1800</v>
          </cell>
          <cell r="C6528" t="str">
            <v>NHD</v>
          </cell>
        </row>
        <row r="6529">
          <cell r="A6529" t="str">
            <v>TITAN 4000</v>
          </cell>
          <cell r="B6529" t="str">
            <v>MESIN RO TITAN 4000</v>
          </cell>
          <cell r="C6529" t="str">
            <v>NHD</v>
          </cell>
        </row>
        <row r="6530">
          <cell r="A6530" t="str">
            <v>TITAN 5000</v>
          </cell>
          <cell r="B6530" t="str">
            <v>MESIN RO TITAN 5000</v>
          </cell>
          <cell r="C6530" t="str">
            <v>NHD</v>
          </cell>
        </row>
        <row r="6531">
          <cell r="A6531" t="str">
            <v>TITAN-1500</v>
          </cell>
          <cell r="B6531" t="str">
            <v>TITAN 1500 GPD RO SYSTEM</v>
          </cell>
          <cell r="C6531" t="str">
            <v>NHD</v>
          </cell>
        </row>
        <row r="6532">
          <cell r="A6532" t="str">
            <v>TITAN-1800</v>
          </cell>
          <cell r="B6532" t="str">
            <v>TITAN 1800 GPD RO SYSTEM</v>
          </cell>
          <cell r="C6532" t="str">
            <v>NHD</v>
          </cell>
        </row>
        <row r="6533">
          <cell r="A6533" t="str">
            <v>TITAN-2500</v>
          </cell>
          <cell r="B6533" t="str">
            <v>TITAN 2500 GPD RO SYSTEM</v>
          </cell>
          <cell r="C6533" t="str">
            <v>NHD</v>
          </cell>
        </row>
        <row r="6534">
          <cell r="A6534" t="str">
            <v>TITAN-4000</v>
          </cell>
          <cell r="B6534" t="str">
            <v>TITAN 4000 GPD RO SYSTEM</v>
          </cell>
          <cell r="C6534" t="str">
            <v>NHD</v>
          </cell>
        </row>
        <row r="6535">
          <cell r="A6535" t="str">
            <v>TITAN-5000</v>
          </cell>
          <cell r="B6535" t="str">
            <v>TITAN 5000 GPD RO SYSTEM</v>
          </cell>
          <cell r="C6535" t="str">
            <v>NHD</v>
          </cell>
        </row>
        <row r="6536">
          <cell r="A6536" t="str">
            <v>TOPPURE SMART 60AC</v>
          </cell>
          <cell r="B6536" t="str">
            <v>RO PORTABLE TOPPURE SMART 60AC</v>
          </cell>
          <cell r="C6536" t="str">
            <v>NHD</v>
          </cell>
        </row>
        <row r="6537">
          <cell r="A6537" t="str">
            <v>TOPPURE SMART 60AC P</v>
          </cell>
          <cell r="B6537" t="str">
            <v>RO PORTABLE TOPPURE SMART 60AC PLUS</v>
          </cell>
          <cell r="C6537" t="str">
            <v>NHD</v>
          </cell>
        </row>
        <row r="6538">
          <cell r="A6538" t="str">
            <v>TR-BTK-TO35120</v>
          </cell>
          <cell r="B6538" t="str">
            <v>TR-BTK-TO35120 (TRITON BTK-TO 35/120)</v>
          </cell>
          <cell r="C6538" t="str">
            <v>NHD</v>
          </cell>
        </row>
        <row r="6539">
          <cell r="A6539" t="str">
            <v>TR-BTK-TO35210</v>
          </cell>
          <cell r="B6539" t="str">
            <v>TR-BTK-TO35210 (TRITON BTK-TO 35/210)</v>
          </cell>
          <cell r="C6539" t="str">
            <v>NHD</v>
          </cell>
        </row>
        <row r="6540">
          <cell r="A6540" t="str">
            <v>TR-BTK-TO40120</v>
          </cell>
          <cell r="B6540" t="str">
            <v>TR-BTK-TO40120 (TRITON BTK-TO 40/120)</v>
          </cell>
          <cell r="C6540" t="str">
            <v>NHD</v>
          </cell>
        </row>
        <row r="6541">
          <cell r="A6541" t="str">
            <v>TR-BTK-TO40210</v>
          </cell>
          <cell r="B6541" t="str">
            <v>TR-BTK-TO40210 (TRITON BTK-TO 40/210)</v>
          </cell>
          <cell r="C6541" t="str">
            <v>NHD</v>
          </cell>
        </row>
        <row r="6542">
          <cell r="A6542" t="str">
            <v>TR-BTK-TO45120</v>
          </cell>
          <cell r="B6542" t="str">
            <v>TR-BTK-TO45120 (TRITON BTK-TO 45/120)</v>
          </cell>
          <cell r="C6542" t="str">
            <v>NHD</v>
          </cell>
        </row>
        <row r="6543">
          <cell r="A6543" t="str">
            <v>TR-BTK-TO45210</v>
          </cell>
          <cell r="B6543" t="str">
            <v>TR-BTK-TO45210 (TRITON BTK-TO 45/210)</v>
          </cell>
          <cell r="C6543" t="str">
            <v>NHD</v>
          </cell>
        </row>
        <row r="6544">
          <cell r="A6544" t="str">
            <v>TVAC-6FR</v>
          </cell>
          <cell r="B6544" t="str">
            <v>TVAC THROMBECTOMY CATHETER 6FR</v>
          </cell>
          <cell r="C6544" t="str">
            <v>NHD</v>
          </cell>
        </row>
        <row r="6545">
          <cell r="A6545" t="str">
            <v>UB2</v>
          </cell>
          <cell r="B6545" t="str">
            <v>URINE BAG 2 L WITH HANGER</v>
          </cell>
          <cell r="C6545" t="str">
            <v>NHD</v>
          </cell>
        </row>
        <row r="6546">
          <cell r="A6546" t="str">
            <v>UF-CF-609-N</v>
          </cell>
          <cell r="B6546" t="str">
            <v>ULTRA FILTER CF 609 N</v>
          </cell>
          <cell r="C6546" t="str">
            <v>NHD</v>
          </cell>
        </row>
        <row r="6547">
          <cell r="A6547" t="str">
            <v>ULTRAFIX</v>
          </cell>
          <cell r="B6547" t="str">
            <v>ULTRAFIX</v>
          </cell>
          <cell r="C6547" t="str">
            <v>NHD</v>
          </cell>
        </row>
        <row r="6548">
          <cell r="A6548" t="str">
            <v>UNDERPAD</v>
          </cell>
          <cell r="B6548" t="str">
            <v>UNDERPAD</v>
          </cell>
          <cell r="C6548" t="str">
            <v>NHD</v>
          </cell>
        </row>
        <row r="6549">
          <cell r="A6549" t="str">
            <v>VB420P-11</v>
          </cell>
          <cell r="B6549" t="str">
            <v>VINYL BAND WHITE 420P-11</v>
          </cell>
          <cell r="C6549" t="str">
            <v>NHD</v>
          </cell>
        </row>
        <row r="6550">
          <cell r="A6550" t="str">
            <v>VB420P-20</v>
          </cell>
          <cell r="B6550" t="str">
            <v>VISABAND P420-20/BLACK</v>
          </cell>
          <cell r="C6550" t="str">
            <v>NHD</v>
          </cell>
        </row>
        <row r="6551">
          <cell r="A6551" t="str">
            <v>VB420P-27</v>
          </cell>
          <cell r="B6551" t="str">
            <v>VISA BAND VB420P-27 HOT PINK</v>
          </cell>
          <cell r="C6551" t="str">
            <v>NHD</v>
          </cell>
        </row>
        <row r="6552">
          <cell r="A6552" t="str">
            <v>VB420P-28</v>
          </cell>
          <cell r="B6552" t="str">
            <v>VISA BAND VB420P-28 WILD LEMON</v>
          </cell>
          <cell r="C6552" t="str">
            <v>NHD</v>
          </cell>
        </row>
        <row r="6553">
          <cell r="A6553" t="str">
            <v>VB420P-32</v>
          </cell>
          <cell r="B6553" t="str">
            <v>VISA BAND VB420P-32 ELECTRIC BLUE</v>
          </cell>
          <cell r="C6553" t="str">
            <v>NHD</v>
          </cell>
        </row>
        <row r="6554">
          <cell r="A6554" t="str">
            <v>VB420P-33</v>
          </cell>
          <cell r="B6554" t="str">
            <v>VISA BAND VB420P-33 AMAZING GRAPE</v>
          </cell>
          <cell r="C6554" t="str">
            <v>NHD</v>
          </cell>
        </row>
        <row r="6555">
          <cell r="A6555" t="str">
            <v>VB420P-40</v>
          </cell>
          <cell r="B6555" t="str">
            <v>VISA BAND VBP420-40 ROCKET RED</v>
          </cell>
          <cell r="C6555" t="str">
            <v>NHD</v>
          </cell>
        </row>
        <row r="6556">
          <cell r="A6556" t="str">
            <v>VB420P-41</v>
          </cell>
          <cell r="B6556" t="str">
            <v>VISA BAND VB420P-41 LIVELY LIME</v>
          </cell>
          <cell r="C6556" t="str">
            <v>NHD</v>
          </cell>
        </row>
        <row r="6557">
          <cell r="A6557" t="str">
            <v>VB430P-11BT</v>
          </cell>
          <cell r="B6557" t="str">
            <v>VISA BAND VB430P-11 WHITE-BALI TROPIC</v>
          </cell>
          <cell r="C6557" t="str">
            <v>NHD</v>
          </cell>
        </row>
        <row r="6558">
          <cell r="A6558" t="str">
            <v>VB430P-27</v>
          </cell>
          <cell r="B6558" t="str">
            <v>VISA BAND VB430P-27 HOT PINK</v>
          </cell>
          <cell r="C6558" t="str">
            <v>NHD</v>
          </cell>
        </row>
        <row r="6559">
          <cell r="A6559" t="str">
            <v>VB430P-28</v>
          </cell>
          <cell r="B6559" t="str">
            <v>VISA BAND VB430P-28 WILD LEMON</v>
          </cell>
          <cell r="C6559" t="str">
            <v>NHD</v>
          </cell>
        </row>
        <row r="6560">
          <cell r="A6560" t="str">
            <v>VB430P-33</v>
          </cell>
          <cell r="B6560" t="str">
            <v>VISA BAND VB430P-33 AMAZING GRAPE</v>
          </cell>
          <cell r="C6560" t="str">
            <v>NHD</v>
          </cell>
        </row>
        <row r="6561">
          <cell r="A6561" t="str">
            <v>VB430P-41</v>
          </cell>
          <cell r="B6561" t="str">
            <v>VISA BAND VBP430-41 LIVELY LIME</v>
          </cell>
          <cell r="C6561" t="str">
            <v>NHD</v>
          </cell>
        </row>
        <row r="6562">
          <cell r="A6562" t="str">
            <v>VB430P-50</v>
          </cell>
          <cell r="B6562" t="str">
            <v>VISA NARROW BAND VB430P-50 SILVER PLAIN</v>
          </cell>
          <cell r="C6562" t="str">
            <v>NHD</v>
          </cell>
        </row>
        <row r="6563">
          <cell r="A6563" t="str">
            <v>VB4480-50</v>
          </cell>
          <cell r="B6563" t="str">
            <v>VISA BAND VB4480-50 GLITTER SILVER</v>
          </cell>
          <cell r="C6563" t="str">
            <v>NHD</v>
          </cell>
        </row>
        <row r="6564">
          <cell r="A6564" t="str">
            <v>VB4480-51</v>
          </cell>
          <cell r="B6564" t="str">
            <v>VISA BAND VB4480-51 GLITTER GOLD</v>
          </cell>
          <cell r="C6564" t="str">
            <v>NHD</v>
          </cell>
        </row>
        <row r="6565">
          <cell r="A6565" t="str">
            <v>VB470P-22</v>
          </cell>
          <cell r="B6565" t="str">
            <v>VISA SUPER WIDE BAND VB470P-22 KELLY GREEN</v>
          </cell>
          <cell r="C6565" t="str">
            <v>NHD</v>
          </cell>
        </row>
        <row r="6566">
          <cell r="A6566" t="str">
            <v>VB-VIP20</v>
          </cell>
          <cell r="B6566" t="str">
            <v>VISABAND VIP-20 (BLACK)</v>
          </cell>
          <cell r="C6566" t="str">
            <v>NHD</v>
          </cell>
        </row>
        <row r="6567">
          <cell r="A6567" t="str">
            <v>V-DLC-NADLPC15-S</v>
          </cell>
          <cell r="B6567" t="str">
            <v>DOUBLE LUMEN CATH 12x15 - CURVED w/ SCALPEL</v>
          </cell>
          <cell r="C6567" t="str">
            <v>NHD</v>
          </cell>
        </row>
        <row r="6568">
          <cell r="A6568" t="str">
            <v>VF-0045</v>
          </cell>
          <cell r="B6568" t="str">
            <v>Solenoid Valve 2/2 Way</v>
          </cell>
          <cell r="C6568" t="str">
            <v>NHD</v>
          </cell>
        </row>
        <row r="6569">
          <cell r="A6569" t="str">
            <v>VF-0062</v>
          </cell>
          <cell r="B6569" t="str">
            <v>NEW VERSION SOLENOID VALVE HARD SEAL PLUNGER</v>
          </cell>
          <cell r="C6569" t="str">
            <v>NHD</v>
          </cell>
        </row>
        <row r="6570">
          <cell r="A6570" t="str">
            <v>VIAL02</v>
          </cell>
          <cell r="B6570" t="str">
            <v>Vial 2 ml</v>
          </cell>
          <cell r="C6570" t="str">
            <v>NHD</v>
          </cell>
        </row>
        <row r="6571">
          <cell r="A6571" t="str">
            <v>VIAL05</v>
          </cell>
          <cell r="B6571" t="str">
            <v>Vial 5 ml</v>
          </cell>
          <cell r="C6571" t="str">
            <v>NHD</v>
          </cell>
        </row>
        <row r="6572">
          <cell r="A6572" t="str">
            <v>VIAL10-CH</v>
          </cell>
          <cell r="B6572" t="str">
            <v>Vial 10 ml (CH)</v>
          </cell>
          <cell r="C6572" t="str">
            <v>NHD</v>
          </cell>
        </row>
        <row r="6573">
          <cell r="A6573" t="str">
            <v>VIAL20</v>
          </cell>
          <cell r="B6573" t="str">
            <v>Vial 20 ml</v>
          </cell>
          <cell r="C6573" t="str">
            <v>NHD</v>
          </cell>
        </row>
        <row r="6574">
          <cell r="A6574" t="str">
            <v>W-CATH-1832</v>
          </cell>
          <cell r="B6574" t="str">
            <v>WING CATHETER 18GX1 1/4"/1832</v>
          </cell>
          <cell r="C6574" t="str">
            <v>NHD</v>
          </cell>
        </row>
        <row r="6575">
          <cell r="A6575" t="str">
            <v>W-CATH-1832-N</v>
          </cell>
          <cell r="B6575" t="str">
            <v>WING CATHETER 18GX1 1/4"/1832-N-PU</v>
          </cell>
          <cell r="C6575" t="str">
            <v>NHD</v>
          </cell>
        </row>
        <row r="6576">
          <cell r="A6576" t="str">
            <v>W-CATH-1832-N-E</v>
          </cell>
          <cell r="B6576" t="str">
            <v>WING CATHETER 18GX1 1/4"/1832 ETFE</v>
          </cell>
          <cell r="C6576" t="str">
            <v>NHD</v>
          </cell>
        </row>
        <row r="6577">
          <cell r="A6577" t="str">
            <v>W-CATH-2032</v>
          </cell>
          <cell r="B6577" t="str">
            <v>WING CATHETER 20GX1 1/4"/2032</v>
          </cell>
          <cell r="C6577" t="str">
            <v>NHD</v>
          </cell>
        </row>
        <row r="6578">
          <cell r="A6578" t="str">
            <v>W-CATH-2032-N</v>
          </cell>
          <cell r="B6578" t="str">
            <v>WING CATHETER 20GX1 1/4"/2032</v>
          </cell>
          <cell r="C6578" t="str">
            <v>NHD</v>
          </cell>
        </row>
        <row r="6579">
          <cell r="A6579" t="str">
            <v>W-CATH-2032-N-E</v>
          </cell>
          <cell r="B6579" t="str">
            <v>WING CATHETER 20GX1 1/4"/2032 ETFE</v>
          </cell>
          <cell r="C6579" t="str">
            <v>NHD</v>
          </cell>
        </row>
        <row r="6580">
          <cell r="A6580" t="str">
            <v>W-CATH-2225</v>
          </cell>
          <cell r="B6580" t="str">
            <v>WING CATHETER 22GX1"/2225</v>
          </cell>
          <cell r="C6580" t="str">
            <v>NHD</v>
          </cell>
        </row>
        <row r="6581">
          <cell r="A6581" t="str">
            <v>W-CATH-2225-N</v>
          </cell>
          <cell r="B6581" t="str">
            <v>WING CATHETER 22G x 1"</v>
          </cell>
          <cell r="C6581" t="str">
            <v>NHD</v>
          </cell>
        </row>
        <row r="6582">
          <cell r="A6582" t="str">
            <v>W-CATH-2225-N-E</v>
          </cell>
          <cell r="B6582" t="str">
            <v>WING CATHETER 22G x 1 ETFE"</v>
          </cell>
          <cell r="C6582" t="str">
            <v>NHD</v>
          </cell>
        </row>
        <row r="6583">
          <cell r="A6583" t="str">
            <v>W-CATH-2420</v>
          </cell>
          <cell r="B6583" t="str">
            <v>WING CATHETER 24G x 3/4"</v>
          </cell>
          <cell r="C6583" t="str">
            <v>NHD</v>
          </cell>
        </row>
        <row r="6584">
          <cell r="A6584" t="str">
            <v>W-CATH-2425</v>
          </cell>
          <cell r="B6584" t="str">
            <v>WING CATHETER 24G x 1"</v>
          </cell>
          <cell r="C6584" t="str">
            <v>NHD</v>
          </cell>
        </row>
        <row r="6585">
          <cell r="A6585" t="str">
            <v>W-CATH-2425-N</v>
          </cell>
          <cell r="B6585" t="str">
            <v>WING CATHETER 24G x 1" N</v>
          </cell>
          <cell r="C6585" t="str">
            <v>NHD</v>
          </cell>
        </row>
        <row r="6586">
          <cell r="A6586" t="str">
            <v>W-CATH-2425-N-E</v>
          </cell>
          <cell r="B6586" t="str">
            <v>WING CATHETER 24G x 1 ETFE"</v>
          </cell>
          <cell r="C6586" t="str">
            <v>NHD</v>
          </cell>
        </row>
        <row r="6587">
          <cell r="A6587" t="str">
            <v>WIDA NS 500 M</v>
          </cell>
          <cell r="B6587" t="str">
            <v>Wida Ns 500 M-X</v>
          </cell>
          <cell r="C6587" t="str">
            <v>NHD</v>
          </cell>
        </row>
        <row r="6588">
          <cell r="A6588" t="str">
            <v>WIDA NS-500 M</v>
          </cell>
          <cell r="B6588" t="str">
            <v>Wida NS 500</v>
          </cell>
          <cell r="C6588" t="str">
            <v>NHD</v>
          </cell>
        </row>
        <row r="6589">
          <cell r="A6589" t="str">
            <v>X0284</v>
          </cell>
          <cell r="B6589" t="str">
            <v>BLOOD LINE TYPE X0284</v>
          </cell>
          <cell r="C6589" t="str">
            <v>NHD</v>
          </cell>
        </row>
        <row r="6590">
          <cell r="A6590" t="str">
            <v>XO348</v>
          </cell>
          <cell r="B6590" t="str">
            <v>BLOOD LINE XO348 A/V</v>
          </cell>
          <cell r="C6590" t="str">
            <v>NHD</v>
          </cell>
        </row>
        <row r="6591">
          <cell r="A6591" t="str">
            <v>XR-700B</v>
          </cell>
          <cell r="B6591" t="str">
            <v>XR-700B (X-RAY ULTRA LIGHT 700B - METALLIC BLUE)</v>
          </cell>
          <cell r="C6591" t="str">
            <v>NHD</v>
          </cell>
        </row>
        <row r="6592">
          <cell r="A6592" t="str">
            <v>XR-700R</v>
          </cell>
          <cell r="B6592" t="str">
            <v>XR-700R (X-RAY ULTRA LIGHT 700R - METALLIC RED)</v>
          </cell>
          <cell r="C6592" t="str">
            <v>NHD</v>
          </cell>
        </row>
        <row r="6593">
          <cell r="A6593" t="str">
            <v>XR-700S</v>
          </cell>
          <cell r="B6593" t="str">
            <v>XR-700S (X-RAY EXTRA WIDE 700S - METALLIC SILVER)</v>
          </cell>
          <cell r="C6593" t="str">
            <v>NHD</v>
          </cell>
        </row>
        <row r="6594">
          <cell r="A6594" t="str">
            <v>YHIRO-PT100.6</v>
          </cell>
          <cell r="B6594" t="str">
            <v>MESIN RO PORTABLE</v>
          </cell>
          <cell r="C6594" t="str">
            <v>NHD</v>
          </cell>
        </row>
        <row r="6595">
          <cell r="A6595" t="str">
            <v>YHIRO-PT100.6-R</v>
          </cell>
          <cell r="B6595" t="str">
            <v>MESIN RO PORTABLE</v>
          </cell>
          <cell r="C6595" t="str">
            <v>NHD</v>
          </cell>
        </row>
        <row r="6596">
          <cell r="A6596" t="str">
            <v>ZX 6120-120</v>
          </cell>
          <cell r="B6596" t="str">
            <v>ZX 6120-120 (ZEUS SX-6120/120)</v>
          </cell>
          <cell r="C6596" t="str">
            <v>NHD</v>
          </cell>
        </row>
        <row r="6597">
          <cell r="A6597" t="str">
            <v>ZX 7120-120</v>
          </cell>
          <cell r="B6597" t="str">
            <v>ZX 7120-120 (ZEUS SX-7120/120)</v>
          </cell>
          <cell r="C6597" t="str">
            <v>NHD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lqhX6AAxrvYA4aXYXEJ6aYYd1wA3qdVu&amp;usp=drive_f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FD31"/>
  <sheetViews>
    <sheetView showGridLines="0" zoomScale="70" zoomScaleNormal="70" workbookViewId="0">
      <selection activeCell="Q15" sqref="Q15"/>
    </sheetView>
  </sheetViews>
  <sheetFormatPr defaultColWidth="3.5703125" defaultRowHeight="14.25"/>
  <cols>
    <col min="1" max="1" width="3.5703125" style="55"/>
    <col min="2" max="2" width="5.85546875" style="53" customWidth="1"/>
    <col min="3" max="3" width="24.5703125" style="53" customWidth="1"/>
    <col min="4" max="4" width="62.28515625" style="53" customWidth="1"/>
    <col min="5" max="5" width="14" style="53" customWidth="1"/>
    <col min="6" max="7" width="12.140625" style="53" customWidth="1"/>
    <col min="8" max="8" width="16.28515625" style="56" customWidth="1"/>
    <col min="9" max="9" width="11.7109375" style="56" hidden="1" customWidth="1"/>
    <col min="10" max="10" width="0.7109375" style="56" customWidth="1"/>
    <col min="11" max="11" width="11.7109375" style="56" customWidth="1"/>
    <col min="12" max="12" width="16.140625" style="56" customWidth="1"/>
    <col min="13" max="13" width="2.5703125" style="53" customWidth="1"/>
    <col min="14" max="14" width="11.42578125" style="56" customWidth="1"/>
    <col min="15" max="15" width="3.5703125" style="55"/>
    <col min="16" max="16" width="16.85546875" style="53" customWidth="1"/>
    <col min="17" max="17" width="9.5703125" style="53" customWidth="1"/>
    <col min="18" max="18" width="9.140625" style="53" customWidth="1"/>
    <col min="19" max="19" width="6" style="53" customWidth="1"/>
    <col min="20" max="20" width="8" style="53" customWidth="1"/>
    <col min="21" max="16366" width="3.5703125" style="53" customWidth="1"/>
    <col min="16367" max="16367" width="3.5703125" style="53"/>
    <col min="16368" max="16383" width="3.5703125" style="55"/>
    <col min="16384" max="16384" width="3.5703125" style="57"/>
  </cols>
  <sheetData>
    <row r="2" spans="1:16384" s="51" customFormat="1" ht="21.95" customHeight="1"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75" t="s">
        <v>1</v>
      </c>
      <c r="M2" s="58"/>
      <c r="N2" s="75"/>
      <c r="XFD2" s="91"/>
    </row>
    <row r="3" spans="1:16384" customFormat="1" ht="5.0999999999999996" customHeight="1">
      <c r="B3" s="53"/>
      <c r="C3" s="53"/>
      <c r="D3" s="53"/>
      <c r="E3" s="53"/>
      <c r="F3" s="53"/>
      <c r="G3" s="53"/>
      <c r="H3" s="56"/>
      <c r="I3" s="56"/>
      <c r="J3" s="56"/>
      <c r="K3" s="56"/>
      <c r="L3" s="56"/>
      <c r="N3" s="56"/>
      <c r="P3" s="53"/>
      <c r="Q3" s="53"/>
    </row>
    <row r="4" spans="1:16384" s="52" customFormat="1" ht="30" customHeight="1">
      <c r="A4" s="59"/>
      <c r="B4" s="60" t="s">
        <v>2</v>
      </c>
      <c r="C4" s="60" t="s">
        <v>3</v>
      </c>
      <c r="D4" s="60" t="s">
        <v>4</v>
      </c>
      <c r="E4" s="61" t="s">
        <v>5</v>
      </c>
      <c r="F4" s="61" t="s">
        <v>6</v>
      </c>
      <c r="G4" s="61" t="s">
        <v>7</v>
      </c>
      <c r="H4" s="61" t="s">
        <v>8</v>
      </c>
      <c r="I4" s="61" t="s">
        <v>9</v>
      </c>
      <c r="J4" s="61" t="s">
        <v>10</v>
      </c>
      <c r="K4" s="76" t="s">
        <v>11</v>
      </c>
      <c r="L4" s="77" t="s">
        <v>12</v>
      </c>
      <c r="M4" s="78"/>
      <c r="N4" s="77" t="s">
        <v>13</v>
      </c>
      <c r="O4" s="59"/>
      <c r="P4" s="79" t="s">
        <v>14</v>
      </c>
      <c r="Q4" s="79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59"/>
      <c r="XEO4" s="59"/>
      <c r="XEP4" s="59"/>
      <c r="XEQ4" s="59"/>
      <c r="XER4" s="59"/>
      <c r="XES4" s="59"/>
      <c r="XET4" s="59"/>
      <c r="XEU4" s="59"/>
      <c r="XEV4" s="59"/>
      <c r="XEW4" s="59"/>
      <c r="XEX4" s="59"/>
      <c r="XEY4" s="59"/>
      <c r="XEZ4" s="59"/>
      <c r="XFA4" s="59"/>
      <c r="XFB4" s="59"/>
      <c r="XFC4" s="59"/>
      <c r="XFD4" s="92"/>
    </row>
    <row r="5" spans="1:16384" s="53" customFormat="1" ht="21.95" customHeight="1">
      <c r="B5" s="95" t="s">
        <v>15</v>
      </c>
      <c r="C5" s="96"/>
      <c r="D5" s="97"/>
      <c r="E5" s="62">
        <f>SUM(E7:E16)</f>
        <v>18700</v>
      </c>
      <c r="F5" s="62">
        <f>SUM(F7:F16)</f>
        <v>0</v>
      </c>
      <c r="G5" s="62">
        <f>SUM(G7:G16)</f>
        <v>141.90750000000003</v>
      </c>
      <c r="H5" s="62">
        <f>SUM(H7:H16)</f>
        <v>255.76857617187503</v>
      </c>
      <c r="I5" s="62">
        <f>SUM(I7:I7)</f>
        <v>14.345068359374999</v>
      </c>
      <c r="J5" s="62">
        <f>SUM(J7:J7)</f>
        <v>9.5633789062499996</v>
      </c>
      <c r="K5" s="62">
        <f>SUM(K7:K7)</f>
        <v>0.12241125</v>
      </c>
      <c r="L5" s="62">
        <f>SUM(L7:L16)</f>
        <v>16</v>
      </c>
      <c r="N5" s="62"/>
      <c r="P5" s="80">
        <f>[2]Sheet1!$A$1</f>
        <v>46175</v>
      </c>
    </row>
    <row r="6" spans="1:16384" s="53" customFormat="1" ht="9.9499999999999993" customHeight="1">
      <c r="B6" s="63"/>
      <c r="C6" s="63"/>
      <c r="D6" s="63"/>
      <c r="E6" s="64"/>
      <c r="F6" s="65"/>
      <c r="G6" s="65"/>
      <c r="H6" s="66"/>
      <c r="I6" s="64"/>
      <c r="J6" s="64"/>
      <c r="K6" s="64"/>
      <c r="L6" s="81"/>
      <c r="N6" s="67"/>
    </row>
    <row r="7" spans="1:16384" s="53" customFormat="1" ht="21.95" customHeight="1">
      <c r="B7" s="65">
        <v>1</v>
      </c>
      <c r="C7" s="63" t="s">
        <v>16</v>
      </c>
      <c r="D7" s="63" t="str">
        <f>VLOOKUP(C7,'MASTER VOLUME'!$B$3:$C$487,2,0)</f>
        <v>DISP.SYRINGE 1ML TB 26GX1/2"/2613 LUER SLIP R-N</v>
      </c>
      <c r="E7" s="67">
        <v>1500</v>
      </c>
      <c r="F7" s="65" t="str">
        <f>UPPER(VLOOKUP(C7,'MASTER VOLUME'!$B$3:$AR$549,23,0))</f>
        <v>PCS</v>
      </c>
      <c r="G7" s="68">
        <f>(VLOOKUP(C7,'MASTER VOLUME'!$B$1:$AD$487,17,0)/VLOOKUP(C7,'MASTER VOLUME'!$B$1:$AD$487,12,0))*E7</f>
        <v>8.0962499999999995</v>
      </c>
      <c r="H7" s="66">
        <f>(VLOOKUP(C7,'MASTER VOLUME'!$B$3:$S$487,6,0)*VLOOKUP(C7,'MASTER VOLUME'!$B$3:$S$487,7,0)*VLOOKUP(C7,'MASTER VOLUME'!$B$3:$S$487,8,0)/4000)*(E7/VLOOKUP(C7,'MASTER VOLUME'!$B$3:$S$487,12,0))</f>
        <v>14.345068359374999</v>
      </c>
      <c r="I7" s="82">
        <f>(VLOOKUP(C7,'MASTER VOLUME'!$B$3:$U$487,6,0)*VLOOKUP(C7,'MASTER VOLUME'!$B$3:$U$487,7,0)*VLOOKUP(C7,'MASTER VOLUME'!$B$3:$U$487,8,0)/4000)*(E7/VLOOKUP(C7,'MASTER VOLUME'!$B$3:$U$487,12,0))</f>
        <v>14.345068359374999</v>
      </c>
      <c r="J7" s="82">
        <f>(VLOOKUP(C7,'MASTER VOLUME'!$B$3:$U$487,6,0)*VLOOKUP(C7,'MASTER VOLUME'!$B$3:$U$487,7,0)*VLOOKUP(C7,'MASTER VOLUME'!$B$3:$U$487,8,0)/6000)*(E7/VLOOKUP(C7,'MASTER VOLUME'!$B$3:$U$487,12,0))</f>
        <v>9.5633789062499996</v>
      </c>
      <c r="K7" s="82">
        <f>VLOOKUP(C7,'MASTER VOLUME'!$B$3:$U$487,9,0)*L7</f>
        <v>0.12241125</v>
      </c>
      <c r="L7" s="81">
        <f>ROUNDUP(E7/VLOOKUP(C7,'MASTER VOLUME'!$B$3:$U$487,12,0),0)</f>
        <v>1</v>
      </c>
      <c r="N7" s="83">
        <f>VLOOKUP(C7,[2]Sheet1!$A$5:$C$87,3,0)</f>
        <v>72125</v>
      </c>
      <c r="P7" s="84"/>
      <c r="Q7" s="87"/>
      <c r="R7" s="88"/>
      <c r="S7" s="89"/>
      <c r="T7" s="90"/>
    </row>
    <row r="8" spans="1:16384" s="53" customFormat="1" ht="21.95" customHeight="1">
      <c r="B8" s="65">
        <v>2</v>
      </c>
      <c r="C8" s="63" t="s">
        <v>17</v>
      </c>
      <c r="D8" s="63" t="str">
        <f>VLOOKUP(C8,'MASTER VOLUME'!$B$3:$C$487,2,0)</f>
        <v>DISP.SYRINGE 10ML LUER LOCK with NEEDLE 21Gx1 1/2"</v>
      </c>
      <c r="E8" s="67">
        <v>4000</v>
      </c>
      <c r="F8" s="65" t="str">
        <f>UPPER(VLOOKUP(C8,'MASTER VOLUME'!$B$3:$AR$549,23,0))</f>
        <v>PCS</v>
      </c>
      <c r="G8" s="68">
        <f>(VLOOKUP(C8,'MASTER VOLUME'!$B$1:$AD$487,17,0)/VLOOKUP(C8,'MASTER VOLUME'!$B$1:$AD$487,12,0))*E8</f>
        <v>57.88</v>
      </c>
      <c r="H8" s="66">
        <f>(VLOOKUP(C8,'MASTER VOLUME'!$B$3:$S$487,6,0)*VLOOKUP(C8,'MASTER VOLUME'!$B$3:$S$487,7,0)*VLOOKUP(C8,'MASTER VOLUME'!$B$3:$S$487,8,0)/4000)*(E8/VLOOKUP(C8,'MASTER VOLUME'!$B$3:$S$487,12,0))</f>
        <v>101.20950000000001</v>
      </c>
      <c r="I8" s="82">
        <f>(VLOOKUP(C8,'MASTER VOLUME'!$B$3:$U$487,6,0)*VLOOKUP(C8,'MASTER VOLUME'!$B$3:$U$487,7,0)*VLOOKUP(C8,'MASTER VOLUME'!$B$3:$U$487,8,0)/4000)*(E8/VLOOKUP(C8,'MASTER VOLUME'!$B$3:$U$487,12,0))</f>
        <v>101.20950000000001</v>
      </c>
      <c r="J8" s="82">
        <f>(VLOOKUP(C8,'MASTER VOLUME'!$B$3:$U$487,6,0)*VLOOKUP(C8,'MASTER VOLUME'!$B$3:$U$487,7,0)*VLOOKUP(C8,'MASTER VOLUME'!$B$3:$U$487,8,0)/6000)*(E8/VLOOKUP(C8,'MASTER VOLUME'!$B$3:$U$487,12,0))</f>
        <v>67.472999999999999</v>
      </c>
      <c r="K8" s="82">
        <f>VLOOKUP(C8,'MASTER VOLUME'!$B$3:$U$487,9,0)*L8</f>
        <v>0.40483799999999998</v>
      </c>
      <c r="L8" s="81">
        <f>ROUNDUP(E8/VLOOKUP(C8,'MASTER VOLUME'!$B$3:$U$487,12,0),0)</f>
        <v>4</v>
      </c>
      <c r="N8" s="83">
        <f>VLOOKUP(C8,[2]Sheet1!$A$5:$C$87,3,0)</f>
        <v>767966</v>
      </c>
      <c r="P8" s="84"/>
      <c r="Q8" s="87"/>
      <c r="R8" s="88"/>
      <c r="S8" s="89"/>
      <c r="T8" s="90"/>
    </row>
    <row r="9" spans="1:16384" s="53" customFormat="1" ht="21.95" customHeight="1">
      <c r="B9" s="65">
        <v>3</v>
      </c>
      <c r="C9" s="63" t="s">
        <v>18</v>
      </c>
      <c r="D9" s="63" t="str">
        <f>VLOOKUP(C9,'MASTER VOLUME'!$B$3:$C$487,2,0)</f>
        <v>DISP.SYRINGE 20ML without NEEDLE LUER SLIP R-N</v>
      </c>
      <c r="E9" s="67">
        <v>100</v>
      </c>
      <c r="F9" s="65" t="str">
        <f>UPPER(VLOOKUP(C9,'MASTER VOLUME'!$B$3:$AR$549,23,0))</f>
        <v>PCS</v>
      </c>
      <c r="G9" s="68">
        <f>(VLOOKUP(C9,'MASTER VOLUME'!$B$1:$AD$487,17,0)/VLOOKUP(C9,'MASTER VOLUME'!$B$1:$AD$487,12,0))*E9</f>
        <v>1.9512499999999999</v>
      </c>
      <c r="H9" s="66">
        <f>(VLOOKUP(C9,'MASTER VOLUME'!$B$3:$S$487,6,0)*VLOOKUP(C9,'MASTER VOLUME'!$B$3:$S$487,7,0)*VLOOKUP(C9,'MASTER VOLUME'!$B$3:$S$487,8,0)/4000)*(E9/VLOOKUP(C9,'MASTER VOLUME'!$B$3:$S$487,12,0))</f>
        <v>3.8070703125000001</v>
      </c>
      <c r="I9" s="82">
        <f>(VLOOKUP(C9,'MASTER VOLUME'!$B$3:$U$487,6,0)*VLOOKUP(C9,'MASTER VOLUME'!$B$3:$U$487,7,0)*VLOOKUP(C9,'MASTER VOLUME'!$B$3:$U$487,8,0)/4000)*(E9/VLOOKUP(C9,'MASTER VOLUME'!$B$3:$U$487,12,0))</f>
        <v>3.8070703125000001</v>
      </c>
      <c r="J9" s="82">
        <f>(VLOOKUP(C9,'MASTER VOLUME'!$B$3:$U$487,6,0)*VLOOKUP(C9,'MASTER VOLUME'!$B$3:$U$487,7,0)*VLOOKUP(C9,'MASTER VOLUME'!$B$3:$U$487,8,0)/6000)*(E9/VLOOKUP(C9,'MASTER VOLUME'!$B$3:$U$487,12,0))</f>
        <v>2.538046875</v>
      </c>
      <c r="K9" s="82">
        <f>VLOOKUP(C9,'MASTER VOLUME'!$B$3:$U$487,9,0)*L9</f>
        <v>0.12182625</v>
      </c>
      <c r="L9" s="81">
        <f>ROUNDUP(E9/VLOOKUP(C9,'MASTER VOLUME'!$B$3:$U$487,12,0),0)</f>
        <v>1</v>
      </c>
      <c r="N9" s="83">
        <f>VLOOKUP(C9,[2]Sheet1!$A$5:$C$87,3,0)</f>
        <v>44371</v>
      </c>
      <c r="P9" s="84"/>
      <c r="Q9" s="87"/>
      <c r="R9" s="88"/>
      <c r="S9" s="89"/>
      <c r="T9" s="90"/>
    </row>
    <row r="10" spans="1:16384" s="53" customFormat="1" ht="21.95" customHeight="1">
      <c r="B10" s="65">
        <v>4</v>
      </c>
      <c r="C10" s="63" t="s">
        <v>19</v>
      </c>
      <c r="D10" s="63" t="str">
        <f>VLOOKUP(C10,'MASTER VOLUME'!$B$3:$C$487,2,0)</f>
        <v>DISP.SYRINGE 3ML LUER LOCK with NEEDLE 23GX1 1/4"</v>
      </c>
      <c r="E10" s="67">
        <v>8000</v>
      </c>
      <c r="F10" s="65" t="str">
        <f>UPPER(VLOOKUP(C10,'MASTER VOLUME'!$B$3:$AR$549,23,0))</f>
        <v>PCS</v>
      </c>
      <c r="G10" s="68">
        <f>(VLOOKUP(C10,'MASTER VOLUME'!$B$1:$AD$487,17,0)/VLOOKUP(C10,'MASTER VOLUME'!$B$1:$AD$487,12,0))*E10</f>
        <v>54.273333333333333</v>
      </c>
      <c r="H10" s="66">
        <f>(VLOOKUP(C10,'MASTER VOLUME'!$B$3:$S$487,6,0)*VLOOKUP(C10,'MASTER VOLUME'!$B$3:$S$487,7,0)*VLOOKUP(C10,'MASTER VOLUME'!$B$3:$S$487,8,0)/4000)*(E10/VLOOKUP(C10,'MASTER VOLUME'!$B$3:$S$487,12,0))</f>
        <v>100.9246875</v>
      </c>
      <c r="I10" s="82">
        <f>(VLOOKUP(C10,'MASTER VOLUME'!$B$3:$U$487,6,0)*VLOOKUP(C10,'MASTER VOLUME'!$B$3:$U$487,7,0)*VLOOKUP(C10,'MASTER VOLUME'!$B$3:$U$487,8,0)/4000)*(E10/VLOOKUP(C10,'MASTER VOLUME'!$B$3:$U$487,12,0))</f>
        <v>100.9246875</v>
      </c>
      <c r="J10" s="82">
        <f>(VLOOKUP(C10,'MASTER VOLUME'!$B$3:$U$487,6,0)*VLOOKUP(C10,'MASTER VOLUME'!$B$3:$U$487,7,0)*VLOOKUP(C10,'MASTER VOLUME'!$B$3:$U$487,8,0)/6000)*(E10/VLOOKUP(C10,'MASTER VOLUME'!$B$3:$U$487,12,0))</f>
        <v>67.283124999999998</v>
      </c>
      <c r="K10" s="82">
        <f>VLOOKUP(C10,'MASTER VOLUME'!$B$3:$U$487,9,0)*L10</f>
        <v>0.48443849999999999</v>
      </c>
      <c r="L10" s="81">
        <f>ROUNDUP(E10/VLOOKUP(C10,'MASTER VOLUME'!$B$3:$U$487,12,0),0)</f>
        <v>4</v>
      </c>
      <c r="N10" s="83">
        <f>VLOOKUP(C10,[2]Sheet1!$A$5:$C$87,3,0)</f>
        <v>1430086</v>
      </c>
      <c r="P10" s="84"/>
      <c r="Q10" s="87"/>
      <c r="R10" s="88"/>
      <c r="S10" s="89"/>
      <c r="T10" s="90"/>
    </row>
    <row r="11" spans="1:16384" s="53" customFormat="1" ht="21.95" customHeight="1">
      <c r="B11" s="65">
        <v>5</v>
      </c>
      <c r="C11" s="63" t="s">
        <v>20</v>
      </c>
      <c r="D11" s="63" t="str">
        <f>VLOOKUP(C11,'MASTER VOLUME'!$B$3:$C$487,2,0)</f>
        <v>Thermal Wristband 7022V-13-PDM BLUE</v>
      </c>
      <c r="E11" s="67">
        <v>1000</v>
      </c>
      <c r="F11" s="65" t="str">
        <f>UPPER(VLOOKUP(C11,'MASTER VOLUME'!$B$3:$AR$549,23,0))</f>
        <v>PCS</v>
      </c>
      <c r="G11" s="68">
        <f>(VLOOKUP(C11,'MASTER VOLUME'!$B$1:$AD$487,17,0)/VLOOKUP(C11,'MASTER VOLUME'!$B$1:$AD$487,12,0))*E11</f>
        <v>1.1733333333333336</v>
      </c>
      <c r="H11" s="66">
        <f>(VLOOKUP(C11,'MASTER VOLUME'!$B$3:$S$487,6,0)*VLOOKUP(C11,'MASTER VOLUME'!$B$3:$S$487,7,0)*VLOOKUP(C11,'MASTER VOLUME'!$B$3:$S$487,8,0)/4000)*(E11/VLOOKUP(C11,'MASTER VOLUME'!$B$3:$S$487,12,0))</f>
        <v>0.94299999999999995</v>
      </c>
      <c r="I11" s="82">
        <f>(VLOOKUP(C11,'MASTER VOLUME'!$B$3:$U$487,6,0)*VLOOKUP(C11,'MASTER VOLUME'!$B$3:$U$487,7,0)*VLOOKUP(C11,'MASTER VOLUME'!$B$3:$U$487,8,0)/4000)*(E11/VLOOKUP(C11,'MASTER VOLUME'!$B$3:$U$487,12,0))</f>
        <v>0.94299999999999995</v>
      </c>
      <c r="J11" s="82">
        <f>(VLOOKUP(C11,'MASTER VOLUME'!$B$3:$U$487,6,0)*VLOOKUP(C11,'MASTER VOLUME'!$B$3:$U$487,7,0)*VLOOKUP(C11,'MASTER VOLUME'!$B$3:$U$487,8,0)/6000)*(E11/VLOOKUP(C11,'MASTER VOLUME'!$B$3:$U$487,12,0))</f>
        <v>0.6286666666666666</v>
      </c>
      <c r="K11" s="82">
        <f>VLOOKUP(C11,'MASTER VOLUME'!$B$3:$U$487,9,0)*L11</f>
        <v>5.6579999999999998E-2</v>
      </c>
      <c r="L11" s="81">
        <f>ROUNDUP(E11/VLOOKUP(C11,'MASTER VOLUME'!$B$3:$U$487,12,0),0)</f>
        <v>1</v>
      </c>
      <c r="N11" s="83">
        <f>VLOOKUP(C11,[2]Sheet1!$A$5:$C$87,3,0)</f>
        <v>21000</v>
      </c>
      <c r="P11" s="84"/>
      <c r="Q11" s="87"/>
      <c r="R11" s="88"/>
      <c r="S11" s="89"/>
      <c r="T11" s="90"/>
    </row>
    <row r="12" spans="1:16384" s="53" customFormat="1" ht="21.95" customHeight="1">
      <c r="B12" s="65">
        <v>6</v>
      </c>
      <c r="C12" s="63" t="s">
        <v>21</v>
      </c>
      <c r="D12" s="63" t="str">
        <f>VLOOKUP(C12,'MASTER VOLUME'!$B$3:$C$487,2,0)</f>
        <v>Thermal Wristband 7022V-12-PDM PINK</v>
      </c>
      <c r="E12" s="67">
        <v>1000</v>
      </c>
      <c r="F12" s="65" t="str">
        <f>UPPER(VLOOKUP(C12,'MASTER VOLUME'!$B$3:$AR$549,23,0))</f>
        <v>PCS</v>
      </c>
      <c r="G12" s="68">
        <f>(VLOOKUP(C12,'MASTER VOLUME'!$B$1:$AD$487,17,0)/VLOOKUP(C12,'MASTER VOLUME'!$B$1:$AD$487,12,0))*E12</f>
        <v>1.1733333333333336</v>
      </c>
      <c r="H12" s="66">
        <f>(VLOOKUP(C12,'MASTER VOLUME'!$B$3:$S$487,6,0)*VLOOKUP(C12,'MASTER VOLUME'!$B$3:$S$487,7,0)*VLOOKUP(C12,'MASTER VOLUME'!$B$3:$S$487,8,0)/4000)*(E12/VLOOKUP(C12,'MASTER VOLUME'!$B$3:$S$487,12,0))</f>
        <v>0.94299999999999995</v>
      </c>
      <c r="I12" s="82">
        <f>(VLOOKUP(C12,'MASTER VOLUME'!$B$3:$U$487,6,0)*VLOOKUP(C12,'MASTER VOLUME'!$B$3:$U$487,7,0)*VLOOKUP(C12,'MASTER VOLUME'!$B$3:$U$487,8,0)/4000)*(E12/VLOOKUP(C12,'MASTER VOLUME'!$B$3:$U$487,12,0))</f>
        <v>0.94299999999999995</v>
      </c>
      <c r="J12" s="82">
        <f>(VLOOKUP(C12,'MASTER VOLUME'!$B$3:$U$487,6,0)*VLOOKUP(C12,'MASTER VOLUME'!$B$3:$U$487,7,0)*VLOOKUP(C12,'MASTER VOLUME'!$B$3:$U$487,8,0)/6000)*(E12/VLOOKUP(C12,'MASTER VOLUME'!$B$3:$U$487,12,0))</f>
        <v>0.6286666666666666</v>
      </c>
      <c r="K12" s="82">
        <f>VLOOKUP(C12,'MASTER VOLUME'!$B$3:$U$487,9,0)*L12</f>
        <v>5.6579999999999998E-2</v>
      </c>
      <c r="L12" s="81">
        <f>ROUNDUP(E12/VLOOKUP(C12,'MASTER VOLUME'!$B$3:$U$487,12,0),0)</f>
        <v>1</v>
      </c>
      <c r="N12" s="83">
        <f>VLOOKUP(C12,[2]Sheet1!$A$5:$C$87,3,0)</f>
        <v>37000</v>
      </c>
      <c r="P12" s="84"/>
      <c r="Q12" s="87"/>
      <c r="R12" s="88"/>
      <c r="S12" s="89"/>
      <c r="T12" s="90"/>
    </row>
    <row r="13" spans="1:16384" s="53" customFormat="1" ht="21.95" customHeight="1">
      <c r="B13" s="65">
        <v>7</v>
      </c>
      <c r="C13" s="63" t="s">
        <v>22</v>
      </c>
      <c r="D13" s="63" t="str">
        <f>VLOOKUP(C13,'MASTER VOLUME'!$B$3:$C$487,2,0)</f>
        <v>I.V CATHETER 18GX1 1/4"/1832 ETFE</v>
      </c>
      <c r="E13" s="67">
        <v>300</v>
      </c>
      <c r="F13" s="65" t="str">
        <f>UPPER(VLOOKUP(C13,'MASTER VOLUME'!$B$3:$AR$549,23,0))</f>
        <v>PCS</v>
      </c>
      <c r="G13" s="68">
        <f>(VLOOKUP(C13,'MASTER VOLUME'!$B$1:$AD$487,17,0)/VLOOKUP(C13,'MASTER VOLUME'!$B$1:$AD$487,12,0))*E13</f>
        <v>1.68</v>
      </c>
      <c r="H13" s="66">
        <f>(VLOOKUP(C13,'MASTER VOLUME'!$B$3:$S$487,6,0)*VLOOKUP(C13,'MASTER VOLUME'!$B$3:$S$487,7,0)*VLOOKUP(C13,'MASTER VOLUME'!$B$3:$S$487,8,0)/4000)*(E13/VLOOKUP(C13,'MASTER VOLUME'!$B$3:$S$487,12,0))</f>
        <v>3.2512500000000002</v>
      </c>
      <c r="I13" s="82">
        <f>(VLOOKUP(C13,'MASTER VOLUME'!$B$3:$U$487,6,0)*VLOOKUP(C13,'MASTER VOLUME'!$B$3:$U$487,7,0)*VLOOKUP(C13,'MASTER VOLUME'!$B$3:$U$487,8,0)/4000)*(E13/VLOOKUP(C13,'MASTER VOLUME'!$B$3:$U$487,12,0))</f>
        <v>3.2512500000000002</v>
      </c>
      <c r="J13" s="82">
        <f>(VLOOKUP(C13,'MASTER VOLUME'!$B$3:$U$487,6,0)*VLOOKUP(C13,'MASTER VOLUME'!$B$3:$U$487,7,0)*VLOOKUP(C13,'MASTER VOLUME'!$B$3:$U$487,8,0)/6000)*(E13/VLOOKUP(C13,'MASTER VOLUME'!$B$3:$U$487,12,0))</f>
        <v>2.1675</v>
      </c>
      <c r="K13" s="82">
        <f>VLOOKUP(C13,'MASTER VOLUME'!$B$3:$U$487,9,0)*L13</f>
        <v>8.6699999999999999E-2</v>
      </c>
      <c r="L13" s="81">
        <f>ROUNDUP(E13/VLOOKUP(C13,'MASTER VOLUME'!$B$3:$U$487,12,0),0)</f>
        <v>1</v>
      </c>
      <c r="N13" s="83">
        <f>VLOOKUP(C13,[2]Sheet1!$A$5:$C$87,3,0)</f>
        <v>12383</v>
      </c>
      <c r="P13" s="84"/>
      <c r="Q13" s="87"/>
      <c r="R13" s="88"/>
      <c r="S13" s="89"/>
      <c r="T13" s="90"/>
    </row>
    <row r="14" spans="1:16384" s="53" customFormat="1" ht="21.95" customHeight="1">
      <c r="B14" s="65">
        <v>8</v>
      </c>
      <c r="C14" s="63" t="s">
        <v>23</v>
      </c>
      <c r="D14" s="63" t="str">
        <f>VLOOKUP(C14,'MASTER VOLUME'!$B$3:$C$487,2,0)</f>
        <v>I.V CATHETER 20GX1 1/4"/2032-N-PU</v>
      </c>
      <c r="E14" s="67">
        <v>300</v>
      </c>
      <c r="F14" s="65" t="str">
        <f>UPPER(VLOOKUP(C14,'MASTER VOLUME'!$B$3:$AR$549,23,0))</f>
        <v>PCS</v>
      </c>
      <c r="G14" s="68">
        <f>(VLOOKUP(C14,'MASTER VOLUME'!$B$1:$AD$487,17,0)/VLOOKUP(C14,'MASTER VOLUME'!$B$1:$AD$487,12,0))*E14</f>
        <v>1.68</v>
      </c>
      <c r="H14" s="66">
        <f>(VLOOKUP(C14,'MASTER VOLUME'!$B$3:$S$487,6,0)*VLOOKUP(C14,'MASTER VOLUME'!$B$3:$S$487,7,0)*VLOOKUP(C14,'MASTER VOLUME'!$B$3:$S$487,8,0)/4000)*(E14/VLOOKUP(C14,'MASTER VOLUME'!$B$3:$S$487,12,0))</f>
        <v>3.2512500000000002</v>
      </c>
      <c r="I14" s="82">
        <f>(VLOOKUP(C14,'MASTER VOLUME'!$B$3:$U$487,6,0)*VLOOKUP(C14,'MASTER VOLUME'!$B$3:$U$487,7,0)*VLOOKUP(C14,'MASTER VOLUME'!$B$3:$U$487,8,0)/4000)*(E14/VLOOKUP(C14,'MASTER VOLUME'!$B$3:$U$487,12,0))</f>
        <v>3.2512500000000002</v>
      </c>
      <c r="J14" s="82">
        <f>(VLOOKUP(C14,'MASTER VOLUME'!$B$3:$U$487,6,0)*VLOOKUP(C14,'MASTER VOLUME'!$B$3:$U$487,7,0)*VLOOKUP(C14,'MASTER VOLUME'!$B$3:$U$487,8,0)/6000)*(E14/VLOOKUP(C14,'MASTER VOLUME'!$B$3:$U$487,12,0))</f>
        <v>2.1675</v>
      </c>
      <c r="K14" s="82">
        <f>VLOOKUP(C14,'MASTER VOLUME'!$B$3:$U$487,9,0)*L14</f>
        <v>8.6699999999999999E-2</v>
      </c>
      <c r="L14" s="81">
        <f>ROUNDUP(E14/VLOOKUP(C14,'MASTER VOLUME'!$B$3:$U$487,12,0),0)</f>
        <v>1</v>
      </c>
      <c r="N14" s="83">
        <f>VLOOKUP(C14,[2]Sheet1!$A$5:$C$87,3,0)</f>
        <v>37710</v>
      </c>
      <c r="P14" s="84"/>
      <c r="Q14" s="87"/>
      <c r="R14" s="88"/>
      <c r="S14" s="89"/>
      <c r="T14" s="90"/>
    </row>
    <row r="15" spans="1:16384" s="53" customFormat="1" ht="21.95" customHeight="1">
      <c r="B15" s="65">
        <v>9</v>
      </c>
      <c r="C15" s="63" t="s">
        <v>24</v>
      </c>
      <c r="D15" s="63" t="str">
        <f>VLOOKUP(C15,'MASTER VOLUME'!$B$3:$C$487,2,0)</f>
        <v>I.V CATHETER 22GX1"/2225 ETFE</v>
      </c>
      <c r="E15" s="67">
        <v>1500</v>
      </c>
      <c r="F15" s="65" t="str">
        <f>UPPER(VLOOKUP(C15,'MASTER VOLUME'!$B$3:$AR$549,23,0))</f>
        <v>PCS</v>
      </c>
      <c r="G15" s="68">
        <f>(VLOOKUP(C15,'MASTER VOLUME'!$B$1:$AD$487,17,0)/VLOOKUP(C15,'MASTER VOLUME'!$B$1:$AD$487,12,0))*E15</f>
        <v>8.4</v>
      </c>
      <c r="H15" s="66">
        <f>(VLOOKUP(C15,'MASTER VOLUME'!$B$3:$S$487,6,0)*VLOOKUP(C15,'MASTER VOLUME'!$B$3:$S$487,7,0)*VLOOKUP(C15,'MASTER VOLUME'!$B$3:$S$487,8,0)/4000)*(E15/VLOOKUP(C15,'MASTER VOLUME'!$B$3:$S$487,12,0))</f>
        <v>16.256250000000001</v>
      </c>
      <c r="I15" s="82">
        <f>(VLOOKUP(C15,'MASTER VOLUME'!$B$3:$U$487,6,0)*VLOOKUP(C15,'MASTER VOLUME'!$B$3:$U$487,7,0)*VLOOKUP(C15,'MASTER VOLUME'!$B$3:$U$487,8,0)/4000)*(E15/VLOOKUP(C15,'MASTER VOLUME'!$B$3:$U$487,12,0))</f>
        <v>16.256250000000001</v>
      </c>
      <c r="J15" s="82">
        <f>(VLOOKUP(C15,'MASTER VOLUME'!$B$3:$U$487,6,0)*VLOOKUP(C15,'MASTER VOLUME'!$B$3:$U$487,7,0)*VLOOKUP(C15,'MASTER VOLUME'!$B$3:$U$487,8,0)/6000)*(E15/VLOOKUP(C15,'MASTER VOLUME'!$B$3:$U$487,12,0))</f>
        <v>10.837499999999999</v>
      </c>
      <c r="K15" s="82">
        <f>VLOOKUP(C15,'MASTER VOLUME'!$B$3:$U$487,9,0)*L15</f>
        <v>8.6699999999999999E-2</v>
      </c>
      <c r="L15" s="81">
        <f>ROUNDUP(E15/VLOOKUP(C15,'MASTER VOLUME'!$B$3:$U$487,12,0),0)</f>
        <v>1</v>
      </c>
      <c r="N15" s="83">
        <f>VLOOKUP(C15,[2]Sheet1!$A$5:$C$87,3,0)</f>
        <v>63777</v>
      </c>
      <c r="P15" s="84"/>
      <c r="Q15" s="87"/>
      <c r="R15" s="88"/>
      <c r="S15" s="89"/>
      <c r="T15" s="90"/>
    </row>
    <row r="16" spans="1:16384" s="53" customFormat="1" ht="21.95" customHeight="1">
      <c r="B16" s="65">
        <v>10</v>
      </c>
      <c r="C16" s="63" t="s">
        <v>25</v>
      </c>
      <c r="D16" s="63" t="str">
        <f>VLOOKUP(C16,'MASTER VOLUME'!$B$3:$C$487,2,0)</f>
        <v>I.V CATHETER 24GX3/4"/2420 ETFE</v>
      </c>
      <c r="E16" s="67">
        <v>1000</v>
      </c>
      <c r="F16" s="65" t="str">
        <f>UPPER(VLOOKUP(C16,'MASTER VOLUME'!$B$3:$AR$549,23,0))</f>
        <v>PCS</v>
      </c>
      <c r="G16" s="68">
        <f>(VLOOKUP(C16,'MASTER VOLUME'!$B$1:$AD$487,17,0)/VLOOKUP(C16,'MASTER VOLUME'!$B$1:$AD$487,12,0))*E16</f>
        <v>5.6</v>
      </c>
      <c r="H16" s="66">
        <f>(VLOOKUP(C16,'MASTER VOLUME'!$B$3:$S$487,6,0)*VLOOKUP(C16,'MASTER VOLUME'!$B$3:$S$487,7,0)*VLOOKUP(C16,'MASTER VOLUME'!$B$3:$S$487,8,0)/4000)*(E16/VLOOKUP(C16,'MASTER VOLUME'!$B$3:$S$487,12,0))</f>
        <v>10.8375</v>
      </c>
      <c r="I16" s="82">
        <f>(VLOOKUP(C16,'MASTER VOLUME'!$B$3:$U$487,6,0)*VLOOKUP(C16,'MASTER VOLUME'!$B$3:$U$487,7,0)*VLOOKUP(C16,'MASTER VOLUME'!$B$3:$U$487,8,0)/4000)*(E16/VLOOKUP(C16,'MASTER VOLUME'!$B$3:$U$487,12,0))</f>
        <v>10.8375</v>
      </c>
      <c r="J16" s="82">
        <f>(VLOOKUP(C16,'MASTER VOLUME'!$B$3:$U$487,6,0)*VLOOKUP(C16,'MASTER VOLUME'!$B$3:$U$487,7,0)*VLOOKUP(C16,'MASTER VOLUME'!$B$3:$U$487,8,0)/6000)*(E16/VLOOKUP(C16,'MASTER VOLUME'!$B$3:$U$487,12,0))</f>
        <v>7.2249999999999996</v>
      </c>
      <c r="K16" s="82">
        <f>VLOOKUP(C16,'MASTER VOLUME'!$B$3:$U$487,9,0)*L16</f>
        <v>8.6699999999999999E-2</v>
      </c>
      <c r="L16" s="81">
        <f>ROUNDUP(E16/VLOOKUP(C16,'MASTER VOLUME'!$B$3:$U$487,12,0),0)</f>
        <v>1</v>
      </c>
      <c r="N16" s="83">
        <f>VLOOKUP(C16,[2]Sheet1!$A$5:$C$87,3,0)</f>
        <v>45508</v>
      </c>
      <c r="P16" s="84"/>
      <c r="Q16" s="87"/>
      <c r="R16" s="88"/>
      <c r="S16" s="89"/>
      <c r="T16" s="90"/>
    </row>
    <row r="17" spans="2:16 16384:16384" s="53" customFormat="1" ht="9" customHeight="1">
      <c r="B17" s="56"/>
      <c r="C17" s="56"/>
      <c r="D17" s="56"/>
      <c r="E17" s="69"/>
      <c r="F17" s="70"/>
      <c r="G17" s="70"/>
      <c r="H17" s="69"/>
      <c r="I17" s="69"/>
      <c r="J17" s="69"/>
      <c r="K17" s="85"/>
      <c r="L17" s="85"/>
      <c r="N17" s="86"/>
      <c r="P17" s="84"/>
      <c r="XFD17" s="93"/>
    </row>
    <row r="18" spans="2:16 16384:16384" s="51" customFormat="1" ht="21.95" customHeight="1">
      <c r="D18" s="51" t="s">
        <v>26</v>
      </c>
      <c r="E18" s="71">
        <v>37506900</v>
      </c>
      <c r="XFD18" s="93"/>
    </row>
    <row r="19" spans="2:16 16384:16384" s="51" customFormat="1" ht="21.95" customHeight="1">
      <c r="D19" s="51" t="s">
        <v>27</v>
      </c>
      <c r="E19" s="72">
        <v>4040</v>
      </c>
      <c r="F19" s="98" t="s">
        <v>28</v>
      </c>
      <c r="G19" s="98"/>
      <c r="H19" s="98"/>
      <c r="I19" s="98"/>
      <c r="J19" s="98"/>
      <c r="K19" s="98"/>
      <c r="L19" s="98"/>
      <c r="M19" s="98"/>
      <c r="N19" s="98"/>
      <c r="XFD19" s="93"/>
    </row>
    <row r="20" spans="2:16 16384:16384" s="51" customFormat="1" ht="21.95" customHeight="1">
      <c r="D20" s="51" t="s">
        <v>29</v>
      </c>
      <c r="E20" s="71">
        <f>E19*H5</f>
        <v>1033305.0477343751</v>
      </c>
      <c r="F20" s="98"/>
      <c r="G20" s="98"/>
      <c r="H20" s="98"/>
      <c r="I20" s="98"/>
      <c r="J20" s="98"/>
      <c r="K20" s="98"/>
      <c r="L20" s="98"/>
      <c r="M20" s="98"/>
      <c r="N20" s="98"/>
      <c r="XFD20" s="93"/>
    </row>
    <row r="21" spans="2:16 16384:16384" s="51" customFormat="1" ht="21.95" customHeight="1">
      <c r="D21" s="51" t="s">
        <v>30</v>
      </c>
      <c r="E21" s="73">
        <f>E20/E18</f>
        <v>2.7549732122206183E-2</v>
      </c>
      <c r="F21" s="98"/>
      <c r="G21" s="98"/>
      <c r="H21" s="98"/>
      <c r="I21" s="98"/>
      <c r="J21" s="98"/>
      <c r="K21" s="98"/>
      <c r="L21" s="98"/>
      <c r="M21" s="98"/>
      <c r="N21" s="98"/>
      <c r="XFD21" s="93"/>
    </row>
    <row r="22" spans="2:16 16384:16384" s="54" customFormat="1" ht="21.95" customHeight="1"/>
    <row r="23" spans="2:16 16384:16384" s="54" customFormat="1" ht="21.95" customHeight="1"/>
    <row r="24" spans="2:16 16384:16384" s="54" customFormat="1" ht="21.95" customHeight="1">
      <c r="C24" s="54" t="s">
        <v>31</v>
      </c>
    </row>
    <row r="25" spans="2:16 16384:16384" s="54" customFormat="1" ht="21.95" customHeight="1">
      <c r="C25" s="74" t="s">
        <v>32</v>
      </c>
    </row>
    <row r="26" spans="2:16 16384:16384" s="54" customFormat="1" ht="21.95" customHeight="1"/>
    <row r="27" spans="2:16 16384:16384" s="54" customFormat="1" ht="21.95" customHeight="1"/>
    <row r="28" spans="2:16 16384:16384" s="54" customFormat="1" ht="21.95" customHeight="1"/>
    <row r="29" spans="2:16 16384:16384" s="54" customFormat="1" ht="21.95" customHeight="1"/>
    <row r="30" spans="2:16 16384:16384" s="54" customFormat="1" ht="21.95" customHeight="1"/>
    <row r="31" spans="2:16 16384:16384" s="54" customFormat="1" ht="21.95" customHeight="1"/>
  </sheetData>
  <sortState ref="N2">
    <sortCondition ref="N2"/>
  </sortState>
  <mergeCells count="2">
    <mergeCell ref="B5:D5"/>
    <mergeCell ref="F19:N21"/>
  </mergeCells>
  <hyperlinks>
    <hyperlink ref="C25" r:id="rId1"/>
  </hyperlinks>
  <printOptions horizontalCentered="1"/>
  <pageMargins left="0" right="0" top="0.27500000000000002" bottom="0.39305555555555599" header="0.5" footer="0.5"/>
  <pageSetup paperSize="9" scale="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49"/>
  <sheetViews>
    <sheetView showGridLines="0" tabSelected="1" zoomScaleSheetLayoutView="70" workbookViewId="0">
      <pane xSplit="3" ySplit="2" topLeftCell="V467" activePane="bottomRight" state="frozen"/>
      <selection pane="topRight"/>
      <selection pane="bottomLeft"/>
      <selection pane="bottomRight" activeCell="X3" sqref="X3"/>
    </sheetView>
  </sheetViews>
  <sheetFormatPr defaultColWidth="9.140625" defaultRowHeight="15"/>
  <cols>
    <col min="1" max="1" width="5" style="13" customWidth="1"/>
    <col min="2" max="2" width="29.42578125" style="12" customWidth="1"/>
    <col min="3" max="3" width="57.42578125" style="12" customWidth="1"/>
    <col min="4" max="13" width="10" style="12" customWidth="1"/>
    <col min="14" max="14" width="10" style="14" customWidth="1"/>
    <col min="15" max="16" width="10" style="12" customWidth="1"/>
    <col min="17" max="17" width="12.5703125" style="12" customWidth="1"/>
    <col min="18" max="18" width="8.42578125" style="12" customWidth="1"/>
    <col min="19" max="19" width="11.42578125" style="12" customWidth="1"/>
    <col min="20" max="20" width="4.140625" style="12" customWidth="1"/>
    <col min="21" max="21" width="15.85546875" style="12" customWidth="1"/>
    <col min="22" max="22" width="6.7109375" style="12" customWidth="1"/>
    <col min="23" max="23" width="10.140625" style="12" customWidth="1"/>
    <col min="24" max="24" width="9.42578125" style="12" customWidth="1"/>
    <col min="25" max="25" width="10.140625" style="12" customWidth="1"/>
    <col min="26" max="26" width="10" style="12" customWidth="1"/>
    <col min="27" max="27" width="12.85546875" style="12" customWidth="1"/>
    <col min="28" max="28" width="9.7109375" style="12" customWidth="1"/>
    <col min="29" max="30" width="13" style="12" customWidth="1"/>
    <col min="31" max="31" width="23.85546875" style="12" customWidth="1"/>
    <col min="32" max="32" width="10.140625" style="12" customWidth="1"/>
    <col min="33" max="33" width="9.140625" style="12" customWidth="1"/>
    <col min="34" max="34" width="5.7109375" style="12" customWidth="1"/>
    <col min="35" max="35" width="11.42578125" style="12"/>
    <col min="36" max="36" width="23.85546875" style="12" customWidth="1"/>
    <col min="37" max="37" width="10.140625" style="12" customWidth="1"/>
    <col min="38" max="38" width="6.7109375" style="12" customWidth="1"/>
    <col min="39" max="39" width="9.7109375" style="12" customWidth="1"/>
    <col min="40" max="40" width="10.5703125" style="12" customWidth="1"/>
    <col min="41" max="41" width="12.85546875" style="12"/>
    <col min="42" max="43" width="9.140625" style="12"/>
    <col min="44" max="44" width="12.85546875" style="12"/>
    <col min="45" max="16384" width="9.140625" style="12"/>
  </cols>
  <sheetData>
    <row r="1" spans="1:34"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>
        <v>14</v>
      </c>
      <c r="P1" s="12">
        <v>15</v>
      </c>
      <c r="Q1" s="12">
        <v>16</v>
      </c>
      <c r="R1" s="12">
        <v>17</v>
      </c>
      <c r="S1" s="12">
        <v>18</v>
      </c>
      <c r="T1" s="12">
        <v>19</v>
      </c>
      <c r="U1" s="12">
        <v>20</v>
      </c>
      <c r="V1" s="12">
        <v>21</v>
      </c>
      <c r="W1" s="12">
        <v>22</v>
      </c>
      <c r="X1" s="12">
        <v>23</v>
      </c>
      <c r="Y1" s="12">
        <v>24</v>
      </c>
      <c r="Z1" s="12">
        <v>25</v>
      </c>
      <c r="AA1" s="12">
        <v>26</v>
      </c>
      <c r="AB1" s="12">
        <v>27</v>
      </c>
      <c r="AC1" s="12">
        <v>28</v>
      </c>
      <c r="AD1" s="12">
        <v>29</v>
      </c>
    </row>
    <row r="2" spans="1:34" ht="66.95" customHeight="1">
      <c r="A2" s="15" t="s">
        <v>33</v>
      </c>
      <c r="B2" s="15" t="s">
        <v>3</v>
      </c>
      <c r="C2" s="15" t="s">
        <v>4</v>
      </c>
      <c r="D2" s="15" t="s">
        <v>34</v>
      </c>
      <c r="E2" s="15" t="s">
        <v>35</v>
      </c>
      <c r="F2" s="15" t="s">
        <v>36</v>
      </c>
      <c r="G2" s="16" t="s">
        <v>37</v>
      </c>
      <c r="H2" s="16" t="s">
        <v>38</v>
      </c>
      <c r="I2" s="16" t="s">
        <v>39</v>
      </c>
      <c r="J2" s="16" t="s">
        <v>40</v>
      </c>
      <c r="K2" s="18" t="s">
        <v>41</v>
      </c>
      <c r="L2" s="15" t="s">
        <v>42</v>
      </c>
      <c r="M2" s="15" t="s">
        <v>43</v>
      </c>
      <c r="N2" s="15" t="s">
        <v>44</v>
      </c>
      <c r="O2" s="18" t="s">
        <v>45</v>
      </c>
      <c r="P2" s="18" t="s">
        <v>46</v>
      </c>
      <c r="Q2" s="15" t="s">
        <v>47</v>
      </c>
      <c r="R2" s="16" t="s">
        <v>48</v>
      </c>
      <c r="S2" s="15" t="s">
        <v>49</v>
      </c>
      <c r="T2" s="6"/>
      <c r="U2" s="15" t="s">
        <v>50</v>
      </c>
      <c r="V2" s="20"/>
      <c r="W2" s="21" t="s">
        <v>5</v>
      </c>
      <c r="X2" s="22" t="s">
        <v>6</v>
      </c>
      <c r="Y2" s="22" t="s">
        <v>7</v>
      </c>
      <c r="Z2" s="22" t="s">
        <v>51</v>
      </c>
      <c r="AA2" s="22" t="s">
        <v>52</v>
      </c>
      <c r="AB2" s="22" t="s">
        <v>53</v>
      </c>
      <c r="AC2" s="26" t="s">
        <v>12</v>
      </c>
      <c r="AD2" s="26" t="s">
        <v>54</v>
      </c>
      <c r="AE2" s="99"/>
      <c r="AF2" s="99"/>
      <c r="AG2" s="99"/>
      <c r="AH2" s="99"/>
    </row>
    <row r="3" spans="1:34" s="1" customFormat="1" ht="17.100000000000001" customHeight="1">
      <c r="A3" s="2">
        <v>1</v>
      </c>
      <c r="B3" s="3" t="s">
        <v>55</v>
      </c>
      <c r="C3" s="3" t="s">
        <v>56</v>
      </c>
      <c r="D3" s="4">
        <v>21</v>
      </c>
      <c r="E3" s="4">
        <v>14</v>
      </c>
      <c r="F3" s="4">
        <v>10.7</v>
      </c>
      <c r="G3" s="4">
        <v>58.5</v>
      </c>
      <c r="H3" s="4">
        <v>45</v>
      </c>
      <c r="I3" s="4">
        <v>46.5</v>
      </c>
      <c r="J3" s="5">
        <f t="shared" ref="J3:J29" si="0">(G3*H3*I3)/1000000</f>
        <v>0.12241125</v>
      </c>
      <c r="K3" s="6">
        <v>100</v>
      </c>
      <c r="L3" s="19">
        <v>32</v>
      </c>
      <c r="M3" s="7">
        <f t="shared" ref="M3:M20" si="1">K3*L3</f>
        <v>3200</v>
      </c>
      <c r="N3" s="8">
        <v>4</v>
      </c>
      <c r="O3" s="6">
        <v>4</v>
      </c>
      <c r="P3" s="6">
        <f t="shared" ref="P3:P19" si="2">N3*O3</f>
        <v>16</v>
      </c>
      <c r="Q3" s="8">
        <f t="shared" ref="Q3:Q23" si="3">M3*P3</f>
        <v>51200</v>
      </c>
      <c r="R3" s="6">
        <v>15.8</v>
      </c>
      <c r="S3" s="6" t="s">
        <v>57</v>
      </c>
      <c r="T3" s="6"/>
      <c r="U3" s="6"/>
      <c r="V3" s="6"/>
      <c r="W3" s="9"/>
      <c r="X3" s="6" t="s">
        <v>58</v>
      </c>
      <c r="Y3" s="9">
        <f t="shared" ref="Y3:Y46" si="4">R3/M3*W3</f>
        <v>0</v>
      </c>
      <c r="Z3" s="10">
        <f t="shared" ref="Z3:Z46" si="5">(G3*H3*I3/4000)*(W3/M3)</f>
        <v>0</v>
      </c>
      <c r="AA3" s="10">
        <f t="shared" ref="AA3:AA46" si="6">(G3*H3*I3/6000)*(W3/M3)</f>
        <v>0</v>
      </c>
      <c r="AB3" s="11">
        <f t="shared" ref="AB3:AB46" si="7">(G3*H3*I3/1000000)*(W3/M3)</f>
        <v>0</v>
      </c>
      <c r="AC3" s="11">
        <f t="shared" ref="AC3:AC46" si="8">ROUNDUP(W3/M3,0)</f>
        <v>0</v>
      </c>
      <c r="AD3" s="11" t="s">
        <v>59</v>
      </c>
    </row>
    <row r="4" spans="1:34" s="1" customFormat="1" ht="17.100000000000001" customHeight="1">
      <c r="A4" s="2">
        <v>2</v>
      </c>
      <c r="B4" s="3" t="s">
        <v>60</v>
      </c>
      <c r="C4" s="3" t="s">
        <v>61</v>
      </c>
      <c r="D4" s="4">
        <v>21</v>
      </c>
      <c r="E4" s="4">
        <v>14</v>
      </c>
      <c r="F4" s="4">
        <v>10.7</v>
      </c>
      <c r="G4" s="4">
        <v>58.5</v>
      </c>
      <c r="H4" s="4">
        <v>45</v>
      </c>
      <c r="I4" s="4">
        <v>46.5</v>
      </c>
      <c r="J4" s="5">
        <f t="shared" si="0"/>
        <v>0.12241125</v>
      </c>
      <c r="K4" s="6">
        <v>100</v>
      </c>
      <c r="L4" s="19">
        <v>32</v>
      </c>
      <c r="M4" s="7">
        <f t="shared" si="1"/>
        <v>3200</v>
      </c>
      <c r="N4" s="8">
        <v>4</v>
      </c>
      <c r="O4" s="6">
        <v>4</v>
      </c>
      <c r="P4" s="6">
        <f t="shared" si="2"/>
        <v>16</v>
      </c>
      <c r="Q4" s="8">
        <f t="shared" si="3"/>
        <v>51200</v>
      </c>
      <c r="R4" s="6">
        <v>15.8</v>
      </c>
      <c r="S4" s="6" t="s">
        <v>57</v>
      </c>
      <c r="T4" s="6"/>
      <c r="U4" s="6"/>
      <c r="V4" s="6"/>
      <c r="W4" s="9"/>
      <c r="X4" s="6" t="s">
        <v>58</v>
      </c>
      <c r="Y4" s="9">
        <f t="shared" si="4"/>
        <v>0</v>
      </c>
      <c r="Z4" s="10">
        <f t="shared" si="5"/>
        <v>0</v>
      </c>
      <c r="AA4" s="10">
        <f t="shared" si="6"/>
        <v>0</v>
      </c>
      <c r="AB4" s="11">
        <f t="shared" si="7"/>
        <v>0</v>
      </c>
      <c r="AC4" s="11">
        <f t="shared" si="8"/>
        <v>0</v>
      </c>
      <c r="AD4" s="11" t="s">
        <v>59</v>
      </c>
    </row>
    <row r="5" spans="1:34" s="1" customFormat="1" ht="17.100000000000001" customHeight="1">
      <c r="A5" s="2">
        <v>3</v>
      </c>
      <c r="B5" s="3" t="s">
        <v>62</v>
      </c>
      <c r="C5" s="3" t="s">
        <v>63</v>
      </c>
      <c r="D5" s="4">
        <v>21</v>
      </c>
      <c r="E5" s="4">
        <v>14</v>
      </c>
      <c r="F5" s="4">
        <v>10.7</v>
      </c>
      <c r="G5" s="4">
        <v>58.5</v>
      </c>
      <c r="H5" s="4">
        <v>45</v>
      </c>
      <c r="I5" s="4">
        <v>46.5</v>
      </c>
      <c r="J5" s="5">
        <f t="shared" si="0"/>
        <v>0.12241125</v>
      </c>
      <c r="K5" s="6">
        <v>100</v>
      </c>
      <c r="L5" s="19">
        <v>32</v>
      </c>
      <c r="M5" s="7">
        <f t="shared" si="1"/>
        <v>3200</v>
      </c>
      <c r="N5" s="8">
        <v>4</v>
      </c>
      <c r="O5" s="6">
        <v>4</v>
      </c>
      <c r="P5" s="6">
        <f t="shared" si="2"/>
        <v>16</v>
      </c>
      <c r="Q5" s="8">
        <f t="shared" si="3"/>
        <v>51200</v>
      </c>
      <c r="R5" s="23">
        <v>17.271999999999998</v>
      </c>
      <c r="S5" s="6" t="s">
        <v>57</v>
      </c>
      <c r="T5" s="6"/>
      <c r="U5" s="6"/>
      <c r="V5" s="6"/>
      <c r="W5" s="9"/>
      <c r="X5" s="6" t="s">
        <v>58</v>
      </c>
      <c r="Y5" s="9">
        <f t="shared" si="4"/>
        <v>0</v>
      </c>
      <c r="Z5" s="10">
        <f t="shared" si="5"/>
        <v>0</v>
      </c>
      <c r="AA5" s="10">
        <f t="shared" si="6"/>
        <v>0</v>
      </c>
      <c r="AB5" s="11">
        <f t="shared" si="7"/>
        <v>0</v>
      </c>
      <c r="AC5" s="11">
        <f t="shared" si="8"/>
        <v>0</v>
      </c>
      <c r="AD5" s="11" t="s">
        <v>59</v>
      </c>
    </row>
    <row r="6" spans="1:34" s="1" customFormat="1" ht="17.100000000000001" customHeight="1">
      <c r="A6" s="2">
        <v>4</v>
      </c>
      <c r="B6" s="3" t="s">
        <v>16</v>
      </c>
      <c r="C6" s="3" t="s">
        <v>64</v>
      </c>
      <c r="D6" s="4">
        <v>21</v>
      </c>
      <c r="E6" s="4">
        <v>14</v>
      </c>
      <c r="F6" s="4">
        <v>10.7</v>
      </c>
      <c r="G6" s="4">
        <v>58.5</v>
      </c>
      <c r="H6" s="4">
        <v>45</v>
      </c>
      <c r="I6" s="4">
        <v>46.5</v>
      </c>
      <c r="J6" s="5">
        <f t="shared" si="0"/>
        <v>0.12241125</v>
      </c>
      <c r="K6" s="6">
        <v>100</v>
      </c>
      <c r="L6" s="19">
        <v>32</v>
      </c>
      <c r="M6" s="7">
        <f t="shared" si="1"/>
        <v>3200</v>
      </c>
      <c r="N6" s="8">
        <v>4</v>
      </c>
      <c r="O6" s="6">
        <v>4</v>
      </c>
      <c r="P6" s="6">
        <f t="shared" si="2"/>
        <v>16</v>
      </c>
      <c r="Q6" s="8">
        <f t="shared" si="3"/>
        <v>51200</v>
      </c>
      <c r="R6" s="23">
        <v>17.271999999999998</v>
      </c>
      <c r="S6" s="6" t="s">
        <v>57</v>
      </c>
      <c r="T6" s="6"/>
      <c r="U6" s="6"/>
      <c r="V6" s="24"/>
      <c r="W6" s="9"/>
      <c r="X6" s="6" t="s">
        <v>58</v>
      </c>
      <c r="Y6" s="9">
        <f t="shared" si="4"/>
        <v>0</v>
      </c>
      <c r="Z6" s="10">
        <f t="shared" si="5"/>
        <v>0</v>
      </c>
      <c r="AA6" s="10">
        <f t="shared" si="6"/>
        <v>0</v>
      </c>
      <c r="AB6" s="11">
        <f t="shared" si="7"/>
        <v>0</v>
      </c>
      <c r="AC6" s="11">
        <f t="shared" si="8"/>
        <v>0</v>
      </c>
      <c r="AD6" s="11" t="s">
        <v>59</v>
      </c>
    </row>
    <row r="7" spans="1:34" s="1" customFormat="1" ht="17.100000000000001" customHeight="1">
      <c r="A7" s="2">
        <v>5</v>
      </c>
      <c r="B7" s="3" t="s">
        <v>65</v>
      </c>
      <c r="C7" s="3" t="s">
        <v>66</v>
      </c>
      <c r="D7" s="4">
        <v>22</v>
      </c>
      <c r="E7" s="4">
        <v>21</v>
      </c>
      <c r="F7" s="4">
        <v>9</v>
      </c>
      <c r="G7" s="4">
        <v>58.5</v>
      </c>
      <c r="H7" s="4">
        <v>45.5</v>
      </c>
      <c r="I7" s="4">
        <v>45.5</v>
      </c>
      <c r="J7" s="5">
        <f t="shared" si="0"/>
        <v>0.121109625</v>
      </c>
      <c r="K7" s="6">
        <v>100</v>
      </c>
      <c r="L7" s="6">
        <v>24</v>
      </c>
      <c r="M7" s="7">
        <f t="shared" si="1"/>
        <v>2400</v>
      </c>
      <c r="N7" s="8">
        <v>4</v>
      </c>
      <c r="O7" s="6">
        <v>4</v>
      </c>
      <c r="P7" s="6">
        <f t="shared" si="2"/>
        <v>16</v>
      </c>
      <c r="Q7" s="8">
        <f t="shared" si="3"/>
        <v>38400</v>
      </c>
      <c r="R7" s="6">
        <v>16.282</v>
      </c>
      <c r="S7" s="6" t="s">
        <v>57</v>
      </c>
      <c r="T7" s="6"/>
      <c r="U7" s="6"/>
      <c r="V7" s="6"/>
      <c r="W7" s="9"/>
      <c r="X7" s="6" t="s">
        <v>58</v>
      </c>
      <c r="Y7" s="9">
        <f t="shared" si="4"/>
        <v>0</v>
      </c>
      <c r="Z7" s="10">
        <f t="shared" si="5"/>
        <v>0</v>
      </c>
      <c r="AA7" s="10">
        <f t="shared" si="6"/>
        <v>0</v>
      </c>
      <c r="AB7" s="11">
        <f t="shared" si="7"/>
        <v>0</v>
      </c>
      <c r="AC7" s="11">
        <f t="shared" si="8"/>
        <v>0</v>
      </c>
      <c r="AD7" s="11" t="s">
        <v>59</v>
      </c>
    </row>
    <row r="8" spans="1:34" s="1" customFormat="1" ht="17.100000000000001" customHeight="1">
      <c r="A8" s="2">
        <v>6</v>
      </c>
      <c r="B8" s="3" t="s">
        <v>67</v>
      </c>
      <c r="C8" s="3" t="s">
        <v>68</v>
      </c>
      <c r="D8" s="4">
        <v>22</v>
      </c>
      <c r="E8" s="4">
        <v>21</v>
      </c>
      <c r="F8" s="4">
        <v>9</v>
      </c>
      <c r="G8" s="4">
        <v>58.5</v>
      </c>
      <c r="H8" s="4">
        <v>45.5</v>
      </c>
      <c r="I8" s="4">
        <v>45.5</v>
      </c>
      <c r="J8" s="5">
        <f t="shared" si="0"/>
        <v>0.121109625</v>
      </c>
      <c r="K8" s="6">
        <v>100</v>
      </c>
      <c r="L8" s="6">
        <v>24</v>
      </c>
      <c r="M8" s="7">
        <f t="shared" si="1"/>
        <v>2400</v>
      </c>
      <c r="N8" s="8">
        <v>4</v>
      </c>
      <c r="O8" s="6">
        <v>4</v>
      </c>
      <c r="P8" s="6">
        <f t="shared" si="2"/>
        <v>16</v>
      </c>
      <c r="Q8" s="8">
        <f t="shared" si="3"/>
        <v>38400</v>
      </c>
      <c r="R8" s="6">
        <v>16.282</v>
      </c>
      <c r="S8" s="6" t="s">
        <v>57</v>
      </c>
      <c r="T8" s="6"/>
      <c r="U8" s="6"/>
      <c r="V8" s="6"/>
      <c r="W8" s="9"/>
      <c r="X8" s="6" t="s">
        <v>58</v>
      </c>
      <c r="Y8" s="9">
        <f t="shared" si="4"/>
        <v>0</v>
      </c>
      <c r="Z8" s="10">
        <f t="shared" si="5"/>
        <v>0</v>
      </c>
      <c r="AA8" s="10">
        <f t="shared" si="6"/>
        <v>0</v>
      </c>
      <c r="AB8" s="11">
        <f t="shared" si="7"/>
        <v>0</v>
      </c>
      <c r="AC8" s="11">
        <f t="shared" si="8"/>
        <v>0</v>
      </c>
      <c r="AD8" s="11" t="s">
        <v>59</v>
      </c>
    </row>
    <row r="9" spans="1:34" s="1" customFormat="1" ht="17.100000000000001" customHeight="1">
      <c r="A9" s="2">
        <v>7</v>
      </c>
      <c r="B9" s="3" t="s">
        <v>19</v>
      </c>
      <c r="C9" s="3" t="s">
        <v>68</v>
      </c>
      <c r="D9" s="4">
        <v>22</v>
      </c>
      <c r="E9" s="4">
        <v>21</v>
      </c>
      <c r="F9" s="4">
        <v>9</v>
      </c>
      <c r="G9" s="4">
        <v>58.5</v>
      </c>
      <c r="H9" s="4">
        <v>45.5</v>
      </c>
      <c r="I9" s="4">
        <v>45.5</v>
      </c>
      <c r="J9" s="5">
        <f t="shared" si="0"/>
        <v>0.121109625</v>
      </c>
      <c r="K9" s="6">
        <v>100</v>
      </c>
      <c r="L9" s="6">
        <v>24</v>
      </c>
      <c r="M9" s="7">
        <f t="shared" si="1"/>
        <v>2400</v>
      </c>
      <c r="N9" s="8">
        <v>4</v>
      </c>
      <c r="O9" s="6">
        <v>4</v>
      </c>
      <c r="P9" s="6">
        <f t="shared" si="2"/>
        <v>16</v>
      </c>
      <c r="Q9" s="8">
        <f t="shared" si="3"/>
        <v>38400</v>
      </c>
      <c r="R9" s="6">
        <v>16.282</v>
      </c>
      <c r="S9" s="6" t="s">
        <v>57</v>
      </c>
      <c r="T9" s="6"/>
      <c r="U9" s="6"/>
      <c r="V9" s="24"/>
      <c r="W9" s="9">
        <v>5000</v>
      </c>
      <c r="X9" s="6" t="s">
        <v>58</v>
      </c>
      <c r="Y9" s="9">
        <f t="shared" si="4"/>
        <v>33.920833333333334</v>
      </c>
      <c r="Z9" s="10">
        <f t="shared" si="5"/>
        <v>63.077929687500003</v>
      </c>
      <c r="AA9" s="10">
        <f t="shared" si="6"/>
        <v>42.051953125000004</v>
      </c>
      <c r="AB9" s="11">
        <f t="shared" si="7"/>
        <v>0.25231171875000002</v>
      </c>
      <c r="AC9" s="11">
        <f t="shared" si="8"/>
        <v>3</v>
      </c>
      <c r="AD9" s="11" t="s">
        <v>59</v>
      </c>
    </row>
    <row r="10" spans="1:34" s="1" customFormat="1" ht="17.100000000000001" customHeight="1">
      <c r="A10" s="2">
        <v>8</v>
      </c>
      <c r="B10" s="3" t="s">
        <v>69</v>
      </c>
      <c r="C10" s="3" t="s">
        <v>70</v>
      </c>
      <c r="D10" s="4">
        <v>22</v>
      </c>
      <c r="E10" s="4">
        <v>21</v>
      </c>
      <c r="F10" s="4">
        <v>9</v>
      </c>
      <c r="G10" s="4">
        <v>58.5</v>
      </c>
      <c r="H10" s="4">
        <v>45.5</v>
      </c>
      <c r="I10" s="4">
        <v>45.5</v>
      </c>
      <c r="J10" s="5">
        <f t="shared" si="0"/>
        <v>0.121109625</v>
      </c>
      <c r="K10" s="6">
        <v>100</v>
      </c>
      <c r="L10" s="6">
        <v>24</v>
      </c>
      <c r="M10" s="7">
        <f t="shared" si="1"/>
        <v>2400</v>
      </c>
      <c r="N10" s="8">
        <v>4</v>
      </c>
      <c r="O10" s="6">
        <v>4</v>
      </c>
      <c r="P10" s="6">
        <f t="shared" si="2"/>
        <v>16</v>
      </c>
      <c r="Q10" s="8">
        <f t="shared" si="3"/>
        <v>38400</v>
      </c>
      <c r="R10" s="6">
        <v>16.282</v>
      </c>
      <c r="S10" s="6" t="s">
        <v>57</v>
      </c>
      <c r="T10" s="6"/>
      <c r="U10" s="6"/>
      <c r="V10" s="6"/>
      <c r="W10" s="9"/>
      <c r="X10" s="6" t="s">
        <v>58</v>
      </c>
      <c r="Y10" s="9">
        <f t="shared" si="4"/>
        <v>0</v>
      </c>
      <c r="Z10" s="10">
        <f t="shared" si="5"/>
        <v>0</v>
      </c>
      <c r="AA10" s="10">
        <f t="shared" si="6"/>
        <v>0</v>
      </c>
      <c r="AB10" s="11">
        <f t="shared" si="7"/>
        <v>0</v>
      </c>
      <c r="AC10" s="11">
        <f t="shared" si="8"/>
        <v>0</v>
      </c>
      <c r="AD10" s="11" t="s">
        <v>59</v>
      </c>
    </row>
    <row r="11" spans="1:34" s="1" customFormat="1" ht="17.100000000000001" customHeight="1">
      <c r="A11" s="2">
        <v>9</v>
      </c>
      <c r="B11" s="3" t="s">
        <v>71</v>
      </c>
      <c r="C11" s="3" t="s">
        <v>72</v>
      </c>
      <c r="D11" s="4">
        <v>22</v>
      </c>
      <c r="E11" s="4">
        <v>21</v>
      </c>
      <c r="F11" s="4">
        <v>9</v>
      </c>
      <c r="G11" s="4">
        <v>58.5</v>
      </c>
      <c r="H11" s="4">
        <v>45.5</v>
      </c>
      <c r="I11" s="4">
        <v>45.5</v>
      </c>
      <c r="J11" s="5">
        <f t="shared" si="0"/>
        <v>0.121109625</v>
      </c>
      <c r="K11" s="6">
        <v>100</v>
      </c>
      <c r="L11" s="6">
        <v>24</v>
      </c>
      <c r="M11" s="7">
        <f t="shared" si="1"/>
        <v>2400</v>
      </c>
      <c r="N11" s="8">
        <v>4</v>
      </c>
      <c r="O11" s="6">
        <v>4</v>
      </c>
      <c r="P11" s="6">
        <f t="shared" si="2"/>
        <v>16</v>
      </c>
      <c r="Q11" s="8">
        <f t="shared" si="3"/>
        <v>38400</v>
      </c>
      <c r="R11" s="6">
        <v>16.282</v>
      </c>
      <c r="S11" s="6" t="s">
        <v>57</v>
      </c>
      <c r="T11" s="6"/>
      <c r="U11" s="6"/>
      <c r="V11" s="6"/>
      <c r="W11" s="9"/>
      <c r="X11" s="6" t="s">
        <v>58</v>
      </c>
      <c r="Y11" s="9">
        <f t="shared" si="4"/>
        <v>0</v>
      </c>
      <c r="Z11" s="10">
        <f t="shared" si="5"/>
        <v>0</v>
      </c>
      <c r="AA11" s="10">
        <f t="shared" si="6"/>
        <v>0</v>
      </c>
      <c r="AB11" s="11">
        <f t="shared" si="7"/>
        <v>0</v>
      </c>
      <c r="AC11" s="11">
        <f t="shared" si="8"/>
        <v>0</v>
      </c>
      <c r="AD11" s="11" t="s">
        <v>59</v>
      </c>
    </row>
    <row r="12" spans="1:34" s="1" customFormat="1" ht="17.100000000000001" customHeight="1">
      <c r="A12" s="2">
        <v>10</v>
      </c>
      <c r="B12" s="3" t="s">
        <v>73</v>
      </c>
      <c r="C12" s="3" t="s">
        <v>72</v>
      </c>
      <c r="D12" s="4">
        <v>22</v>
      </c>
      <c r="E12" s="4">
        <v>21</v>
      </c>
      <c r="F12" s="4">
        <v>9</v>
      </c>
      <c r="G12" s="4">
        <v>58.5</v>
      </c>
      <c r="H12" s="4">
        <v>45.5</v>
      </c>
      <c r="I12" s="4">
        <v>45.5</v>
      </c>
      <c r="J12" s="5">
        <f t="shared" si="0"/>
        <v>0.121109625</v>
      </c>
      <c r="K12" s="6">
        <v>100</v>
      </c>
      <c r="L12" s="6">
        <v>24</v>
      </c>
      <c r="M12" s="7">
        <f t="shared" si="1"/>
        <v>2400</v>
      </c>
      <c r="N12" s="8">
        <v>4</v>
      </c>
      <c r="O12" s="6">
        <v>4</v>
      </c>
      <c r="P12" s="6">
        <f t="shared" si="2"/>
        <v>16</v>
      </c>
      <c r="Q12" s="8">
        <f t="shared" si="3"/>
        <v>38400</v>
      </c>
      <c r="R12" s="6">
        <v>16.282</v>
      </c>
      <c r="S12" s="6" t="s">
        <v>57</v>
      </c>
      <c r="T12" s="6"/>
      <c r="U12" s="6"/>
      <c r="V12" s="6"/>
      <c r="W12" s="9"/>
      <c r="X12" s="6" t="s">
        <v>58</v>
      </c>
      <c r="Y12" s="9">
        <f t="shared" si="4"/>
        <v>0</v>
      </c>
      <c r="Z12" s="10">
        <f t="shared" si="5"/>
        <v>0</v>
      </c>
      <c r="AA12" s="10">
        <f t="shared" si="6"/>
        <v>0</v>
      </c>
      <c r="AB12" s="11">
        <f t="shared" si="7"/>
        <v>0</v>
      </c>
      <c r="AC12" s="11">
        <f t="shared" si="8"/>
        <v>0</v>
      </c>
      <c r="AD12" s="11" t="s">
        <v>59</v>
      </c>
    </row>
    <row r="13" spans="1:34" s="1" customFormat="1" ht="17.100000000000001" customHeight="1">
      <c r="A13" s="2">
        <v>11</v>
      </c>
      <c r="B13" s="3" t="s">
        <v>74</v>
      </c>
      <c r="C13" s="3" t="s">
        <v>75</v>
      </c>
      <c r="D13" s="4">
        <v>22</v>
      </c>
      <c r="E13" s="4">
        <v>21</v>
      </c>
      <c r="F13" s="4">
        <v>9</v>
      </c>
      <c r="G13" s="4">
        <v>58.5</v>
      </c>
      <c r="H13" s="4">
        <v>45.5</v>
      </c>
      <c r="I13" s="4">
        <v>45.5</v>
      </c>
      <c r="J13" s="5">
        <f t="shared" si="0"/>
        <v>0.121109625</v>
      </c>
      <c r="K13" s="6">
        <v>100</v>
      </c>
      <c r="L13" s="6">
        <v>24</v>
      </c>
      <c r="M13" s="7">
        <f t="shared" si="1"/>
        <v>2400</v>
      </c>
      <c r="N13" s="8">
        <v>4</v>
      </c>
      <c r="O13" s="6">
        <v>4</v>
      </c>
      <c r="P13" s="6">
        <f t="shared" si="2"/>
        <v>16</v>
      </c>
      <c r="Q13" s="8">
        <f t="shared" si="3"/>
        <v>38400</v>
      </c>
      <c r="R13" s="6">
        <v>16.282</v>
      </c>
      <c r="S13" s="6" t="s">
        <v>57</v>
      </c>
      <c r="T13" s="6"/>
      <c r="U13" s="6"/>
      <c r="V13" s="6"/>
      <c r="W13" s="9"/>
      <c r="X13" s="6" t="s">
        <v>58</v>
      </c>
      <c r="Y13" s="9">
        <f t="shared" si="4"/>
        <v>0</v>
      </c>
      <c r="Z13" s="10">
        <f t="shared" si="5"/>
        <v>0</v>
      </c>
      <c r="AA13" s="10">
        <f t="shared" si="6"/>
        <v>0</v>
      </c>
      <c r="AB13" s="11">
        <f t="shared" si="7"/>
        <v>0</v>
      </c>
      <c r="AC13" s="11">
        <f t="shared" si="8"/>
        <v>0</v>
      </c>
      <c r="AD13" s="11" t="s">
        <v>59</v>
      </c>
    </row>
    <row r="14" spans="1:34" s="1" customFormat="1" ht="17.100000000000001" customHeight="1">
      <c r="A14" s="2">
        <v>12</v>
      </c>
      <c r="B14" s="3" t="s">
        <v>76</v>
      </c>
      <c r="C14" s="3" t="s">
        <v>77</v>
      </c>
      <c r="D14" s="4">
        <v>22</v>
      </c>
      <c r="E14" s="4">
        <v>21</v>
      </c>
      <c r="F14" s="4">
        <v>9</v>
      </c>
      <c r="G14" s="4">
        <v>58.5</v>
      </c>
      <c r="H14" s="4">
        <v>45.5</v>
      </c>
      <c r="I14" s="4">
        <v>45.5</v>
      </c>
      <c r="J14" s="5">
        <f t="shared" si="0"/>
        <v>0.121109625</v>
      </c>
      <c r="K14" s="6">
        <v>100</v>
      </c>
      <c r="L14" s="6">
        <v>24</v>
      </c>
      <c r="M14" s="7">
        <f t="shared" si="1"/>
        <v>2400</v>
      </c>
      <c r="N14" s="8">
        <v>4</v>
      </c>
      <c r="O14" s="6">
        <v>4</v>
      </c>
      <c r="P14" s="6">
        <f t="shared" si="2"/>
        <v>16</v>
      </c>
      <c r="Q14" s="8">
        <f t="shared" si="3"/>
        <v>38400</v>
      </c>
      <c r="R14" s="6">
        <v>15.272</v>
      </c>
      <c r="S14" s="6" t="s">
        <v>57</v>
      </c>
      <c r="T14" s="6"/>
      <c r="U14" s="6"/>
      <c r="V14" s="6"/>
      <c r="W14" s="9"/>
      <c r="X14" s="6" t="s">
        <v>58</v>
      </c>
      <c r="Y14" s="9">
        <f t="shared" si="4"/>
        <v>0</v>
      </c>
      <c r="Z14" s="10">
        <f t="shared" si="5"/>
        <v>0</v>
      </c>
      <c r="AA14" s="10">
        <f t="shared" si="6"/>
        <v>0</v>
      </c>
      <c r="AB14" s="11">
        <f t="shared" si="7"/>
        <v>0</v>
      </c>
      <c r="AC14" s="11">
        <f t="shared" si="8"/>
        <v>0</v>
      </c>
      <c r="AD14" s="11" t="s">
        <v>59</v>
      </c>
    </row>
    <row r="15" spans="1:34" s="1" customFormat="1" ht="17.100000000000001" customHeight="1">
      <c r="A15" s="2">
        <v>13</v>
      </c>
      <c r="B15" s="3" t="s">
        <v>78</v>
      </c>
      <c r="C15" s="3" t="s">
        <v>79</v>
      </c>
      <c r="D15" s="4"/>
      <c r="E15" s="4"/>
      <c r="F15" s="4"/>
      <c r="G15" s="4"/>
      <c r="H15" s="4"/>
      <c r="I15" s="4"/>
      <c r="J15" s="5">
        <f t="shared" si="0"/>
        <v>0</v>
      </c>
      <c r="K15" s="6"/>
      <c r="L15" s="6"/>
      <c r="M15" s="7">
        <f t="shared" si="1"/>
        <v>0</v>
      </c>
      <c r="N15" s="8"/>
      <c r="O15" s="6"/>
      <c r="P15" s="6">
        <f t="shared" si="2"/>
        <v>0</v>
      </c>
      <c r="Q15" s="8">
        <f t="shared" si="3"/>
        <v>0</v>
      </c>
      <c r="R15" s="6"/>
      <c r="S15" s="6" t="s">
        <v>80</v>
      </c>
      <c r="T15" s="6"/>
      <c r="U15" s="6"/>
      <c r="V15" s="6"/>
      <c r="W15" s="9"/>
      <c r="X15" s="6" t="s">
        <v>58</v>
      </c>
      <c r="Y15" s="9" t="e">
        <f t="shared" si="4"/>
        <v>#DIV/0!</v>
      </c>
      <c r="Z15" s="10" t="e">
        <f t="shared" si="5"/>
        <v>#DIV/0!</v>
      </c>
      <c r="AA15" s="10" t="e">
        <f t="shared" si="6"/>
        <v>#DIV/0!</v>
      </c>
      <c r="AB15" s="11" t="e">
        <f t="shared" si="7"/>
        <v>#DIV/0!</v>
      </c>
      <c r="AC15" s="11" t="e">
        <f t="shared" si="8"/>
        <v>#DIV/0!</v>
      </c>
      <c r="AD15" s="11" t="s">
        <v>59</v>
      </c>
    </row>
    <row r="16" spans="1:34" s="1" customFormat="1" ht="17.100000000000001" customHeight="1">
      <c r="A16" s="2">
        <v>14</v>
      </c>
      <c r="B16" s="3" t="s">
        <v>81</v>
      </c>
      <c r="C16" s="3" t="s">
        <v>82</v>
      </c>
      <c r="D16" s="4">
        <v>42</v>
      </c>
      <c r="E16" s="4">
        <v>18.5</v>
      </c>
      <c r="F16" s="4">
        <v>7.5</v>
      </c>
      <c r="G16" s="4">
        <v>58</v>
      </c>
      <c r="H16" s="4">
        <v>45</v>
      </c>
      <c r="I16" s="4">
        <v>46</v>
      </c>
      <c r="J16" s="5">
        <f t="shared" si="0"/>
        <v>0.12006</v>
      </c>
      <c r="K16" s="6">
        <v>100</v>
      </c>
      <c r="L16" s="6">
        <v>17</v>
      </c>
      <c r="M16" s="7">
        <f t="shared" si="1"/>
        <v>1700</v>
      </c>
      <c r="N16" s="8">
        <v>4</v>
      </c>
      <c r="O16" s="6">
        <v>4</v>
      </c>
      <c r="P16" s="6">
        <f t="shared" si="2"/>
        <v>16</v>
      </c>
      <c r="Q16" s="8">
        <f t="shared" si="3"/>
        <v>27200</v>
      </c>
      <c r="R16" s="6">
        <v>16.5</v>
      </c>
      <c r="S16" s="6" t="s">
        <v>57</v>
      </c>
      <c r="T16" s="6"/>
      <c r="U16" s="6"/>
      <c r="V16" s="6"/>
      <c r="W16" s="9"/>
      <c r="X16" s="6" t="s">
        <v>58</v>
      </c>
      <c r="Y16" s="9">
        <f t="shared" si="4"/>
        <v>0</v>
      </c>
      <c r="Z16" s="10">
        <f t="shared" si="5"/>
        <v>0</v>
      </c>
      <c r="AA16" s="10">
        <f t="shared" si="6"/>
        <v>0</v>
      </c>
      <c r="AB16" s="11">
        <f t="shared" si="7"/>
        <v>0</v>
      </c>
      <c r="AC16" s="11">
        <f t="shared" si="8"/>
        <v>0</v>
      </c>
      <c r="AD16" s="11" t="s">
        <v>59</v>
      </c>
    </row>
    <row r="17" spans="1:31" s="1" customFormat="1" ht="17.100000000000001" customHeight="1">
      <c r="A17" s="2">
        <v>15</v>
      </c>
      <c r="B17" s="3" t="s">
        <v>83</v>
      </c>
      <c r="C17" s="3" t="s">
        <v>84</v>
      </c>
      <c r="D17" s="4">
        <v>42</v>
      </c>
      <c r="E17" s="4">
        <v>18.5</v>
      </c>
      <c r="F17" s="4">
        <v>7.5</v>
      </c>
      <c r="G17" s="4">
        <v>58</v>
      </c>
      <c r="H17" s="4">
        <v>45</v>
      </c>
      <c r="I17" s="4">
        <v>46</v>
      </c>
      <c r="J17" s="5">
        <f t="shared" si="0"/>
        <v>0.12006</v>
      </c>
      <c r="K17" s="6">
        <v>100</v>
      </c>
      <c r="L17" s="6">
        <v>17</v>
      </c>
      <c r="M17" s="7">
        <f t="shared" si="1"/>
        <v>1700</v>
      </c>
      <c r="N17" s="8">
        <v>4</v>
      </c>
      <c r="O17" s="6">
        <v>4</v>
      </c>
      <c r="P17" s="6">
        <f t="shared" si="2"/>
        <v>16</v>
      </c>
      <c r="Q17" s="8">
        <f t="shared" si="3"/>
        <v>27200</v>
      </c>
      <c r="R17" s="6">
        <v>16.5</v>
      </c>
      <c r="S17" s="6" t="s">
        <v>57</v>
      </c>
      <c r="T17" s="6"/>
      <c r="U17" s="6"/>
      <c r="V17" s="6"/>
      <c r="W17" s="9"/>
      <c r="X17" s="6" t="s">
        <v>58</v>
      </c>
      <c r="Y17" s="9">
        <f t="shared" si="4"/>
        <v>0</v>
      </c>
      <c r="Z17" s="10">
        <f t="shared" si="5"/>
        <v>0</v>
      </c>
      <c r="AA17" s="10">
        <f t="shared" si="6"/>
        <v>0</v>
      </c>
      <c r="AB17" s="11">
        <f t="shared" si="7"/>
        <v>0</v>
      </c>
      <c r="AC17" s="11">
        <f t="shared" si="8"/>
        <v>0</v>
      </c>
      <c r="AD17" s="11" t="s">
        <v>59</v>
      </c>
    </row>
    <row r="18" spans="1:31" s="1" customFormat="1" ht="17.100000000000001" customHeight="1">
      <c r="A18" s="2">
        <v>16</v>
      </c>
      <c r="B18" s="3" t="s">
        <v>85</v>
      </c>
      <c r="C18" s="3" t="s">
        <v>84</v>
      </c>
      <c r="D18" s="4">
        <v>42</v>
      </c>
      <c r="E18" s="4">
        <v>18.5</v>
      </c>
      <c r="F18" s="4">
        <v>7.5</v>
      </c>
      <c r="G18" s="4">
        <v>58</v>
      </c>
      <c r="H18" s="4">
        <v>45</v>
      </c>
      <c r="I18" s="4">
        <v>46</v>
      </c>
      <c r="J18" s="5">
        <f t="shared" si="0"/>
        <v>0.12006</v>
      </c>
      <c r="K18" s="6">
        <v>100</v>
      </c>
      <c r="L18" s="6">
        <v>17</v>
      </c>
      <c r="M18" s="7">
        <f t="shared" si="1"/>
        <v>1700</v>
      </c>
      <c r="N18" s="8">
        <v>4</v>
      </c>
      <c r="O18" s="6">
        <v>4</v>
      </c>
      <c r="P18" s="6">
        <f t="shared" si="2"/>
        <v>16</v>
      </c>
      <c r="Q18" s="8">
        <f t="shared" si="3"/>
        <v>27200</v>
      </c>
      <c r="R18" s="6">
        <v>16.5</v>
      </c>
      <c r="S18" s="6" t="s">
        <v>57</v>
      </c>
      <c r="T18" s="6"/>
      <c r="U18" s="6"/>
      <c r="V18" s="6"/>
      <c r="W18" s="9"/>
      <c r="X18" s="6" t="s">
        <v>58</v>
      </c>
      <c r="Y18" s="9">
        <f t="shared" si="4"/>
        <v>0</v>
      </c>
      <c r="Z18" s="10">
        <f t="shared" si="5"/>
        <v>0</v>
      </c>
      <c r="AA18" s="10">
        <f t="shared" si="6"/>
        <v>0</v>
      </c>
      <c r="AB18" s="11">
        <f t="shared" si="7"/>
        <v>0</v>
      </c>
      <c r="AC18" s="11">
        <f t="shared" si="8"/>
        <v>0</v>
      </c>
      <c r="AD18" s="11" t="s">
        <v>59</v>
      </c>
      <c r="AE18" s="27">
        <f>W18/26</f>
        <v>0</v>
      </c>
    </row>
    <row r="19" spans="1:31" s="1" customFormat="1" ht="17.100000000000001" customHeight="1">
      <c r="A19" s="2">
        <v>17</v>
      </c>
      <c r="B19" s="3" t="s">
        <v>86</v>
      </c>
      <c r="C19" s="3" t="s">
        <v>87</v>
      </c>
      <c r="D19" s="4">
        <v>42</v>
      </c>
      <c r="E19" s="4">
        <v>18.5</v>
      </c>
      <c r="F19" s="4">
        <v>7.5</v>
      </c>
      <c r="G19" s="4">
        <v>58</v>
      </c>
      <c r="H19" s="4">
        <v>45</v>
      </c>
      <c r="I19" s="4">
        <v>46</v>
      </c>
      <c r="J19" s="5">
        <f t="shared" si="0"/>
        <v>0.12006</v>
      </c>
      <c r="K19" s="6">
        <v>100</v>
      </c>
      <c r="L19" s="6">
        <v>17</v>
      </c>
      <c r="M19" s="7">
        <f t="shared" si="1"/>
        <v>1700</v>
      </c>
      <c r="N19" s="8">
        <v>4</v>
      </c>
      <c r="O19" s="6">
        <v>4</v>
      </c>
      <c r="P19" s="6">
        <f t="shared" si="2"/>
        <v>16</v>
      </c>
      <c r="Q19" s="8">
        <f t="shared" si="3"/>
        <v>27200</v>
      </c>
      <c r="R19" s="6">
        <v>16.5</v>
      </c>
      <c r="S19" s="6" t="s">
        <v>57</v>
      </c>
      <c r="T19" s="6"/>
      <c r="U19" s="6"/>
      <c r="V19" s="6"/>
      <c r="W19" s="9"/>
      <c r="X19" s="6" t="s">
        <v>58</v>
      </c>
      <c r="Y19" s="9">
        <f t="shared" si="4"/>
        <v>0</v>
      </c>
      <c r="Z19" s="10">
        <f t="shared" si="5"/>
        <v>0</v>
      </c>
      <c r="AA19" s="10">
        <f t="shared" si="6"/>
        <v>0</v>
      </c>
      <c r="AB19" s="11">
        <f t="shared" si="7"/>
        <v>0</v>
      </c>
      <c r="AC19" s="11">
        <f t="shared" si="8"/>
        <v>0</v>
      </c>
      <c r="AD19" s="11" t="s">
        <v>59</v>
      </c>
    </row>
    <row r="20" spans="1:31" s="1" customFormat="1" ht="17.100000000000001" customHeight="1">
      <c r="A20" s="2">
        <v>18</v>
      </c>
      <c r="B20" s="3" t="s">
        <v>88</v>
      </c>
      <c r="C20" s="3" t="s">
        <v>89</v>
      </c>
      <c r="D20" s="4">
        <v>24</v>
      </c>
      <c r="E20" s="4">
        <v>20</v>
      </c>
      <c r="F20" s="4">
        <v>21.5</v>
      </c>
      <c r="G20" s="4">
        <v>81</v>
      </c>
      <c r="H20" s="4">
        <v>51</v>
      </c>
      <c r="I20" s="4">
        <v>24.5</v>
      </c>
      <c r="J20" s="5">
        <f t="shared" si="0"/>
        <v>0.10120949999999999</v>
      </c>
      <c r="K20" s="6"/>
      <c r="L20" s="6"/>
      <c r="M20" s="7">
        <f t="shared" si="1"/>
        <v>0</v>
      </c>
      <c r="N20" s="8"/>
      <c r="O20" s="6"/>
      <c r="P20" s="6"/>
      <c r="Q20" s="8">
        <f t="shared" si="3"/>
        <v>0</v>
      </c>
      <c r="R20" s="6"/>
      <c r="S20" s="6" t="s">
        <v>80</v>
      </c>
      <c r="T20" s="6"/>
      <c r="U20" s="6"/>
      <c r="V20" s="6"/>
      <c r="W20" s="9"/>
      <c r="X20" s="6" t="s">
        <v>58</v>
      </c>
      <c r="Y20" s="9" t="e">
        <f t="shared" si="4"/>
        <v>#DIV/0!</v>
      </c>
      <c r="Z20" s="10" t="e">
        <f t="shared" si="5"/>
        <v>#DIV/0!</v>
      </c>
      <c r="AA20" s="10" t="e">
        <f t="shared" si="6"/>
        <v>#DIV/0!</v>
      </c>
      <c r="AB20" s="11" t="e">
        <f t="shared" si="7"/>
        <v>#DIV/0!</v>
      </c>
      <c r="AC20" s="11" t="e">
        <f t="shared" si="8"/>
        <v>#DIV/0!</v>
      </c>
      <c r="AD20" s="11" t="s">
        <v>59</v>
      </c>
    </row>
    <row r="21" spans="1:31" s="1" customFormat="1" ht="17.100000000000001" customHeight="1">
      <c r="A21" s="2">
        <v>19</v>
      </c>
      <c r="B21" s="3" t="s">
        <v>90</v>
      </c>
      <c r="C21" s="3" t="s">
        <v>91</v>
      </c>
      <c r="D21" s="4">
        <v>24</v>
      </c>
      <c r="E21" s="4">
        <v>20</v>
      </c>
      <c r="F21" s="4">
        <v>21.5</v>
      </c>
      <c r="G21" s="4">
        <v>81</v>
      </c>
      <c r="H21" s="4">
        <v>51</v>
      </c>
      <c r="I21" s="4">
        <v>24.5</v>
      </c>
      <c r="J21" s="5">
        <f t="shared" si="0"/>
        <v>0.10120949999999999</v>
      </c>
      <c r="K21" s="6">
        <v>100</v>
      </c>
      <c r="L21" s="19">
        <v>8</v>
      </c>
      <c r="M21" s="7">
        <v>1000</v>
      </c>
      <c r="N21" s="8">
        <v>3</v>
      </c>
      <c r="O21" s="6">
        <v>5</v>
      </c>
      <c r="P21" s="6">
        <f t="shared" ref="P21:P34" si="9">N21*O21</f>
        <v>15</v>
      </c>
      <c r="Q21" s="8">
        <f t="shared" si="3"/>
        <v>15000</v>
      </c>
      <c r="R21" s="6">
        <v>14.47</v>
      </c>
      <c r="S21" s="6" t="s">
        <v>57</v>
      </c>
      <c r="T21" s="6"/>
      <c r="U21" s="6"/>
      <c r="V21" s="6"/>
      <c r="W21" s="9"/>
      <c r="X21" s="6" t="s">
        <v>58</v>
      </c>
      <c r="Y21" s="9">
        <f t="shared" si="4"/>
        <v>0</v>
      </c>
      <c r="Z21" s="10">
        <f t="shared" si="5"/>
        <v>0</v>
      </c>
      <c r="AA21" s="10">
        <f t="shared" si="6"/>
        <v>0</v>
      </c>
      <c r="AB21" s="11">
        <f t="shared" si="7"/>
        <v>0</v>
      </c>
      <c r="AC21" s="11">
        <f t="shared" si="8"/>
        <v>0</v>
      </c>
      <c r="AD21" s="11" t="s">
        <v>59</v>
      </c>
    </row>
    <row r="22" spans="1:31" s="1" customFormat="1" ht="17.100000000000001" customHeight="1">
      <c r="A22" s="2">
        <v>20</v>
      </c>
      <c r="B22" s="3" t="s">
        <v>92</v>
      </c>
      <c r="C22" s="3" t="s">
        <v>93</v>
      </c>
      <c r="D22" s="4">
        <v>40</v>
      </c>
      <c r="E22" s="4">
        <v>20</v>
      </c>
      <c r="F22" s="4">
        <v>5.3</v>
      </c>
      <c r="G22" s="4">
        <v>60</v>
      </c>
      <c r="H22" s="4">
        <v>42</v>
      </c>
      <c r="I22" s="4">
        <v>36.5</v>
      </c>
      <c r="J22" s="5">
        <f t="shared" si="0"/>
        <v>9.1980000000000006E-2</v>
      </c>
      <c r="K22" s="6">
        <v>500</v>
      </c>
      <c r="L22" s="6">
        <v>18</v>
      </c>
      <c r="M22" s="7">
        <f>K22*L22</f>
        <v>9000</v>
      </c>
      <c r="N22" s="8">
        <v>5</v>
      </c>
      <c r="O22" s="6">
        <v>4</v>
      </c>
      <c r="P22" s="6">
        <f t="shared" si="9"/>
        <v>20</v>
      </c>
      <c r="Q22" s="8">
        <f t="shared" si="3"/>
        <v>180000</v>
      </c>
      <c r="R22" s="6">
        <v>19.100000000000001</v>
      </c>
      <c r="S22" s="6" t="s">
        <v>57</v>
      </c>
      <c r="T22" s="6"/>
      <c r="U22" s="6"/>
      <c r="V22" s="6"/>
      <c r="W22" s="9"/>
      <c r="X22" s="6" t="s">
        <v>58</v>
      </c>
      <c r="Y22" s="9">
        <f t="shared" si="4"/>
        <v>0</v>
      </c>
      <c r="Z22" s="10">
        <f t="shared" si="5"/>
        <v>0</v>
      </c>
      <c r="AA22" s="10">
        <f t="shared" si="6"/>
        <v>0</v>
      </c>
      <c r="AB22" s="11">
        <f t="shared" si="7"/>
        <v>0</v>
      </c>
      <c r="AC22" s="11">
        <f t="shared" si="8"/>
        <v>0</v>
      </c>
      <c r="AD22" s="11" t="s">
        <v>59</v>
      </c>
    </row>
    <row r="23" spans="1:31" s="1" customFormat="1" ht="17.100000000000001" customHeight="1">
      <c r="A23" s="2">
        <v>21</v>
      </c>
      <c r="B23" s="3" t="s">
        <v>94</v>
      </c>
      <c r="C23" s="3" t="s">
        <v>95</v>
      </c>
      <c r="D23" s="4">
        <v>24</v>
      </c>
      <c r="E23" s="4">
        <v>20</v>
      </c>
      <c r="F23" s="4">
        <v>21.5</v>
      </c>
      <c r="G23" s="4">
        <v>81</v>
      </c>
      <c r="H23" s="4">
        <v>51</v>
      </c>
      <c r="I23" s="4">
        <v>24.5</v>
      </c>
      <c r="J23" s="5">
        <f t="shared" si="0"/>
        <v>0.10120949999999999</v>
      </c>
      <c r="K23" s="6">
        <v>100</v>
      </c>
      <c r="L23" s="19">
        <v>8</v>
      </c>
      <c r="M23" s="7">
        <v>1000</v>
      </c>
      <c r="N23" s="8">
        <v>3</v>
      </c>
      <c r="O23" s="6">
        <v>5</v>
      </c>
      <c r="P23" s="6">
        <f t="shared" si="9"/>
        <v>15</v>
      </c>
      <c r="Q23" s="8">
        <f t="shared" si="3"/>
        <v>15000</v>
      </c>
      <c r="R23" s="6">
        <v>14.47</v>
      </c>
      <c r="S23" s="6" t="s">
        <v>57</v>
      </c>
      <c r="T23" s="6"/>
      <c r="U23" s="6"/>
      <c r="V23" s="6"/>
      <c r="W23" s="9"/>
      <c r="X23" s="6" t="s">
        <v>58</v>
      </c>
      <c r="Y23" s="9">
        <f t="shared" si="4"/>
        <v>0</v>
      </c>
      <c r="Z23" s="10">
        <f t="shared" si="5"/>
        <v>0</v>
      </c>
      <c r="AA23" s="10">
        <f t="shared" si="6"/>
        <v>0</v>
      </c>
      <c r="AB23" s="11">
        <f t="shared" si="7"/>
        <v>0</v>
      </c>
      <c r="AC23" s="11">
        <f t="shared" si="8"/>
        <v>0</v>
      </c>
      <c r="AD23" s="11" t="s">
        <v>59</v>
      </c>
    </row>
    <row r="24" spans="1:31" s="1" customFormat="1" ht="17.100000000000001" customHeight="1">
      <c r="A24" s="2">
        <v>22</v>
      </c>
      <c r="B24" s="3" t="s">
        <v>96</v>
      </c>
      <c r="C24" s="3" t="s">
        <v>97</v>
      </c>
      <c r="D24" s="4">
        <v>21</v>
      </c>
      <c r="E24" s="4">
        <v>21</v>
      </c>
      <c r="F24" s="4">
        <v>14</v>
      </c>
      <c r="G24" s="4">
        <v>59.5</v>
      </c>
      <c r="H24" s="4">
        <v>45.5</v>
      </c>
      <c r="I24" s="4">
        <v>45</v>
      </c>
      <c r="J24" s="5">
        <f t="shared" si="0"/>
        <v>0.12182625</v>
      </c>
      <c r="K24" s="6">
        <v>50</v>
      </c>
      <c r="L24" s="6">
        <v>16</v>
      </c>
      <c r="M24" s="7">
        <f t="shared" ref="M24:M34" si="10">K24*L24</f>
        <v>800</v>
      </c>
      <c r="N24" s="8">
        <v>4</v>
      </c>
      <c r="O24" s="6">
        <v>4</v>
      </c>
      <c r="P24" s="6">
        <f t="shared" si="9"/>
        <v>16</v>
      </c>
      <c r="Q24" s="94" t="s">
        <v>98</v>
      </c>
      <c r="R24" s="6">
        <v>15.61</v>
      </c>
      <c r="S24" s="6" t="s">
        <v>57</v>
      </c>
      <c r="T24" s="6"/>
      <c r="U24" s="6"/>
      <c r="V24" s="6"/>
      <c r="W24" s="9"/>
      <c r="X24" s="6" t="s">
        <v>58</v>
      </c>
      <c r="Y24" s="9">
        <f t="shared" si="4"/>
        <v>0</v>
      </c>
      <c r="Z24" s="10">
        <f t="shared" si="5"/>
        <v>0</v>
      </c>
      <c r="AA24" s="10">
        <f t="shared" si="6"/>
        <v>0</v>
      </c>
      <c r="AB24" s="11">
        <f t="shared" si="7"/>
        <v>0</v>
      </c>
      <c r="AC24" s="11">
        <f t="shared" si="8"/>
        <v>0</v>
      </c>
      <c r="AD24" s="11" t="s">
        <v>59</v>
      </c>
    </row>
    <row r="25" spans="1:31" s="1" customFormat="1" ht="17.100000000000001" customHeight="1">
      <c r="A25" s="2">
        <v>23</v>
      </c>
      <c r="B25" s="3" t="s">
        <v>99</v>
      </c>
      <c r="C25" s="3" t="s">
        <v>100</v>
      </c>
      <c r="D25" s="4">
        <v>21</v>
      </c>
      <c r="E25" s="4">
        <v>21</v>
      </c>
      <c r="F25" s="4">
        <v>14</v>
      </c>
      <c r="G25" s="4">
        <v>59.5</v>
      </c>
      <c r="H25" s="4">
        <v>45.5</v>
      </c>
      <c r="I25" s="4">
        <v>45</v>
      </c>
      <c r="J25" s="5">
        <f t="shared" si="0"/>
        <v>0.12182625</v>
      </c>
      <c r="K25" s="6">
        <v>50</v>
      </c>
      <c r="L25" s="19">
        <v>16</v>
      </c>
      <c r="M25" s="7">
        <f t="shared" si="10"/>
        <v>800</v>
      </c>
      <c r="N25" s="8">
        <v>4</v>
      </c>
      <c r="O25" s="6">
        <v>4</v>
      </c>
      <c r="P25" s="6">
        <f t="shared" si="9"/>
        <v>16</v>
      </c>
      <c r="Q25" s="94" t="s">
        <v>98</v>
      </c>
      <c r="R25" s="6">
        <v>15.61</v>
      </c>
      <c r="S25" s="6" t="s">
        <v>57</v>
      </c>
      <c r="T25" s="6"/>
      <c r="U25" s="6"/>
      <c r="V25" s="6"/>
      <c r="W25" s="9"/>
      <c r="X25" s="6" t="s">
        <v>58</v>
      </c>
      <c r="Y25" s="9">
        <f t="shared" si="4"/>
        <v>0</v>
      </c>
      <c r="Z25" s="10">
        <f t="shared" si="5"/>
        <v>0</v>
      </c>
      <c r="AA25" s="10">
        <f t="shared" si="6"/>
        <v>0</v>
      </c>
      <c r="AB25" s="11">
        <f t="shared" si="7"/>
        <v>0</v>
      </c>
      <c r="AC25" s="11">
        <f t="shared" si="8"/>
        <v>0</v>
      </c>
      <c r="AD25" s="11" t="s">
        <v>59</v>
      </c>
    </row>
    <row r="26" spans="1:31" s="1" customFormat="1" ht="17.100000000000001" customHeight="1">
      <c r="A26" s="2">
        <v>24</v>
      </c>
      <c r="B26" s="3" t="s">
        <v>18</v>
      </c>
      <c r="C26" s="3" t="s">
        <v>101</v>
      </c>
      <c r="D26" s="4">
        <v>21</v>
      </c>
      <c r="E26" s="4">
        <v>21</v>
      </c>
      <c r="F26" s="4">
        <v>14</v>
      </c>
      <c r="G26" s="4">
        <v>59.5</v>
      </c>
      <c r="H26" s="4">
        <v>45.5</v>
      </c>
      <c r="I26" s="4">
        <v>45</v>
      </c>
      <c r="J26" s="5">
        <f t="shared" si="0"/>
        <v>0.12182625</v>
      </c>
      <c r="K26" s="6">
        <v>50</v>
      </c>
      <c r="L26" s="6">
        <v>16</v>
      </c>
      <c r="M26" s="7">
        <f t="shared" si="10"/>
        <v>800</v>
      </c>
      <c r="N26" s="8">
        <v>4</v>
      </c>
      <c r="O26" s="6">
        <v>4</v>
      </c>
      <c r="P26" s="6">
        <f t="shared" si="9"/>
        <v>16</v>
      </c>
      <c r="Q26" s="25">
        <f>800*4</f>
        <v>3200</v>
      </c>
      <c r="R26" s="6">
        <v>15.61</v>
      </c>
      <c r="S26" s="6" t="s">
        <v>57</v>
      </c>
      <c r="T26" s="6"/>
      <c r="U26" s="6"/>
      <c r="V26" s="6"/>
      <c r="W26" s="9"/>
      <c r="X26" s="6" t="s">
        <v>58</v>
      </c>
      <c r="Y26" s="9">
        <f t="shared" si="4"/>
        <v>0</v>
      </c>
      <c r="Z26" s="10">
        <f t="shared" si="5"/>
        <v>0</v>
      </c>
      <c r="AA26" s="10">
        <f t="shared" si="6"/>
        <v>0</v>
      </c>
      <c r="AB26" s="11">
        <f t="shared" si="7"/>
        <v>0</v>
      </c>
      <c r="AC26" s="11">
        <f t="shared" si="8"/>
        <v>0</v>
      </c>
      <c r="AD26" s="11" t="s">
        <v>59</v>
      </c>
    </row>
    <row r="27" spans="1:31" s="1" customFormat="1" ht="17.100000000000001" customHeight="1">
      <c r="A27" s="2">
        <v>25</v>
      </c>
      <c r="B27" s="3" t="s">
        <v>102</v>
      </c>
      <c r="C27" s="3" t="s">
        <v>103</v>
      </c>
      <c r="D27" s="4"/>
      <c r="E27" s="4"/>
      <c r="F27" s="4"/>
      <c r="G27" s="4"/>
      <c r="H27" s="4"/>
      <c r="I27" s="4"/>
      <c r="J27" s="5">
        <f t="shared" si="0"/>
        <v>0</v>
      </c>
      <c r="K27" s="6"/>
      <c r="L27" s="6"/>
      <c r="M27" s="7">
        <f t="shared" si="10"/>
        <v>0</v>
      </c>
      <c r="N27" s="8"/>
      <c r="O27" s="6"/>
      <c r="P27" s="6">
        <f t="shared" si="9"/>
        <v>0</v>
      </c>
      <c r="Q27" s="8">
        <f t="shared" ref="Q27:Q34" si="11">M27*P27</f>
        <v>0</v>
      </c>
      <c r="R27" s="6"/>
      <c r="S27" s="6" t="s">
        <v>80</v>
      </c>
      <c r="T27" s="6"/>
      <c r="U27" s="6"/>
      <c r="V27" s="6"/>
      <c r="W27" s="9"/>
      <c r="X27" s="6" t="s">
        <v>58</v>
      </c>
      <c r="Y27" s="9" t="e">
        <f t="shared" si="4"/>
        <v>#DIV/0!</v>
      </c>
      <c r="Z27" s="10" t="e">
        <f t="shared" si="5"/>
        <v>#DIV/0!</v>
      </c>
      <c r="AA27" s="10" t="e">
        <f t="shared" si="6"/>
        <v>#DIV/0!</v>
      </c>
      <c r="AB27" s="11" t="e">
        <f t="shared" si="7"/>
        <v>#DIV/0!</v>
      </c>
      <c r="AC27" s="11" t="e">
        <f t="shared" si="8"/>
        <v>#DIV/0!</v>
      </c>
      <c r="AD27" s="11" t="s">
        <v>59</v>
      </c>
    </row>
    <row r="28" spans="1:31" s="1" customFormat="1" ht="17.100000000000001" customHeight="1">
      <c r="A28" s="2">
        <v>26</v>
      </c>
      <c r="B28" s="3" t="s">
        <v>104</v>
      </c>
      <c r="C28" s="3" t="s">
        <v>105</v>
      </c>
      <c r="D28" s="4">
        <v>36</v>
      </c>
      <c r="E28" s="4">
        <v>21.3</v>
      </c>
      <c r="F28" s="4">
        <v>15</v>
      </c>
      <c r="G28" s="4">
        <v>77.5</v>
      </c>
      <c r="H28" s="4">
        <v>38</v>
      </c>
      <c r="I28" s="4">
        <v>23.5</v>
      </c>
      <c r="J28" s="5">
        <f t="shared" si="0"/>
        <v>6.9207500000000005E-2</v>
      </c>
      <c r="K28" s="6">
        <v>40</v>
      </c>
      <c r="L28" s="19">
        <v>5</v>
      </c>
      <c r="M28" s="7">
        <f t="shared" si="10"/>
        <v>200</v>
      </c>
      <c r="N28" s="8">
        <v>4</v>
      </c>
      <c r="O28" s="6">
        <v>6</v>
      </c>
      <c r="P28" s="6">
        <f t="shared" si="9"/>
        <v>24</v>
      </c>
      <c r="Q28" s="8">
        <f t="shared" si="11"/>
        <v>4800</v>
      </c>
      <c r="R28" s="6">
        <v>9.0950000000000006</v>
      </c>
      <c r="S28" s="6" t="s">
        <v>57</v>
      </c>
      <c r="T28" s="6"/>
      <c r="U28" s="6"/>
      <c r="V28" s="6"/>
      <c r="W28" s="9"/>
      <c r="X28" s="6" t="s">
        <v>58</v>
      </c>
      <c r="Y28" s="9">
        <f t="shared" si="4"/>
        <v>0</v>
      </c>
      <c r="Z28" s="10">
        <f t="shared" si="5"/>
        <v>0</v>
      </c>
      <c r="AA28" s="10">
        <f t="shared" si="6"/>
        <v>0</v>
      </c>
      <c r="AB28" s="11">
        <f t="shared" si="7"/>
        <v>0</v>
      </c>
      <c r="AC28" s="11">
        <f t="shared" si="8"/>
        <v>0</v>
      </c>
      <c r="AD28" s="11" t="s">
        <v>59</v>
      </c>
    </row>
    <row r="29" spans="1:31" s="1" customFormat="1" ht="17.100000000000001" customHeight="1">
      <c r="A29" s="2">
        <v>27</v>
      </c>
      <c r="B29" s="3" t="s">
        <v>106</v>
      </c>
      <c r="C29" s="3" t="s">
        <v>105</v>
      </c>
      <c r="D29" s="4">
        <v>36</v>
      </c>
      <c r="E29" s="4">
        <v>21.3</v>
      </c>
      <c r="F29" s="4">
        <v>15</v>
      </c>
      <c r="G29" s="4">
        <v>77.5</v>
      </c>
      <c r="H29" s="4">
        <v>38</v>
      </c>
      <c r="I29" s="4">
        <v>23.5</v>
      </c>
      <c r="J29" s="5">
        <f t="shared" si="0"/>
        <v>6.9207500000000005E-2</v>
      </c>
      <c r="K29" s="6">
        <v>40</v>
      </c>
      <c r="L29" s="19">
        <v>5</v>
      </c>
      <c r="M29" s="7">
        <f t="shared" si="10"/>
        <v>200</v>
      </c>
      <c r="N29" s="8">
        <v>4</v>
      </c>
      <c r="O29" s="6">
        <v>6</v>
      </c>
      <c r="P29" s="6">
        <f t="shared" si="9"/>
        <v>24</v>
      </c>
      <c r="Q29" s="8">
        <f t="shared" si="11"/>
        <v>4800</v>
      </c>
      <c r="R29" s="6">
        <v>9.0950000000000006</v>
      </c>
      <c r="S29" s="6" t="s">
        <v>57</v>
      </c>
      <c r="T29" s="6"/>
      <c r="U29" s="6"/>
      <c r="V29" s="6"/>
      <c r="W29" s="9"/>
      <c r="X29" s="6" t="s">
        <v>58</v>
      </c>
      <c r="Y29" s="9">
        <f t="shared" si="4"/>
        <v>0</v>
      </c>
      <c r="Z29" s="10">
        <f t="shared" si="5"/>
        <v>0</v>
      </c>
      <c r="AA29" s="10">
        <f t="shared" si="6"/>
        <v>0</v>
      </c>
      <c r="AB29" s="11">
        <f t="shared" si="7"/>
        <v>0</v>
      </c>
      <c r="AC29" s="11">
        <f t="shared" si="8"/>
        <v>0</v>
      </c>
      <c r="AD29" s="11" t="s">
        <v>59</v>
      </c>
    </row>
    <row r="30" spans="1:31" s="1" customFormat="1" ht="17.100000000000001" customHeight="1">
      <c r="A30" s="2">
        <v>28</v>
      </c>
      <c r="B30" s="3" t="s">
        <v>107</v>
      </c>
      <c r="C30" s="3" t="s">
        <v>108</v>
      </c>
      <c r="D30" s="4"/>
      <c r="E30" s="4"/>
      <c r="F30" s="4"/>
      <c r="G30" s="4"/>
      <c r="H30" s="4"/>
      <c r="I30" s="4"/>
      <c r="J30" s="5"/>
      <c r="K30" s="6"/>
      <c r="L30" s="6"/>
      <c r="M30" s="7">
        <f t="shared" si="10"/>
        <v>0</v>
      </c>
      <c r="N30" s="8"/>
      <c r="O30" s="6"/>
      <c r="P30" s="6">
        <f t="shared" si="9"/>
        <v>0</v>
      </c>
      <c r="Q30" s="8">
        <f t="shared" si="11"/>
        <v>0</v>
      </c>
      <c r="R30" s="6"/>
      <c r="S30" s="6" t="s">
        <v>80</v>
      </c>
      <c r="T30" s="6"/>
      <c r="U30" s="6"/>
      <c r="V30" s="6"/>
      <c r="W30" s="9"/>
      <c r="X30" s="6" t="s">
        <v>58</v>
      </c>
      <c r="Y30" s="9" t="e">
        <f t="shared" si="4"/>
        <v>#DIV/0!</v>
      </c>
      <c r="Z30" s="10" t="e">
        <f t="shared" si="5"/>
        <v>#DIV/0!</v>
      </c>
      <c r="AA30" s="10" t="e">
        <f t="shared" si="6"/>
        <v>#DIV/0!</v>
      </c>
      <c r="AB30" s="11" t="e">
        <f t="shared" si="7"/>
        <v>#DIV/0!</v>
      </c>
      <c r="AC30" s="11" t="e">
        <f t="shared" si="8"/>
        <v>#DIV/0!</v>
      </c>
      <c r="AD30" s="11" t="s">
        <v>59</v>
      </c>
    </row>
    <row r="31" spans="1:31" s="1" customFormat="1" ht="17.100000000000001" customHeight="1">
      <c r="A31" s="2">
        <v>29</v>
      </c>
      <c r="B31" s="3" t="s">
        <v>109</v>
      </c>
      <c r="C31" s="3" t="s">
        <v>110</v>
      </c>
      <c r="D31" s="4">
        <v>28</v>
      </c>
      <c r="E31" s="4">
        <v>20.5</v>
      </c>
      <c r="F31" s="4">
        <v>14</v>
      </c>
      <c r="G31" s="4">
        <v>58</v>
      </c>
      <c r="H31" s="4">
        <v>45.5</v>
      </c>
      <c r="I31" s="4">
        <v>46.5</v>
      </c>
      <c r="J31" s="5">
        <f>(G31*H31*I31)/1000000</f>
        <v>0.1227135</v>
      </c>
      <c r="K31" s="6">
        <v>30</v>
      </c>
      <c r="L31" s="19">
        <v>12</v>
      </c>
      <c r="M31" s="7">
        <f t="shared" si="10"/>
        <v>360</v>
      </c>
      <c r="N31" s="8">
        <v>4</v>
      </c>
      <c r="O31" s="6">
        <v>4</v>
      </c>
      <c r="P31" s="6">
        <f t="shared" si="9"/>
        <v>16</v>
      </c>
      <c r="Q31" s="8">
        <f t="shared" si="11"/>
        <v>5760</v>
      </c>
      <c r="R31" s="6">
        <v>9.0950000000000006</v>
      </c>
      <c r="S31" s="6" t="s">
        <v>57</v>
      </c>
      <c r="T31" s="6"/>
      <c r="U31" s="6"/>
      <c r="V31" s="6"/>
      <c r="W31" s="9"/>
      <c r="X31" s="6" t="s">
        <v>58</v>
      </c>
      <c r="Y31" s="9">
        <f t="shared" si="4"/>
        <v>0</v>
      </c>
      <c r="Z31" s="10">
        <f t="shared" si="5"/>
        <v>0</v>
      </c>
      <c r="AA31" s="10">
        <f t="shared" si="6"/>
        <v>0</v>
      </c>
      <c r="AB31" s="11">
        <f t="shared" si="7"/>
        <v>0</v>
      </c>
      <c r="AC31" s="11">
        <f t="shared" si="8"/>
        <v>0</v>
      </c>
      <c r="AD31" s="11" t="s">
        <v>59</v>
      </c>
    </row>
    <row r="32" spans="1:31" s="1" customFormat="1" ht="17.100000000000001" customHeight="1">
      <c r="A32" s="2">
        <v>30</v>
      </c>
      <c r="B32" s="3" t="s">
        <v>111</v>
      </c>
      <c r="C32" s="3" t="s">
        <v>112</v>
      </c>
      <c r="D32" s="4">
        <v>28</v>
      </c>
      <c r="E32" s="4">
        <v>20.5</v>
      </c>
      <c r="F32" s="4">
        <v>14</v>
      </c>
      <c r="G32" s="4">
        <v>58</v>
      </c>
      <c r="H32" s="4">
        <v>45.5</v>
      </c>
      <c r="I32" s="4">
        <v>46.5</v>
      </c>
      <c r="J32" s="5">
        <f>(G32*H32*I32)/1000000</f>
        <v>0.1227135</v>
      </c>
      <c r="K32" s="6">
        <v>30</v>
      </c>
      <c r="L32" s="19">
        <v>12</v>
      </c>
      <c r="M32" s="7">
        <f t="shared" si="10"/>
        <v>360</v>
      </c>
      <c r="N32" s="8">
        <v>4</v>
      </c>
      <c r="O32" s="6">
        <v>4</v>
      </c>
      <c r="P32" s="6">
        <f t="shared" si="9"/>
        <v>16</v>
      </c>
      <c r="Q32" s="8">
        <f t="shared" si="11"/>
        <v>5760</v>
      </c>
      <c r="R32" s="6">
        <v>9.0950000000000006</v>
      </c>
      <c r="S32" s="6" t="s">
        <v>57</v>
      </c>
      <c r="T32" s="6"/>
      <c r="U32" s="6"/>
      <c r="V32" s="6"/>
      <c r="W32" s="9"/>
      <c r="X32" s="6" t="s">
        <v>58</v>
      </c>
      <c r="Y32" s="9">
        <f t="shared" si="4"/>
        <v>0</v>
      </c>
      <c r="Z32" s="10">
        <f t="shared" si="5"/>
        <v>0</v>
      </c>
      <c r="AA32" s="10">
        <f t="shared" si="6"/>
        <v>0</v>
      </c>
      <c r="AB32" s="11">
        <f t="shared" si="7"/>
        <v>0</v>
      </c>
      <c r="AC32" s="11">
        <f t="shared" si="8"/>
        <v>0</v>
      </c>
      <c r="AD32" s="11" t="s">
        <v>59</v>
      </c>
    </row>
    <row r="33" spans="1:30" s="1" customFormat="1" ht="17.100000000000001" customHeight="1">
      <c r="A33" s="2">
        <v>31</v>
      </c>
      <c r="B33" s="3" t="s">
        <v>113</v>
      </c>
      <c r="C33" s="3" t="s">
        <v>114</v>
      </c>
      <c r="D33" s="4">
        <v>18.5</v>
      </c>
      <c r="E33" s="4">
        <v>15.5</v>
      </c>
      <c r="F33" s="4">
        <v>11.5</v>
      </c>
      <c r="G33" s="4">
        <v>62</v>
      </c>
      <c r="H33" s="4">
        <v>39</v>
      </c>
      <c r="I33" s="4">
        <v>49</v>
      </c>
      <c r="J33" s="5">
        <f>(G33*H33*I33)/1000000</f>
        <v>0.118482</v>
      </c>
      <c r="K33" s="6">
        <v>100</v>
      </c>
      <c r="L33" s="19">
        <v>32</v>
      </c>
      <c r="M33" s="7">
        <f t="shared" si="10"/>
        <v>3200</v>
      </c>
      <c r="N33" s="8">
        <v>5</v>
      </c>
      <c r="O33" s="6">
        <v>5</v>
      </c>
      <c r="P33" s="6">
        <f t="shared" si="9"/>
        <v>25</v>
      </c>
      <c r="Q33" s="8">
        <f t="shared" si="11"/>
        <v>80000</v>
      </c>
      <c r="R33" s="6">
        <v>14.8</v>
      </c>
      <c r="S33" s="6" t="s">
        <v>57</v>
      </c>
      <c r="T33" s="6"/>
      <c r="U33" s="6"/>
      <c r="V33" s="6"/>
      <c r="W33" s="9"/>
      <c r="X33" s="6" t="s">
        <v>58</v>
      </c>
      <c r="Y33" s="9">
        <f t="shared" si="4"/>
        <v>0</v>
      </c>
      <c r="Z33" s="10">
        <f t="shared" si="5"/>
        <v>0</v>
      </c>
      <c r="AA33" s="10">
        <f t="shared" si="6"/>
        <v>0</v>
      </c>
      <c r="AB33" s="11">
        <f t="shared" si="7"/>
        <v>0</v>
      </c>
      <c r="AC33" s="11">
        <f t="shared" si="8"/>
        <v>0</v>
      </c>
      <c r="AD33" s="11" t="s">
        <v>59</v>
      </c>
    </row>
    <row r="34" spans="1:30" s="1" customFormat="1" ht="17.100000000000001" customHeight="1">
      <c r="A34" s="2">
        <v>32</v>
      </c>
      <c r="B34" s="3" t="s">
        <v>115</v>
      </c>
      <c r="C34" s="3" t="s">
        <v>116</v>
      </c>
      <c r="D34" s="4">
        <v>18.5</v>
      </c>
      <c r="E34" s="4">
        <v>15.5</v>
      </c>
      <c r="F34" s="4">
        <v>11.5</v>
      </c>
      <c r="G34" s="4">
        <v>61</v>
      </c>
      <c r="H34" s="4">
        <v>39</v>
      </c>
      <c r="I34" s="4">
        <v>49</v>
      </c>
      <c r="J34" s="5">
        <f>(G34*H34*I34)/1000000</f>
        <v>0.11657099999999999</v>
      </c>
      <c r="K34" s="6">
        <v>100</v>
      </c>
      <c r="L34" s="19">
        <v>30</v>
      </c>
      <c r="M34" s="7">
        <f t="shared" si="10"/>
        <v>3000</v>
      </c>
      <c r="N34" s="8">
        <v>5</v>
      </c>
      <c r="O34" s="6">
        <v>5</v>
      </c>
      <c r="P34" s="6">
        <f t="shared" si="9"/>
        <v>25</v>
      </c>
      <c r="Q34" s="8">
        <f t="shared" si="11"/>
        <v>75000</v>
      </c>
      <c r="R34" s="6">
        <v>17.600000000000001</v>
      </c>
      <c r="S34" s="6" t="s">
        <v>57</v>
      </c>
      <c r="T34" s="6"/>
      <c r="U34" s="6"/>
      <c r="V34" s="6"/>
      <c r="W34" s="9"/>
      <c r="X34" s="6" t="s">
        <v>58</v>
      </c>
      <c r="Y34" s="9">
        <f t="shared" si="4"/>
        <v>0</v>
      </c>
      <c r="Z34" s="10">
        <f t="shared" si="5"/>
        <v>0</v>
      </c>
      <c r="AA34" s="10">
        <f t="shared" si="6"/>
        <v>0</v>
      </c>
      <c r="AB34" s="11">
        <f t="shared" si="7"/>
        <v>0</v>
      </c>
      <c r="AC34" s="11">
        <f t="shared" si="8"/>
        <v>0</v>
      </c>
      <c r="AD34" s="11" t="s">
        <v>59</v>
      </c>
    </row>
    <row r="35" spans="1:30" s="1" customFormat="1" ht="17.100000000000001" customHeight="1">
      <c r="A35" s="2">
        <v>33</v>
      </c>
      <c r="B35" s="3" t="s">
        <v>117</v>
      </c>
      <c r="C35" s="3" t="s">
        <v>118</v>
      </c>
      <c r="D35" s="4"/>
      <c r="E35" s="4"/>
      <c r="F35" s="4"/>
      <c r="G35" s="4"/>
      <c r="H35" s="4"/>
      <c r="I35" s="4"/>
      <c r="J35" s="5"/>
      <c r="K35" s="6"/>
      <c r="L35" s="19"/>
      <c r="M35" s="7"/>
      <c r="N35" s="8"/>
      <c r="O35" s="6"/>
      <c r="P35" s="6"/>
      <c r="Q35" s="8"/>
      <c r="R35" s="6"/>
      <c r="S35" s="6" t="s">
        <v>80</v>
      </c>
      <c r="T35" s="6"/>
      <c r="U35" s="6"/>
      <c r="V35" s="6"/>
      <c r="W35" s="9"/>
      <c r="X35" s="6" t="s">
        <v>58</v>
      </c>
      <c r="Y35" s="9" t="e">
        <f t="shared" si="4"/>
        <v>#DIV/0!</v>
      </c>
      <c r="Z35" s="10" t="e">
        <f t="shared" si="5"/>
        <v>#DIV/0!</v>
      </c>
      <c r="AA35" s="10" t="e">
        <f t="shared" si="6"/>
        <v>#DIV/0!</v>
      </c>
      <c r="AB35" s="11" t="e">
        <f t="shared" si="7"/>
        <v>#DIV/0!</v>
      </c>
      <c r="AC35" s="11" t="e">
        <f t="shared" si="8"/>
        <v>#DIV/0!</v>
      </c>
      <c r="AD35" s="11" t="s">
        <v>59</v>
      </c>
    </row>
    <row r="36" spans="1:30" s="1" customFormat="1" ht="17.100000000000001" customHeight="1">
      <c r="A36" s="2">
        <v>34</v>
      </c>
      <c r="B36" s="3" t="s">
        <v>119</v>
      </c>
      <c r="C36" s="3" t="s">
        <v>120</v>
      </c>
      <c r="D36" s="4"/>
      <c r="E36" s="4"/>
      <c r="F36" s="4"/>
      <c r="G36" s="4"/>
      <c r="H36" s="4"/>
      <c r="I36" s="4"/>
      <c r="J36" s="5"/>
      <c r="K36" s="6"/>
      <c r="L36" s="6"/>
      <c r="M36" s="7"/>
      <c r="N36" s="8"/>
      <c r="O36" s="6"/>
      <c r="P36" s="6"/>
      <c r="Q36" s="8"/>
      <c r="R36" s="6"/>
      <c r="S36" s="6" t="s">
        <v>80</v>
      </c>
      <c r="T36" s="6"/>
      <c r="U36" s="6"/>
      <c r="V36" s="6"/>
      <c r="W36" s="9"/>
      <c r="X36" s="6" t="s">
        <v>58</v>
      </c>
      <c r="Y36" s="9" t="e">
        <f t="shared" si="4"/>
        <v>#DIV/0!</v>
      </c>
      <c r="Z36" s="10" t="e">
        <f t="shared" si="5"/>
        <v>#DIV/0!</v>
      </c>
      <c r="AA36" s="10" t="e">
        <f t="shared" si="6"/>
        <v>#DIV/0!</v>
      </c>
      <c r="AB36" s="11" t="e">
        <f t="shared" si="7"/>
        <v>#DIV/0!</v>
      </c>
      <c r="AC36" s="11" t="e">
        <f t="shared" si="8"/>
        <v>#DIV/0!</v>
      </c>
      <c r="AD36" s="11" t="s">
        <v>59</v>
      </c>
    </row>
    <row r="37" spans="1:30" s="1" customFormat="1" ht="17.100000000000001" customHeight="1">
      <c r="A37" s="2">
        <v>35</v>
      </c>
      <c r="B37" s="3" t="s">
        <v>121</v>
      </c>
      <c r="C37" s="3" t="s">
        <v>122</v>
      </c>
      <c r="D37" s="4">
        <v>36</v>
      </c>
      <c r="E37" s="4">
        <v>21.2</v>
      </c>
      <c r="F37" s="4">
        <v>23</v>
      </c>
      <c r="G37" s="4">
        <v>36</v>
      </c>
      <c r="H37" s="4">
        <v>21</v>
      </c>
      <c r="I37" s="4">
        <v>23</v>
      </c>
      <c r="J37" s="5">
        <f t="shared" ref="J37:J46" si="12">(G37*H37*I37)/1000000</f>
        <v>1.7388000000000001E-2</v>
      </c>
      <c r="K37" s="6">
        <v>1</v>
      </c>
      <c r="L37" s="6">
        <v>1</v>
      </c>
      <c r="M37" s="7">
        <f t="shared" ref="M37:M46" si="13">K37*L37</f>
        <v>1</v>
      </c>
      <c r="N37" s="8">
        <v>10</v>
      </c>
      <c r="O37" s="6">
        <v>10</v>
      </c>
      <c r="P37" s="6">
        <f t="shared" ref="P37:P46" si="14">N37*O37</f>
        <v>100</v>
      </c>
      <c r="Q37" s="8">
        <f t="shared" ref="Q37:Q46" si="15">M37*P37</f>
        <v>100</v>
      </c>
      <c r="R37" s="6">
        <v>3</v>
      </c>
      <c r="S37" s="6" t="s">
        <v>57</v>
      </c>
      <c r="T37" s="6"/>
      <c r="U37" s="6"/>
      <c r="V37" s="6"/>
      <c r="W37" s="9"/>
      <c r="X37" s="6" t="s">
        <v>58</v>
      </c>
      <c r="Y37" s="9">
        <f t="shared" si="4"/>
        <v>0</v>
      </c>
      <c r="Z37" s="10">
        <f t="shared" si="5"/>
        <v>0</v>
      </c>
      <c r="AA37" s="10">
        <f t="shared" si="6"/>
        <v>0</v>
      </c>
      <c r="AB37" s="11">
        <f t="shared" si="7"/>
        <v>0</v>
      </c>
      <c r="AC37" s="11">
        <f t="shared" si="8"/>
        <v>0</v>
      </c>
      <c r="AD37" s="11" t="s">
        <v>59</v>
      </c>
    </row>
    <row r="38" spans="1:30" s="1" customFormat="1" ht="17.100000000000001" customHeight="1">
      <c r="A38" s="2">
        <v>36</v>
      </c>
      <c r="B38" s="3" t="s">
        <v>123</v>
      </c>
      <c r="C38" s="3" t="s">
        <v>124</v>
      </c>
      <c r="D38" s="4">
        <v>16</v>
      </c>
      <c r="E38" s="4">
        <v>7.5</v>
      </c>
      <c r="F38" s="17">
        <v>16.5</v>
      </c>
      <c r="G38" s="4">
        <v>75</v>
      </c>
      <c r="H38" s="4">
        <v>34</v>
      </c>
      <c r="I38" s="17">
        <v>34</v>
      </c>
      <c r="J38" s="5">
        <f t="shared" si="12"/>
        <v>8.6699999999999999E-2</v>
      </c>
      <c r="K38" s="6">
        <v>50</v>
      </c>
      <c r="L38" s="6">
        <v>40</v>
      </c>
      <c r="M38" s="7">
        <f t="shared" si="13"/>
        <v>2000</v>
      </c>
      <c r="N38" s="8">
        <v>6</v>
      </c>
      <c r="O38" s="6">
        <v>5</v>
      </c>
      <c r="P38" s="6">
        <f t="shared" si="14"/>
        <v>30</v>
      </c>
      <c r="Q38" s="8">
        <f t="shared" si="15"/>
        <v>60000</v>
      </c>
      <c r="R38" s="6">
        <v>11.2</v>
      </c>
      <c r="S38" s="6" t="s">
        <v>57</v>
      </c>
      <c r="T38" s="6"/>
      <c r="U38" s="6"/>
      <c r="V38" s="6"/>
      <c r="W38" s="9"/>
      <c r="X38" s="6" t="s">
        <v>58</v>
      </c>
      <c r="Y38" s="9">
        <f t="shared" si="4"/>
        <v>0</v>
      </c>
      <c r="Z38" s="10">
        <f t="shared" si="5"/>
        <v>0</v>
      </c>
      <c r="AA38" s="10">
        <f t="shared" si="6"/>
        <v>0</v>
      </c>
      <c r="AB38" s="11">
        <f t="shared" si="7"/>
        <v>0</v>
      </c>
      <c r="AC38" s="11">
        <f t="shared" si="8"/>
        <v>0</v>
      </c>
      <c r="AD38" s="11" t="s">
        <v>59</v>
      </c>
    </row>
    <row r="39" spans="1:30" s="1" customFormat="1" ht="17.100000000000001" customHeight="1">
      <c r="A39" s="2">
        <v>37</v>
      </c>
      <c r="B39" s="3" t="s">
        <v>125</v>
      </c>
      <c r="C39" s="3" t="s">
        <v>126</v>
      </c>
      <c r="D39" s="4">
        <v>16</v>
      </c>
      <c r="E39" s="4">
        <v>7.5</v>
      </c>
      <c r="F39" s="4">
        <v>16</v>
      </c>
      <c r="G39" s="4">
        <v>75</v>
      </c>
      <c r="H39" s="4">
        <v>34</v>
      </c>
      <c r="I39" s="17">
        <v>34</v>
      </c>
      <c r="J39" s="5">
        <f t="shared" si="12"/>
        <v>8.6699999999999999E-2</v>
      </c>
      <c r="K39" s="6">
        <v>50</v>
      </c>
      <c r="L39" s="6">
        <v>40</v>
      </c>
      <c r="M39" s="7">
        <f t="shared" si="13"/>
        <v>2000</v>
      </c>
      <c r="N39" s="8">
        <v>6</v>
      </c>
      <c r="O39" s="6">
        <v>5</v>
      </c>
      <c r="P39" s="6">
        <f t="shared" si="14"/>
        <v>30</v>
      </c>
      <c r="Q39" s="8">
        <f t="shared" si="15"/>
        <v>60000</v>
      </c>
      <c r="R39" s="6">
        <v>11.2</v>
      </c>
      <c r="S39" s="6" t="s">
        <v>57</v>
      </c>
      <c r="T39" s="6"/>
      <c r="U39" s="6"/>
      <c r="V39" s="6"/>
      <c r="W39" s="9"/>
      <c r="X39" s="6" t="s">
        <v>58</v>
      </c>
      <c r="Y39" s="9">
        <f t="shared" si="4"/>
        <v>0</v>
      </c>
      <c r="Z39" s="10">
        <f t="shared" si="5"/>
        <v>0</v>
      </c>
      <c r="AA39" s="10">
        <f t="shared" si="6"/>
        <v>0</v>
      </c>
      <c r="AB39" s="11">
        <f t="shared" si="7"/>
        <v>0</v>
      </c>
      <c r="AC39" s="11">
        <f t="shared" si="8"/>
        <v>0</v>
      </c>
      <c r="AD39" s="11" t="s">
        <v>59</v>
      </c>
    </row>
    <row r="40" spans="1:30" s="1" customFormat="1" ht="17.100000000000001" customHeight="1">
      <c r="A40" s="2">
        <v>38</v>
      </c>
      <c r="B40" s="3" t="s">
        <v>127</v>
      </c>
      <c r="C40" s="3" t="s">
        <v>128</v>
      </c>
      <c r="D40" s="4">
        <v>16</v>
      </c>
      <c r="E40" s="4">
        <v>7.5</v>
      </c>
      <c r="F40" s="4">
        <v>16</v>
      </c>
      <c r="G40" s="4">
        <v>75</v>
      </c>
      <c r="H40" s="4">
        <v>34</v>
      </c>
      <c r="I40" s="17">
        <v>34</v>
      </c>
      <c r="J40" s="5">
        <f t="shared" si="12"/>
        <v>8.6699999999999999E-2</v>
      </c>
      <c r="K40" s="6">
        <v>50</v>
      </c>
      <c r="L40" s="6">
        <v>40</v>
      </c>
      <c r="M40" s="7">
        <f t="shared" si="13"/>
        <v>2000</v>
      </c>
      <c r="N40" s="8">
        <v>6</v>
      </c>
      <c r="O40" s="6">
        <v>5</v>
      </c>
      <c r="P40" s="6">
        <f t="shared" si="14"/>
        <v>30</v>
      </c>
      <c r="Q40" s="8">
        <f t="shared" si="15"/>
        <v>60000</v>
      </c>
      <c r="R40" s="6">
        <v>11.2</v>
      </c>
      <c r="S40" s="6" t="s">
        <v>57</v>
      </c>
      <c r="T40" s="6"/>
      <c r="U40" s="6"/>
      <c r="V40" s="6"/>
      <c r="W40" s="9"/>
      <c r="X40" s="6" t="s">
        <v>58</v>
      </c>
      <c r="Y40" s="9">
        <f t="shared" si="4"/>
        <v>0</v>
      </c>
      <c r="Z40" s="10">
        <f t="shared" si="5"/>
        <v>0</v>
      </c>
      <c r="AA40" s="10">
        <f t="shared" si="6"/>
        <v>0</v>
      </c>
      <c r="AB40" s="11">
        <f t="shared" si="7"/>
        <v>0</v>
      </c>
      <c r="AC40" s="11">
        <f t="shared" si="8"/>
        <v>0</v>
      </c>
      <c r="AD40" s="11" t="s">
        <v>59</v>
      </c>
    </row>
    <row r="41" spans="1:30" s="1" customFormat="1" ht="17.100000000000001" customHeight="1">
      <c r="A41" s="2">
        <v>39</v>
      </c>
      <c r="B41" s="3" t="s">
        <v>129</v>
      </c>
      <c r="C41" s="3" t="s">
        <v>130</v>
      </c>
      <c r="D41" s="4">
        <v>16</v>
      </c>
      <c r="E41" s="4">
        <v>7.5</v>
      </c>
      <c r="F41" s="4">
        <v>16</v>
      </c>
      <c r="G41" s="4">
        <v>75</v>
      </c>
      <c r="H41" s="4">
        <v>34</v>
      </c>
      <c r="I41" s="17">
        <v>34</v>
      </c>
      <c r="J41" s="5">
        <f t="shared" si="12"/>
        <v>8.6699999999999999E-2</v>
      </c>
      <c r="K41" s="6">
        <v>50</v>
      </c>
      <c r="L41" s="6">
        <v>40</v>
      </c>
      <c r="M41" s="7">
        <f t="shared" si="13"/>
        <v>2000</v>
      </c>
      <c r="N41" s="8">
        <v>6</v>
      </c>
      <c r="O41" s="6">
        <v>5</v>
      </c>
      <c r="P41" s="6">
        <f t="shared" si="14"/>
        <v>30</v>
      </c>
      <c r="Q41" s="8">
        <f t="shared" si="15"/>
        <v>60000</v>
      </c>
      <c r="R41" s="6">
        <v>11.2</v>
      </c>
      <c r="S41" s="6" t="s">
        <v>57</v>
      </c>
      <c r="T41" s="6"/>
      <c r="U41" s="6"/>
      <c r="V41" s="6"/>
      <c r="W41" s="9"/>
      <c r="X41" s="6" t="s">
        <v>58</v>
      </c>
      <c r="Y41" s="9">
        <f t="shared" si="4"/>
        <v>0</v>
      </c>
      <c r="Z41" s="10">
        <f t="shared" si="5"/>
        <v>0</v>
      </c>
      <c r="AA41" s="10">
        <f t="shared" si="6"/>
        <v>0</v>
      </c>
      <c r="AB41" s="11">
        <f t="shared" si="7"/>
        <v>0</v>
      </c>
      <c r="AC41" s="11">
        <f t="shared" si="8"/>
        <v>0</v>
      </c>
      <c r="AD41" s="11" t="s">
        <v>59</v>
      </c>
    </row>
    <row r="42" spans="1:30" s="1" customFormat="1" ht="17.100000000000001" customHeight="1">
      <c r="A42" s="2">
        <v>40</v>
      </c>
      <c r="B42" s="3" t="s">
        <v>131</v>
      </c>
      <c r="C42" s="3" t="s">
        <v>132</v>
      </c>
      <c r="D42" s="4">
        <v>16</v>
      </c>
      <c r="E42" s="4">
        <v>7.5</v>
      </c>
      <c r="F42" s="4">
        <v>16</v>
      </c>
      <c r="G42" s="4">
        <v>75</v>
      </c>
      <c r="H42" s="4">
        <v>34</v>
      </c>
      <c r="I42" s="17">
        <v>34</v>
      </c>
      <c r="J42" s="5">
        <f t="shared" si="12"/>
        <v>8.6699999999999999E-2</v>
      </c>
      <c r="K42" s="6">
        <v>50</v>
      </c>
      <c r="L42" s="6">
        <v>40</v>
      </c>
      <c r="M42" s="7">
        <f t="shared" si="13"/>
        <v>2000</v>
      </c>
      <c r="N42" s="8">
        <v>6</v>
      </c>
      <c r="O42" s="6">
        <v>5</v>
      </c>
      <c r="P42" s="6">
        <f t="shared" si="14"/>
        <v>30</v>
      </c>
      <c r="Q42" s="8">
        <f t="shared" si="15"/>
        <v>60000</v>
      </c>
      <c r="R42" s="6">
        <v>11.2</v>
      </c>
      <c r="S42" s="6" t="s">
        <v>57</v>
      </c>
      <c r="T42" s="6"/>
      <c r="U42" s="6"/>
      <c r="V42" s="6" t="s">
        <v>133</v>
      </c>
      <c r="W42" s="9"/>
      <c r="X42" s="6" t="s">
        <v>58</v>
      </c>
      <c r="Y42" s="9">
        <f t="shared" si="4"/>
        <v>0</v>
      </c>
      <c r="Z42" s="10">
        <f t="shared" si="5"/>
        <v>0</v>
      </c>
      <c r="AA42" s="10">
        <f t="shared" si="6"/>
        <v>0</v>
      </c>
      <c r="AB42" s="11">
        <f t="shared" si="7"/>
        <v>0</v>
      </c>
      <c r="AC42" s="11">
        <f t="shared" si="8"/>
        <v>0</v>
      </c>
      <c r="AD42" s="11" t="s">
        <v>59</v>
      </c>
    </row>
    <row r="43" spans="1:30" s="1" customFormat="1" ht="17.100000000000001" customHeight="1">
      <c r="A43" s="2">
        <v>41</v>
      </c>
      <c r="B43" s="3" t="s">
        <v>22</v>
      </c>
      <c r="C43" s="3" t="s">
        <v>134</v>
      </c>
      <c r="D43" s="4">
        <v>16</v>
      </c>
      <c r="E43" s="4">
        <v>7.5</v>
      </c>
      <c r="F43" s="4">
        <v>16</v>
      </c>
      <c r="G43" s="4">
        <v>75</v>
      </c>
      <c r="H43" s="4">
        <v>34</v>
      </c>
      <c r="I43" s="17">
        <v>34</v>
      </c>
      <c r="J43" s="5">
        <f t="shared" si="12"/>
        <v>8.6699999999999999E-2</v>
      </c>
      <c r="K43" s="6">
        <v>50</v>
      </c>
      <c r="L43" s="6">
        <v>40</v>
      </c>
      <c r="M43" s="7">
        <f t="shared" si="13"/>
        <v>2000</v>
      </c>
      <c r="N43" s="8">
        <v>6</v>
      </c>
      <c r="O43" s="6">
        <v>5</v>
      </c>
      <c r="P43" s="6">
        <f t="shared" si="14"/>
        <v>30</v>
      </c>
      <c r="Q43" s="8">
        <f t="shared" si="15"/>
        <v>60000</v>
      </c>
      <c r="R43" s="6">
        <v>11.2</v>
      </c>
      <c r="S43" s="6" t="s">
        <v>57</v>
      </c>
      <c r="T43" s="6"/>
      <c r="U43" s="6"/>
      <c r="V43" s="6" t="s">
        <v>133</v>
      </c>
      <c r="W43" s="9"/>
      <c r="X43" s="6" t="s">
        <v>58</v>
      </c>
      <c r="Y43" s="9">
        <f t="shared" si="4"/>
        <v>0</v>
      </c>
      <c r="Z43" s="10">
        <f t="shared" si="5"/>
        <v>0</v>
      </c>
      <c r="AA43" s="10">
        <f t="shared" si="6"/>
        <v>0</v>
      </c>
      <c r="AB43" s="11">
        <f t="shared" si="7"/>
        <v>0</v>
      </c>
      <c r="AC43" s="11">
        <f t="shared" si="8"/>
        <v>0</v>
      </c>
      <c r="AD43" s="11" t="s">
        <v>59</v>
      </c>
    </row>
    <row r="44" spans="1:30" s="1" customFormat="1" ht="17.100000000000001" customHeight="1">
      <c r="A44" s="2">
        <v>42</v>
      </c>
      <c r="B44" s="3" t="s">
        <v>135</v>
      </c>
      <c r="C44" s="3" t="s">
        <v>136</v>
      </c>
      <c r="D44" s="4">
        <v>16</v>
      </c>
      <c r="E44" s="4">
        <v>7.5</v>
      </c>
      <c r="F44" s="4">
        <v>16</v>
      </c>
      <c r="G44" s="4">
        <v>75</v>
      </c>
      <c r="H44" s="4">
        <v>34</v>
      </c>
      <c r="I44" s="17">
        <v>34</v>
      </c>
      <c r="J44" s="5">
        <f t="shared" si="12"/>
        <v>8.6699999999999999E-2</v>
      </c>
      <c r="K44" s="6">
        <v>50</v>
      </c>
      <c r="L44" s="6">
        <v>40</v>
      </c>
      <c r="M44" s="7">
        <f t="shared" si="13"/>
        <v>2000</v>
      </c>
      <c r="N44" s="8">
        <v>6</v>
      </c>
      <c r="O44" s="6">
        <v>5</v>
      </c>
      <c r="P44" s="6">
        <f t="shared" si="14"/>
        <v>30</v>
      </c>
      <c r="Q44" s="8">
        <f t="shared" si="15"/>
        <v>60000</v>
      </c>
      <c r="R44" s="6">
        <v>11.2</v>
      </c>
      <c r="S44" s="6" t="s">
        <v>57</v>
      </c>
      <c r="T44" s="6"/>
      <c r="U44" s="6"/>
      <c r="V44" s="6"/>
      <c r="W44" s="9"/>
      <c r="X44" s="6" t="s">
        <v>58</v>
      </c>
      <c r="Y44" s="9">
        <f t="shared" si="4"/>
        <v>0</v>
      </c>
      <c r="Z44" s="10">
        <f t="shared" si="5"/>
        <v>0</v>
      </c>
      <c r="AA44" s="10">
        <f t="shared" si="6"/>
        <v>0</v>
      </c>
      <c r="AB44" s="11">
        <f t="shared" si="7"/>
        <v>0</v>
      </c>
      <c r="AC44" s="11">
        <f t="shared" si="8"/>
        <v>0</v>
      </c>
      <c r="AD44" s="11" t="s">
        <v>59</v>
      </c>
    </row>
    <row r="45" spans="1:30" s="1" customFormat="1" ht="17.100000000000001" customHeight="1">
      <c r="A45" s="2">
        <v>43</v>
      </c>
      <c r="B45" s="3" t="s">
        <v>137</v>
      </c>
      <c r="C45" s="3" t="s">
        <v>138</v>
      </c>
      <c r="D45" s="4">
        <v>16</v>
      </c>
      <c r="E45" s="4">
        <v>7.5</v>
      </c>
      <c r="F45" s="4">
        <v>16</v>
      </c>
      <c r="G45" s="4">
        <v>75</v>
      </c>
      <c r="H45" s="4">
        <v>34</v>
      </c>
      <c r="I45" s="17">
        <v>34</v>
      </c>
      <c r="J45" s="5">
        <f t="shared" si="12"/>
        <v>8.6699999999999999E-2</v>
      </c>
      <c r="K45" s="6">
        <v>50</v>
      </c>
      <c r="L45" s="6">
        <v>40</v>
      </c>
      <c r="M45" s="7">
        <f t="shared" si="13"/>
        <v>2000</v>
      </c>
      <c r="N45" s="8">
        <v>6</v>
      </c>
      <c r="O45" s="6">
        <v>5</v>
      </c>
      <c r="P45" s="6">
        <f t="shared" si="14"/>
        <v>30</v>
      </c>
      <c r="Q45" s="8">
        <f t="shared" si="15"/>
        <v>60000</v>
      </c>
      <c r="R45" s="6">
        <v>11.2</v>
      </c>
      <c r="S45" s="6" t="s">
        <v>57</v>
      </c>
      <c r="T45" s="6"/>
      <c r="U45" s="6"/>
      <c r="V45" s="6"/>
      <c r="W45" s="9"/>
      <c r="X45" s="6" t="s">
        <v>58</v>
      </c>
      <c r="Y45" s="9">
        <f t="shared" si="4"/>
        <v>0</v>
      </c>
      <c r="Z45" s="10">
        <f t="shared" si="5"/>
        <v>0</v>
      </c>
      <c r="AA45" s="10">
        <f t="shared" si="6"/>
        <v>0</v>
      </c>
      <c r="AB45" s="11">
        <f t="shared" si="7"/>
        <v>0</v>
      </c>
      <c r="AC45" s="11">
        <f t="shared" si="8"/>
        <v>0</v>
      </c>
      <c r="AD45" s="11" t="s">
        <v>59</v>
      </c>
    </row>
    <row r="46" spans="1:30" s="1" customFormat="1" ht="17.100000000000001" customHeight="1">
      <c r="A46" s="2">
        <v>44</v>
      </c>
      <c r="B46" s="3" t="s">
        <v>139</v>
      </c>
      <c r="C46" s="3" t="s">
        <v>140</v>
      </c>
      <c r="D46" s="4">
        <v>16</v>
      </c>
      <c r="E46" s="4">
        <v>7.5</v>
      </c>
      <c r="F46" s="4">
        <v>16</v>
      </c>
      <c r="G46" s="4">
        <v>75</v>
      </c>
      <c r="H46" s="4">
        <v>34</v>
      </c>
      <c r="I46" s="17">
        <v>34</v>
      </c>
      <c r="J46" s="5">
        <f t="shared" si="12"/>
        <v>8.6699999999999999E-2</v>
      </c>
      <c r="K46" s="6">
        <v>50</v>
      </c>
      <c r="L46" s="6">
        <v>40</v>
      </c>
      <c r="M46" s="7">
        <f t="shared" si="13"/>
        <v>2000</v>
      </c>
      <c r="N46" s="8">
        <v>6</v>
      </c>
      <c r="O46" s="6">
        <v>5</v>
      </c>
      <c r="P46" s="6">
        <f t="shared" si="14"/>
        <v>30</v>
      </c>
      <c r="Q46" s="8">
        <f t="shared" si="15"/>
        <v>60000</v>
      </c>
      <c r="R46" s="6">
        <v>11.2</v>
      </c>
      <c r="S46" s="6" t="s">
        <v>57</v>
      </c>
      <c r="T46" s="6"/>
      <c r="U46" s="6"/>
      <c r="V46" s="6"/>
      <c r="W46" s="9"/>
      <c r="X46" s="6" t="s">
        <v>58</v>
      </c>
      <c r="Y46" s="9">
        <f t="shared" si="4"/>
        <v>0</v>
      </c>
      <c r="Z46" s="10">
        <f t="shared" si="5"/>
        <v>0</v>
      </c>
      <c r="AA46" s="10">
        <f t="shared" si="6"/>
        <v>0</v>
      </c>
      <c r="AB46" s="11">
        <f t="shared" si="7"/>
        <v>0</v>
      </c>
      <c r="AC46" s="11">
        <f t="shared" si="8"/>
        <v>0</v>
      </c>
      <c r="AD46" s="11" t="s">
        <v>59</v>
      </c>
    </row>
    <row r="47" spans="1:30" s="1" customFormat="1" ht="17.100000000000001" customHeight="1">
      <c r="A47" s="2">
        <v>45</v>
      </c>
      <c r="B47" s="3" t="s">
        <v>141</v>
      </c>
      <c r="C47" s="3" t="s">
        <v>142</v>
      </c>
      <c r="D47" s="4">
        <v>16</v>
      </c>
      <c r="E47" s="4">
        <v>7.5</v>
      </c>
      <c r="F47" s="4">
        <v>16</v>
      </c>
      <c r="G47" s="4">
        <v>75</v>
      </c>
      <c r="H47" s="4">
        <v>34</v>
      </c>
      <c r="I47" s="17">
        <v>34</v>
      </c>
      <c r="J47" s="5">
        <f t="shared" ref="J47:J63" si="16">(G47*H47*I47)/1000000</f>
        <v>8.6699999999999999E-2</v>
      </c>
      <c r="K47" s="6">
        <v>50</v>
      </c>
      <c r="L47" s="6">
        <v>40</v>
      </c>
      <c r="M47" s="7">
        <f t="shared" ref="M47:M63" si="17">K47*L47</f>
        <v>2000</v>
      </c>
      <c r="N47" s="8">
        <v>6</v>
      </c>
      <c r="O47" s="6">
        <v>5</v>
      </c>
      <c r="P47" s="6">
        <f t="shared" ref="P47:P63" si="18">N47*O47</f>
        <v>30</v>
      </c>
      <c r="Q47" s="8">
        <f t="shared" ref="Q47:Q63" si="19">M47*P47</f>
        <v>60000</v>
      </c>
      <c r="R47" s="6">
        <v>11.2</v>
      </c>
      <c r="S47" s="6" t="s">
        <v>57</v>
      </c>
      <c r="T47" s="6"/>
      <c r="U47" s="6"/>
      <c r="V47" s="6"/>
      <c r="W47" s="9"/>
      <c r="X47" s="6" t="s">
        <v>58</v>
      </c>
      <c r="Y47" s="9">
        <f t="shared" ref="Y47:Y97" si="20">R47/M47*W47</f>
        <v>0</v>
      </c>
      <c r="Z47" s="10">
        <f t="shared" ref="Z47:Z97" si="21">(G47*H47*I47/4000)*(W47/M47)</f>
        <v>0</v>
      </c>
      <c r="AA47" s="10">
        <f t="shared" ref="AA47:AA97" si="22">(G47*H47*I47/6000)*(W47/M47)</f>
        <v>0</v>
      </c>
      <c r="AB47" s="11">
        <f t="shared" ref="AB47:AB97" si="23">(G47*H47*I47/1000000)*(W47/M47)</f>
        <v>0</v>
      </c>
      <c r="AC47" s="11">
        <f t="shared" ref="AC47:AC97" si="24">ROUNDUP(W47/M47,0)</f>
        <v>0</v>
      </c>
      <c r="AD47" s="11" t="s">
        <v>59</v>
      </c>
    </row>
    <row r="48" spans="1:30" s="1" customFormat="1" ht="17.100000000000001" customHeight="1">
      <c r="A48" s="2">
        <v>46</v>
      </c>
      <c r="B48" s="3" t="s">
        <v>143</v>
      </c>
      <c r="C48" s="3" t="s">
        <v>144</v>
      </c>
      <c r="D48" s="4">
        <v>16</v>
      </c>
      <c r="E48" s="4">
        <v>7.5</v>
      </c>
      <c r="F48" s="4">
        <v>16</v>
      </c>
      <c r="G48" s="4">
        <v>75</v>
      </c>
      <c r="H48" s="4">
        <v>34</v>
      </c>
      <c r="I48" s="17">
        <v>34</v>
      </c>
      <c r="J48" s="5">
        <f t="shared" si="16"/>
        <v>8.6699999999999999E-2</v>
      </c>
      <c r="K48" s="6">
        <v>50</v>
      </c>
      <c r="L48" s="6">
        <v>40</v>
      </c>
      <c r="M48" s="7">
        <f t="shared" si="17"/>
        <v>2000</v>
      </c>
      <c r="N48" s="8">
        <v>6</v>
      </c>
      <c r="O48" s="6">
        <v>5</v>
      </c>
      <c r="P48" s="6">
        <f t="shared" si="18"/>
        <v>30</v>
      </c>
      <c r="Q48" s="8">
        <f t="shared" si="19"/>
        <v>60000</v>
      </c>
      <c r="R48" s="6">
        <v>11.2</v>
      </c>
      <c r="S48" s="6" t="s">
        <v>57</v>
      </c>
      <c r="T48" s="6"/>
      <c r="U48" s="6"/>
      <c r="V48" s="6"/>
      <c r="W48" s="9"/>
      <c r="X48" s="6" t="s">
        <v>58</v>
      </c>
      <c r="Y48" s="9">
        <f t="shared" si="20"/>
        <v>0</v>
      </c>
      <c r="Z48" s="10">
        <f t="shared" si="21"/>
        <v>0</v>
      </c>
      <c r="AA48" s="10">
        <f t="shared" si="22"/>
        <v>0</v>
      </c>
      <c r="AB48" s="11">
        <f t="shared" si="23"/>
        <v>0</v>
      </c>
      <c r="AC48" s="11">
        <f t="shared" si="24"/>
        <v>0</v>
      </c>
      <c r="AD48" s="11" t="s">
        <v>59</v>
      </c>
    </row>
    <row r="49" spans="1:30" s="1" customFormat="1" ht="17.100000000000001" customHeight="1">
      <c r="A49" s="2">
        <v>47</v>
      </c>
      <c r="B49" s="3" t="s">
        <v>145</v>
      </c>
      <c r="C49" s="3" t="s">
        <v>146</v>
      </c>
      <c r="D49" s="4">
        <v>16</v>
      </c>
      <c r="E49" s="4">
        <v>7.5</v>
      </c>
      <c r="F49" s="4">
        <v>16</v>
      </c>
      <c r="G49" s="4">
        <v>75</v>
      </c>
      <c r="H49" s="4">
        <v>34</v>
      </c>
      <c r="I49" s="17">
        <v>34</v>
      </c>
      <c r="J49" s="5">
        <f t="shared" si="16"/>
        <v>8.6699999999999999E-2</v>
      </c>
      <c r="K49" s="6">
        <v>50</v>
      </c>
      <c r="L49" s="6">
        <v>40</v>
      </c>
      <c r="M49" s="7">
        <f t="shared" si="17"/>
        <v>2000</v>
      </c>
      <c r="N49" s="8">
        <v>6</v>
      </c>
      <c r="O49" s="6">
        <v>5</v>
      </c>
      <c r="P49" s="6">
        <f t="shared" si="18"/>
        <v>30</v>
      </c>
      <c r="Q49" s="8">
        <f t="shared" si="19"/>
        <v>60000</v>
      </c>
      <c r="R49" s="6">
        <v>11.2</v>
      </c>
      <c r="S49" s="6" t="s">
        <v>57</v>
      </c>
      <c r="T49" s="6"/>
      <c r="U49" s="6"/>
      <c r="V49" s="6"/>
      <c r="W49" s="9"/>
      <c r="X49" s="6" t="s">
        <v>58</v>
      </c>
      <c r="Y49" s="9">
        <f t="shared" si="20"/>
        <v>0</v>
      </c>
      <c r="Z49" s="10">
        <f t="shared" si="21"/>
        <v>0</v>
      </c>
      <c r="AA49" s="10">
        <f t="shared" si="22"/>
        <v>0</v>
      </c>
      <c r="AB49" s="11">
        <f t="shared" si="23"/>
        <v>0</v>
      </c>
      <c r="AC49" s="11">
        <f t="shared" si="24"/>
        <v>0</v>
      </c>
      <c r="AD49" s="11" t="s">
        <v>59</v>
      </c>
    </row>
    <row r="50" spans="1:30" s="1" customFormat="1" ht="17.100000000000001" customHeight="1">
      <c r="A50" s="2">
        <v>48</v>
      </c>
      <c r="B50" s="3" t="s">
        <v>147</v>
      </c>
      <c r="C50" s="3" t="s">
        <v>148</v>
      </c>
      <c r="D50" s="4">
        <v>16</v>
      </c>
      <c r="E50" s="4">
        <v>7.5</v>
      </c>
      <c r="F50" s="4">
        <v>16</v>
      </c>
      <c r="G50" s="4">
        <v>75</v>
      </c>
      <c r="H50" s="4">
        <v>34</v>
      </c>
      <c r="I50" s="17">
        <v>34</v>
      </c>
      <c r="J50" s="5">
        <f t="shared" si="16"/>
        <v>8.6699999999999999E-2</v>
      </c>
      <c r="K50" s="6">
        <v>50</v>
      </c>
      <c r="L50" s="6">
        <v>40</v>
      </c>
      <c r="M50" s="7">
        <f t="shared" si="17"/>
        <v>2000</v>
      </c>
      <c r="N50" s="8">
        <v>6</v>
      </c>
      <c r="O50" s="6">
        <v>5</v>
      </c>
      <c r="P50" s="6">
        <f t="shared" si="18"/>
        <v>30</v>
      </c>
      <c r="Q50" s="8">
        <f t="shared" si="19"/>
        <v>60000</v>
      </c>
      <c r="R50" s="6">
        <v>11.2</v>
      </c>
      <c r="S50" s="6" t="s">
        <v>57</v>
      </c>
      <c r="T50" s="6"/>
      <c r="U50" s="6"/>
      <c r="V50" s="6"/>
      <c r="W50" s="9"/>
      <c r="X50" s="6" t="s">
        <v>58</v>
      </c>
      <c r="Y50" s="9">
        <f t="shared" si="20"/>
        <v>0</v>
      </c>
      <c r="Z50" s="10">
        <f t="shared" si="21"/>
        <v>0</v>
      </c>
      <c r="AA50" s="10">
        <f t="shared" si="22"/>
        <v>0</v>
      </c>
      <c r="AB50" s="11">
        <f t="shared" si="23"/>
        <v>0</v>
      </c>
      <c r="AC50" s="11">
        <f t="shared" si="24"/>
        <v>0</v>
      </c>
      <c r="AD50" s="11" t="s">
        <v>59</v>
      </c>
    </row>
    <row r="51" spans="1:30" s="1" customFormat="1" ht="17.100000000000001" customHeight="1">
      <c r="A51" s="2">
        <v>49</v>
      </c>
      <c r="B51" s="3" t="s">
        <v>23</v>
      </c>
      <c r="C51" s="3" t="s">
        <v>149</v>
      </c>
      <c r="D51" s="4">
        <v>16</v>
      </c>
      <c r="E51" s="4">
        <v>7.5</v>
      </c>
      <c r="F51" s="4">
        <v>16</v>
      </c>
      <c r="G51" s="4">
        <v>75</v>
      </c>
      <c r="H51" s="4">
        <v>34</v>
      </c>
      <c r="I51" s="17">
        <v>34</v>
      </c>
      <c r="J51" s="5">
        <f t="shared" si="16"/>
        <v>8.6699999999999999E-2</v>
      </c>
      <c r="K51" s="6">
        <v>50</v>
      </c>
      <c r="L51" s="6">
        <v>40</v>
      </c>
      <c r="M51" s="7">
        <f t="shared" si="17"/>
        <v>2000</v>
      </c>
      <c r="N51" s="8">
        <v>6</v>
      </c>
      <c r="O51" s="6">
        <v>5</v>
      </c>
      <c r="P51" s="6">
        <f t="shared" si="18"/>
        <v>30</v>
      </c>
      <c r="Q51" s="8">
        <f t="shared" si="19"/>
        <v>60000</v>
      </c>
      <c r="R51" s="6">
        <v>11.2</v>
      </c>
      <c r="S51" s="6" t="s">
        <v>57</v>
      </c>
      <c r="T51" s="6"/>
      <c r="U51" s="6"/>
      <c r="V51" s="6" t="s">
        <v>133</v>
      </c>
      <c r="W51" s="9"/>
      <c r="X51" s="6" t="s">
        <v>58</v>
      </c>
      <c r="Y51" s="9">
        <f t="shared" si="20"/>
        <v>0</v>
      </c>
      <c r="Z51" s="10">
        <f t="shared" si="21"/>
        <v>0</v>
      </c>
      <c r="AA51" s="10">
        <f t="shared" si="22"/>
        <v>0</v>
      </c>
      <c r="AB51" s="11">
        <f t="shared" si="23"/>
        <v>0</v>
      </c>
      <c r="AC51" s="11">
        <f t="shared" si="24"/>
        <v>0</v>
      </c>
      <c r="AD51" s="11" t="s">
        <v>59</v>
      </c>
    </row>
    <row r="52" spans="1:30" s="1" customFormat="1" ht="17.100000000000001" customHeight="1">
      <c r="A52" s="2">
        <v>50</v>
      </c>
      <c r="B52" s="3" t="s">
        <v>150</v>
      </c>
      <c r="C52" s="3" t="s">
        <v>151</v>
      </c>
      <c r="D52" s="4">
        <v>16</v>
      </c>
      <c r="E52" s="4">
        <v>7.5</v>
      </c>
      <c r="F52" s="4">
        <v>16</v>
      </c>
      <c r="G52" s="4">
        <v>75</v>
      </c>
      <c r="H52" s="4">
        <v>34</v>
      </c>
      <c r="I52" s="17">
        <v>34</v>
      </c>
      <c r="J52" s="5">
        <f t="shared" si="16"/>
        <v>8.6699999999999999E-2</v>
      </c>
      <c r="K52" s="6">
        <v>50</v>
      </c>
      <c r="L52" s="6">
        <v>40</v>
      </c>
      <c r="M52" s="7">
        <f t="shared" si="17"/>
        <v>2000</v>
      </c>
      <c r="N52" s="8">
        <v>6</v>
      </c>
      <c r="O52" s="6">
        <v>5</v>
      </c>
      <c r="P52" s="6">
        <f t="shared" si="18"/>
        <v>30</v>
      </c>
      <c r="Q52" s="8">
        <f t="shared" si="19"/>
        <v>60000</v>
      </c>
      <c r="R52" s="6">
        <v>11.2</v>
      </c>
      <c r="S52" s="6" t="s">
        <v>57</v>
      </c>
      <c r="T52" s="6"/>
      <c r="U52" s="6"/>
      <c r="V52" s="6"/>
      <c r="W52" s="9"/>
      <c r="X52" s="6" t="s">
        <v>58</v>
      </c>
      <c r="Y52" s="9">
        <f t="shared" si="20"/>
        <v>0</v>
      </c>
      <c r="Z52" s="10">
        <f t="shared" si="21"/>
        <v>0</v>
      </c>
      <c r="AA52" s="10">
        <f t="shared" si="22"/>
        <v>0</v>
      </c>
      <c r="AB52" s="11">
        <f t="shared" si="23"/>
        <v>0</v>
      </c>
      <c r="AC52" s="11">
        <f t="shared" si="24"/>
        <v>0</v>
      </c>
      <c r="AD52" s="11" t="s">
        <v>59</v>
      </c>
    </row>
    <row r="53" spans="1:30" s="1" customFormat="1" ht="17.100000000000001" customHeight="1">
      <c r="A53" s="2">
        <v>51</v>
      </c>
      <c r="B53" s="3" t="s">
        <v>152</v>
      </c>
      <c r="C53" s="3" t="s">
        <v>153</v>
      </c>
      <c r="D53" s="4">
        <v>16</v>
      </c>
      <c r="E53" s="4">
        <v>7.5</v>
      </c>
      <c r="F53" s="4">
        <v>16</v>
      </c>
      <c r="G53" s="4">
        <v>75</v>
      </c>
      <c r="H53" s="4">
        <v>34</v>
      </c>
      <c r="I53" s="17">
        <v>34</v>
      </c>
      <c r="J53" s="5">
        <f t="shared" si="16"/>
        <v>8.6699999999999999E-2</v>
      </c>
      <c r="K53" s="6">
        <v>50</v>
      </c>
      <c r="L53" s="6">
        <v>40</v>
      </c>
      <c r="M53" s="7">
        <f t="shared" si="17"/>
        <v>2000</v>
      </c>
      <c r="N53" s="8">
        <v>6</v>
      </c>
      <c r="O53" s="6">
        <v>5</v>
      </c>
      <c r="P53" s="6">
        <f t="shared" si="18"/>
        <v>30</v>
      </c>
      <c r="Q53" s="8">
        <f t="shared" si="19"/>
        <v>60000</v>
      </c>
      <c r="R53" s="6">
        <v>11.2</v>
      </c>
      <c r="S53" s="6" t="s">
        <v>57</v>
      </c>
      <c r="T53" s="6"/>
      <c r="U53" s="6"/>
      <c r="V53" s="6"/>
      <c r="W53" s="9"/>
      <c r="X53" s="6" t="s">
        <v>58</v>
      </c>
      <c r="Y53" s="9">
        <f t="shared" si="20"/>
        <v>0</v>
      </c>
      <c r="Z53" s="10">
        <f t="shared" si="21"/>
        <v>0</v>
      </c>
      <c r="AA53" s="10">
        <f t="shared" si="22"/>
        <v>0</v>
      </c>
      <c r="AB53" s="11">
        <f t="shared" si="23"/>
        <v>0</v>
      </c>
      <c r="AC53" s="11">
        <f t="shared" si="24"/>
        <v>0</v>
      </c>
      <c r="AD53" s="11" t="s">
        <v>59</v>
      </c>
    </row>
    <row r="54" spans="1:30" s="1" customFormat="1" ht="17.100000000000001" customHeight="1">
      <c r="A54" s="2">
        <v>52</v>
      </c>
      <c r="B54" s="3" t="s">
        <v>154</v>
      </c>
      <c r="C54" s="3" t="s">
        <v>155</v>
      </c>
      <c r="D54" s="4">
        <v>16</v>
      </c>
      <c r="E54" s="4">
        <v>7.5</v>
      </c>
      <c r="F54" s="4">
        <v>16</v>
      </c>
      <c r="G54" s="4">
        <v>75</v>
      </c>
      <c r="H54" s="4">
        <v>34</v>
      </c>
      <c r="I54" s="17">
        <v>34</v>
      </c>
      <c r="J54" s="5">
        <f t="shared" si="16"/>
        <v>8.6699999999999999E-2</v>
      </c>
      <c r="K54" s="6">
        <v>50</v>
      </c>
      <c r="L54" s="6">
        <v>40</v>
      </c>
      <c r="M54" s="7">
        <f t="shared" si="17"/>
        <v>2000</v>
      </c>
      <c r="N54" s="8">
        <v>6</v>
      </c>
      <c r="O54" s="6">
        <v>5</v>
      </c>
      <c r="P54" s="6">
        <f t="shared" si="18"/>
        <v>30</v>
      </c>
      <c r="Q54" s="8">
        <f t="shared" si="19"/>
        <v>60000</v>
      </c>
      <c r="R54" s="6">
        <v>11.2</v>
      </c>
      <c r="S54" s="6" t="s">
        <v>57</v>
      </c>
      <c r="T54" s="6"/>
      <c r="U54" s="6"/>
      <c r="V54" s="6"/>
      <c r="W54" s="9"/>
      <c r="X54" s="6" t="s">
        <v>58</v>
      </c>
      <c r="Y54" s="9">
        <f t="shared" si="20"/>
        <v>0</v>
      </c>
      <c r="Z54" s="10">
        <f t="shared" si="21"/>
        <v>0</v>
      </c>
      <c r="AA54" s="10">
        <f t="shared" si="22"/>
        <v>0</v>
      </c>
      <c r="AB54" s="11">
        <f t="shared" si="23"/>
        <v>0</v>
      </c>
      <c r="AC54" s="11">
        <f t="shared" si="24"/>
        <v>0</v>
      </c>
      <c r="AD54" s="11" t="s">
        <v>59</v>
      </c>
    </row>
    <row r="55" spans="1:30" s="1" customFormat="1" ht="17.100000000000001" customHeight="1">
      <c r="A55" s="2">
        <v>53</v>
      </c>
      <c r="B55" s="3" t="s">
        <v>156</v>
      </c>
      <c r="C55" s="3" t="s">
        <v>157</v>
      </c>
      <c r="D55" s="4">
        <v>16</v>
      </c>
      <c r="E55" s="4">
        <v>7.5</v>
      </c>
      <c r="F55" s="4">
        <v>16</v>
      </c>
      <c r="G55" s="4">
        <v>75</v>
      </c>
      <c r="H55" s="4">
        <v>34</v>
      </c>
      <c r="I55" s="17">
        <v>34</v>
      </c>
      <c r="J55" s="5">
        <f t="shared" si="16"/>
        <v>8.6699999999999999E-2</v>
      </c>
      <c r="K55" s="6">
        <v>50</v>
      </c>
      <c r="L55" s="6">
        <v>40</v>
      </c>
      <c r="M55" s="7">
        <f t="shared" si="17"/>
        <v>2000</v>
      </c>
      <c r="N55" s="8">
        <v>6</v>
      </c>
      <c r="O55" s="6">
        <v>5</v>
      </c>
      <c r="P55" s="6">
        <f t="shared" si="18"/>
        <v>30</v>
      </c>
      <c r="Q55" s="8">
        <f t="shared" si="19"/>
        <v>60000</v>
      </c>
      <c r="R55" s="6">
        <v>11.2</v>
      </c>
      <c r="S55" s="6" t="s">
        <v>57</v>
      </c>
      <c r="T55" s="6"/>
      <c r="U55" s="6"/>
      <c r="V55" s="6"/>
      <c r="W55" s="9"/>
      <c r="X55" s="6" t="s">
        <v>58</v>
      </c>
      <c r="Y55" s="9">
        <f t="shared" si="20"/>
        <v>0</v>
      </c>
      <c r="Z55" s="10">
        <f t="shared" si="21"/>
        <v>0</v>
      </c>
      <c r="AA55" s="10">
        <f t="shared" si="22"/>
        <v>0</v>
      </c>
      <c r="AB55" s="11">
        <f t="shared" si="23"/>
        <v>0</v>
      </c>
      <c r="AC55" s="11">
        <f t="shared" si="24"/>
        <v>0</v>
      </c>
      <c r="AD55" s="11" t="s">
        <v>59</v>
      </c>
    </row>
    <row r="56" spans="1:30" s="1" customFormat="1" ht="17.100000000000001" customHeight="1">
      <c r="A56" s="2">
        <v>54</v>
      </c>
      <c r="B56" s="3" t="s">
        <v>158</v>
      </c>
      <c r="C56" s="3" t="s">
        <v>159</v>
      </c>
      <c r="D56" s="4">
        <v>16</v>
      </c>
      <c r="E56" s="4">
        <v>7.5</v>
      </c>
      <c r="F56" s="4">
        <v>16</v>
      </c>
      <c r="G56" s="4">
        <v>75</v>
      </c>
      <c r="H56" s="4">
        <v>34</v>
      </c>
      <c r="I56" s="17">
        <v>34</v>
      </c>
      <c r="J56" s="5">
        <f t="shared" si="16"/>
        <v>8.6699999999999999E-2</v>
      </c>
      <c r="K56" s="6">
        <v>50</v>
      </c>
      <c r="L56" s="6">
        <v>40</v>
      </c>
      <c r="M56" s="7">
        <f t="shared" si="17"/>
        <v>2000</v>
      </c>
      <c r="N56" s="8">
        <v>6</v>
      </c>
      <c r="O56" s="6">
        <v>5</v>
      </c>
      <c r="P56" s="6">
        <f t="shared" si="18"/>
        <v>30</v>
      </c>
      <c r="Q56" s="8">
        <f t="shared" si="19"/>
        <v>60000</v>
      </c>
      <c r="R56" s="6">
        <v>11.2</v>
      </c>
      <c r="S56" s="6" t="s">
        <v>57</v>
      </c>
      <c r="T56" s="6"/>
      <c r="U56" s="6"/>
      <c r="V56" s="6" t="s">
        <v>133</v>
      </c>
      <c r="W56" s="9"/>
      <c r="X56" s="6" t="s">
        <v>58</v>
      </c>
      <c r="Y56" s="9">
        <f t="shared" si="20"/>
        <v>0</v>
      </c>
      <c r="Z56" s="10">
        <f t="shared" si="21"/>
        <v>0</v>
      </c>
      <c r="AA56" s="10">
        <f t="shared" si="22"/>
        <v>0</v>
      </c>
      <c r="AB56" s="11">
        <f t="shared" si="23"/>
        <v>0</v>
      </c>
      <c r="AC56" s="11">
        <f t="shared" si="24"/>
        <v>0</v>
      </c>
      <c r="AD56" s="11" t="s">
        <v>59</v>
      </c>
    </row>
    <row r="57" spans="1:30" s="1" customFormat="1" ht="17.100000000000001" customHeight="1">
      <c r="A57" s="2">
        <v>55</v>
      </c>
      <c r="B57" s="3" t="s">
        <v>24</v>
      </c>
      <c r="C57" s="3" t="s">
        <v>160</v>
      </c>
      <c r="D57" s="4">
        <v>16</v>
      </c>
      <c r="E57" s="4">
        <v>7.5</v>
      </c>
      <c r="F57" s="4">
        <v>16</v>
      </c>
      <c r="G57" s="4">
        <v>75</v>
      </c>
      <c r="H57" s="4">
        <v>34</v>
      </c>
      <c r="I57" s="17">
        <v>34</v>
      </c>
      <c r="J57" s="5">
        <f t="shared" si="16"/>
        <v>8.6699999999999999E-2</v>
      </c>
      <c r="K57" s="6">
        <v>50</v>
      </c>
      <c r="L57" s="6">
        <v>40</v>
      </c>
      <c r="M57" s="7">
        <f t="shared" si="17"/>
        <v>2000</v>
      </c>
      <c r="N57" s="8">
        <v>6</v>
      </c>
      <c r="O57" s="6">
        <v>5</v>
      </c>
      <c r="P57" s="6">
        <f t="shared" si="18"/>
        <v>30</v>
      </c>
      <c r="Q57" s="8">
        <f t="shared" si="19"/>
        <v>60000</v>
      </c>
      <c r="R57" s="6">
        <v>11.2</v>
      </c>
      <c r="S57" s="6" t="s">
        <v>57</v>
      </c>
      <c r="T57" s="6"/>
      <c r="U57" s="6"/>
      <c r="V57" s="6"/>
      <c r="W57" s="9"/>
      <c r="X57" s="6" t="s">
        <v>58</v>
      </c>
      <c r="Y57" s="9">
        <f t="shared" si="20"/>
        <v>0</v>
      </c>
      <c r="Z57" s="10">
        <f t="shared" si="21"/>
        <v>0</v>
      </c>
      <c r="AA57" s="10">
        <f t="shared" si="22"/>
        <v>0</v>
      </c>
      <c r="AB57" s="11">
        <f t="shared" si="23"/>
        <v>0</v>
      </c>
      <c r="AC57" s="11">
        <f t="shared" si="24"/>
        <v>0</v>
      </c>
      <c r="AD57" s="11" t="s">
        <v>59</v>
      </c>
    </row>
    <row r="58" spans="1:30" s="1" customFormat="1" ht="17.100000000000001" customHeight="1">
      <c r="A58" s="2">
        <v>56</v>
      </c>
      <c r="B58" s="3" t="s">
        <v>161</v>
      </c>
      <c r="C58" s="3" t="s">
        <v>162</v>
      </c>
      <c r="D58" s="4">
        <v>16</v>
      </c>
      <c r="E58" s="4">
        <v>7.5</v>
      </c>
      <c r="F58" s="4">
        <v>16</v>
      </c>
      <c r="G58" s="4">
        <v>75</v>
      </c>
      <c r="H58" s="4">
        <v>34</v>
      </c>
      <c r="I58" s="17">
        <v>34</v>
      </c>
      <c r="J58" s="5">
        <f t="shared" si="16"/>
        <v>8.6699999999999999E-2</v>
      </c>
      <c r="K58" s="6">
        <v>50</v>
      </c>
      <c r="L58" s="6">
        <v>40</v>
      </c>
      <c r="M58" s="7">
        <f t="shared" si="17"/>
        <v>2000</v>
      </c>
      <c r="N58" s="8">
        <v>6</v>
      </c>
      <c r="O58" s="6">
        <v>5</v>
      </c>
      <c r="P58" s="6">
        <f t="shared" si="18"/>
        <v>30</v>
      </c>
      <c r="Q58" s="8">
        <f t="shared" si="19"/>
        <v>60000</v>
      </c>
      <c r="R58" s="6">
        <v>11.2</v>
      </c>
      <c r="S58" s="6" t="s">
        <v>57</v>
      </c>
      <c r="T58" s="6"/>
      <c r="U58" s="6"/>
      <c r="V58" s="6"/>
      <c r="W58" s="9"/>
      <c r="X58" s="6" t="s">
        <v>58</v>
      </c>
      <c r="Y58" s="9">
        <f t="shared" si="20"/>
        <v>0</v>
      </c>
      <c r="Z58" s="10">
        <f t="shared" si="21"/>
        <v>0</v>
      </c>
      <c r="AA58" s="10">
        <f t="shared" si="22"/>
        <v>0</v>
      </c>
      <c r="AB58" s="11">
        <f t="shared" si="23"/>
        <v>0</v>
      </c>
      <c r="AC58" s="11">
        <f t="shared" si="24"/>
        <v>0</v>
      </c>
      <c r="AD58" s="11" t="s">
        <v>59</v>
      </c>
    </row>
    <row r="59" spans="1:30" s="1" customFormat="1" ht="17.100000000000001" customHeight="1">
      <c r="A59" s="2">
        <v>57</v>
      </c>
      <c r="B59" s="3" t="s">
        <v>163</v>
      </c>
      <c r="C59" s="3" t="s">
        <v>164</v>
      </c>
      <c r="D59" s="4">
        <v>16</v>
      </c>
      <c r="E59" s="4">
        <v>7.5</v>
      </c>
      <c r="F59" s="4">
        <v>16</v>
      </c>
      <c r="G59" s="4">
        <v>75</v>
      </c>
      <c r="H59" s="4">
        <v>34</v>
      </c>
      <c r="I59" s="17">
        <v>34</v>
      </c>
      <c r="J59" s="5">
        <f t="shared" si="16"/>
        <v>8.6699999999999999E-2</v>
      </c>
      <c r="K59" s="6">
        <v>50</v>
      </c>
      <c r="L59" s="6">
        <v>40</v>
      </c>
      <c r="M59" s="7">
        <f t="shared" si="17"/>
        <v>2000</v>
      </c>
      <c r="N59" s="8">
        <v>6</v>
      </c>
      <c r="O59" s="6">
        <v>5</v>
      </c>
      <c r="P59" s="6">
        <f t="shared" si="18"/>
        <v>30</v>
      </c>
      <c r="Q59" s="8">
        <f t="shared" si="19"/>
        <v>60000</v>
      </c>
      <c r="R59" s="6">
        <v>11.2</v>
      </c>
      <c r="S59" s="6" t="s">
        <v>57</v>
      </c>
      <c r="T59" s="6"/>
      <c r="U59" s="6"/>
      <c r="V59" s="6"/>
      <c r="W59" s="9"/>
      <c r="X59" s="6" t="s">
        <v>58</v>
      </c>
      <c r="Y59" s="9">
        <f t="shared" si="20"/>
        <v>0</v>
      </c>
      <c r="Z59" s="10">
        <f t="shared" si="21"/>
        <v>0</v>
      </c>
      <c r="AA59" s="10">
        <f t="shared" si="22"/>
        <v>0</v>
      </c>
      <c r="AB59" s="11">
        <f t="shared" si="23"/>
        <v>0</v>
      </c>
      <c r="AC59" s="11">
        <f t="shared" si="24"/>
        <v>0</v>
      </c>
      <c r="AD59" s="11" t="s">
        <v>59</v>
      </c>
    </row>
    <row r="60" spans="1:30" s="1" customFormat="1" ht="17.100000000000001" customHeight="1">
      <c r="A60" s="2">
        <v>58</v>
      </c>
      <c r="B60" s="3" t="s">
        <v>25</v>
      </c>
      <c r="C60" s="3" t="s">
        <v>165</v>
      </c>
      <c r="D60" s="4">
        <v>16</v>
      </c>
      <c r="E60" s="4">
        <v>7.5</v>
      </c>
      <c r="F60" s="4">
        <v>16</v>
      </c>
      <c r="G60" s="4">
        <v>75</v>
      </c>
      <c r="H60" s="4">
        <v>34</v>
      </c>
      <c r="I60" s="17">
        <v>34</v>
      </c>
      <c r="J60" s="5">
        <f t="shared" si="16"/>
        <v>8.6699999999999999E-2</v>
      </c>
      <c r="K60" s="6">
        <v>50</v>
      </c>
      <c r="L60" s="6">
        <v>40</v>
      </c>
      <c r="M60" s="7">
        <f t="shared" si="17"/>
        <v>2000</v>
      </c>
      <c r="N60" s="8">
        <v>6</v>
      </c>
      <c r="O60" s="6">
        <v>5</v>
      </c>
      <c r="P60" s="6">
        <f t="shared" si="18"/>
        <v>30</v>
      </c>
      <c r="Q60" s="8">
        <f t="shared" si="19"/>
        <v>60000</v>
      </c>
      <c r="R60" s="6">
        <v>11.2</v>
      </c>
      <c r="S60" s="6" t="s">
        <v>57</v>
      </c>
      <c r="T60" s="6"/>
      <c r="U60" s="6"/>
      <c r="V60" s="6"/>
      <c r="W60" s="9"/>
      <c r="X60" s="6" t="s">
        <v>58</v>
      </c>
      <c r="Y60" s="9">
        <f t="shared" si="20"/>
        <v>0</v>
      </c>
      <c r="Z60" s="10">
        <f t="shared" si="21"/>
        <v>0</v>
      </c>
      <c r="AA60" s="10">
        <f t="shared" si="22"/>
        <v>0</v>
      </c>
      <c r="AB60" s="11">
        <f t="shared" si="23"/>
        <v>0</v>
      </c>
      <c r="AC60" s="11">
        <f t="shared" si="24"/>
        <v>0</v>
      </c>
      <c r="AD60" s="11" t="s">
        <v>59</v>
      </c>
    </row>
    <row r="61" spans="1:30" s="1" customFormat="1" ht="17.100000000000001" customHeight="1">
      <c r="A61" s="2">
        <v>59</v>
      </c>
      <c r="B61" s="3" t="s">
        <v>166</v>
      </c>
      <c r="C61" s="3" t="s">
        <v>167</v>
      </c>
      <c r="D61" s="4">
        <v>16</v>
      </c>
      <c r="E61" s="4">
        <v>7.5</v>
      </c>
      <c r="F61" s="4">
        <v>16</v>
      </c>
      <c r="G61" s="4">
        <v>75</v>
      </c>
      <c r="H61" s="4">
        <v>34</v>
      </c>
      <c r="I61" s="17">
        <v>34</v>
      </c>
      <c r="J61" s="5">
        <f t="shared" si="16"/>
        <v>8.6699999999999999E-2</v>
      </c>
      <c r="K61" s="6">
        <v>50</v>
      </c>
      <c r="L61" s="6">
        <v>40</v>
      </c>
      <c r="M61" s="7">
        <f t="shared" si="17"/>
        <v>2000</v>
      </c>
      <c r="N61" s="8">
        <v>6</v>
      </c>
      <c r="O61" s="6">
        <v>5</v>
      </c>
      <c r="P61" s="6">
        <f t="shared" si="18"/>
        <v>30</v>
      </c>
      <c r="Q61" s="8">
        <f t="shared" si="19"/>
        <v>60000</v>
      </c>
      <c r="R61" s="6">
        <v>11.2</v>
      </c>
      <c r="S61" s="6" t="s">
        <v>57</v>
      </c>
      <c r="T61" s="6"/>
      <c r="U61" s="6"/>
      <c r="V61" s="6"/>
      <c r="W61" s="9"/>
      <c r="X61" s="6" t="s">
        <v>58</v>
      </c>
      <c r="Y61" s="9">
        <f t="shared" si="20"/>
        <v>0</v>
      </c>
      <c r="Z61" s="10">
        <f t="shared" si="21"/>
        <v>0</v>
      </c>
      <c r="AA61" s="10">
        <f t="shared" si="22"/>
        <v>0</v>
      </c>
      <c r="AB61" s="11">
        <f t="shared" si="23"/>
        <v>0</v>
      </c>
      <c r="AC61" s="11">
        <f t="shared" si="24"/>
        <v>0</v>
      </c>
      <c r="AD61" s="11" t="s">
        <v>59</v>
      </c>
    </row>
    <row r="62" spans="1:30" s="1" customFormat="1" ht="17.100000000000001" customHeight="1">
      <c r="A62" s="2">
        <v>60</v>
      </c>
      <c r="B62" s="3" t="s">
        <v>168</v>
      </c>
      <c r="C62" s="3" t="s">
        <v>169</v>
      </c>
      <c r="D62" s="4">
        <v>16</v>
      </c>
      <c r="E62" s="4">
        <v>7.5</v>
      </c>
      <c r="F62" s="4">
        <v>16</v>
      </c>
      <c r="G62" s="4">
        <v>75</v>
      </c>
      <c r="H62" s="4">
        <v>34</v>
      </c>
      <c r="I62" s="17">
        <v>34</v>
      </c>
      <c r="J62" s="5">
        <f t="shared" si="16"/>
        <v>8.6699999999999999E-2</v>
      </c>
      <c r="K62" s="6">
        <v>50</v>
      </c>
      <c r="L62" s="6">
        <v>40</v>
      </c>
      <c r="M62" s="7">
        <f t="shared" si="17"/>
        <v>2000</v>
      </c>
      <c r="N62" s="8">
        <v>6</v>
      </c>
      <c r="O62" s="6">
        <v>5</v>
      </c>
      <c r="P62" s="6">
        <f t="shared" si="18"/>
        <v>30</v>
      </c>
      <c r="Q62" s="8">
        <f t="shared" si="19"/>
        <v>60000</v>
      </c>
      <c r="R62" s="6">
        <v>11.2</v>
      </c>
      <c r="S62" s="6" t="s">
        <v>57</v>
      </c>
      <c r="T62" s="6"/>
      <c r="U62" s="6"/>
      <c r="V62" s="6"/>
      <c r="W62" s="9"/>
      <c r="X62" s="6" t="s">
        <v>58</v>
      </c>
      <c r="Y62" s="9">
        <f t="shared" si="20"/>
        <v>0</v>
      </c>
      <c r="Z62" s="10">
        <f t="shared" si="21"/>
        <v>0</v>
      </c>
      <c r="AA62" s="10">
        <f t="shared" si="22"/>
        <v>0</v>
      </c>
      <c r="AB62" s="11">
        <f t="shared" si="23"/>
        <v>0</v>
      </c>
      <c r="AC62" s="11">
        <f t="shared" si="24"/>
        <v>0</v>
      </c>
      <c r="AD62" s="11" t="s">
        <v>59</v>
      </c>
    </row>
    <row r="63" spans="1:30" s="1" customFormat="1" ht="17.100000000000001" customHeight="1">
      <c r="A63" s="2">
        <v>61</v>
      </c>
      <c r="B63" s="3" t="s">
        <v>170</v>
      </c>
      <c r="C63" s="3" t="s">
        <v>171</v>
      </c>
      <c r="D63" s="4">
        <v>16</v>
      </c>
      <c r="E63" s="4">
        <v>7.5</v>
      </c>
      <c r="F63" s="4">
        <v>16</v>
      </c>
      <c r="G63" s="4">
        <v>75</v>
      </c>
      <c r="H63" s="4">
        <v>34</v>
      </c>
      <c r="I63" s="17">
        <v>34</v>
      </c>
      <c r="J63" s="5">
        <f t="shared" si="16"/>
        <v>8.6699999999999999E-2</v>
      </c>
      <c r="K63" s="6">
        <v>50</v>
      </c>
      <c r="L63" s="6">
        <v>40</v>
      </c>
      <c r="M63" s="7">
        <f t="shared" si="17"/>
        <v>2000</v>
      </c>
      <c r="N63" s="8">
        <v>6</v>
      </c>
      <c r="O63" s="6">
        <v>5</v>
      </c>
      <c r="P63" s="6">
        <f t="shared" si="18"/>
        <v>30</v>
      </c>
      <c r="Q63" s="8">
        <f t="shared" si="19"/>
        <v>60000</v>
      </c>
      <c r="R63" s="6">
        <v>11.2</v>
      </c>
      <c r="S63" s="6" t="s">
        <v>57</v>
      </c>
      <c r="T63" s="6"/>
      <c r="U63" s="6"/>
      <c r="V63" s="6"/>
      <c r="W63" s="9"/>
      <c r="X63" s="6" t="s">
        <v>58</v>
      </c>
      <c r="Y63" s="9">
        <f t="shared" si="20"/>
        <v>0</v>
      </c>
      <c r="Z63" s="10">
        <f t="shared" si="21"/>
        <v>0</v>
      </c>
      <c r="AA63" s="10">
        <f t="shared" si="22"/>
        <v>0</v>
      </c>
      <c r="AB63" s="11">
        <f t="shared" si="23"/>
        <v>0</v>
      </c>
      <c r="AC63" s="11">
        <f t="shared" si="24"/>
        <v>0</v>
      </c>
      <c r="AD63" s="11" t="s">
        <v>59</v>
      </c>
    </row>
    <row r="64" spans="1:30" s="1" customFormat="1" ht="17.100000000000001" customHeight="1">
      <c r="A64" s="2">
        <v>62</v>
      </c>
      <c r="B64" s="3" t="s">
        <v>172</v>
      </c>
      <c r="C64" s="3" t="s">
        <v>173</v>
      </c>
      <c r="D64" s="4">
        <v>18.5</v>
      </c>
      <c r="E64" s="4">
        <v>10.5</v>
      </c>
      <c r="F64" s="4">
        <v>15.5</v>
      </c>
      <c r="G64" s="4">
        <v>53</v>
      </c>
      <c r="H64" s="4">
        <v>39</v>
      </c>
      <c r="I64" s="4">
        <v>34</v>
      </c>
      <c r="J64" s="5">
        <f t="shared" ref="J64:J105" si="25">(G64*H64*I64)/1000000</f>
        <v>7.0277999999999993E-2</v>
      </c>
      <c r="K64" s="6">
        <v>50</v>
      </c>
      <c r="L64" s="6">
        <v>20</v>
      </c>
      <c r="M64" s="7">
        <f t="shared" ref="M64:M94" si="26">K64*L64</f>
        <v>1000</v>
      </c>
      <c r="N64" s="8">
        <v>6</v>
      </c>
      <c r="O64" s="6">
        <v>5</v>
      </c>
      <c r="P64" s="6">
        <f t="shared" ref="P64:P105" si="27">N64*O64</f>
        <v>30</v>
      </c>
      <c r="Q64" s="8">
        <f t="shared" ref="Q64:Q105" si="28">M64*P64</f>
        <v>30000</v>
      </c>
      <c r="R64" s="6">
        <v>6.3</v>
      </c>
      <c r="S64" s="6" t="s">
        <v>57</v>
      </c>
      <c r="T64" s="6"/>
      <c r="U64" s="6"/>
      <c r="V64" s="6"/>
      <c r="W64" s="9"/>
      <c r="X64" s="6" t="s">
        <v>58</v>
      </c>
      <c r="Y64" s="9">
        <f t="shared" si="20"/>
        <v>0</v>
      </c>
      <c r="Z64" s="10">
        <f t="shared" si="21"/>
        <v>0</v>
      </c>
      <c r="AA64" s="10">
        <f t="shared" si="22"/>
        <v>0</v>
      </c>
      <c r="AB64" s="11">
        <f t="shared" si="23"/>
        <v>0</v>
      </c>
      <c r="AC64" s="11">
        <f t="shared" si="24"/>
        <v>0</v>
      </c>
      <c r="AD64" s="11" t="s">
        <v>59</v>
      </c>
    </row>
    <row r="65" spans="1:30" s="1" customFormat="1" ht="17.100000000000001" customHeight="1">
      <c r="A65" s="2">
        <v>63</v>
      </c>
      <c r="B65" s="3" t="s">
        <v>174</v>
      </c>
      <c r="C65" s="3" t="s">
        <v>175</v>
      </c>
      <c r="D65" s="4">
        <v>18.5</v>
      </c>
      <c r="E65" s="4">
        <v>10.5</v>
      </c>
      <c r="F65" s="4">
        <v>15.5</v>
      </c>
      <c r="G65" s="4">
        <v>53</v>
      </c>
      <c r="H65" s="4">
        <v>39</v>
      </c>
      <c r="I65" s="4">
        <v>34</v>
      </c>
      <c r="J65" s="5">
        <f t="shared" si="25"/>
        <v>7.0277999999999993E-2</v>
      </c>
      <c r="K65" s="6">
        <v>50</v>
      </c>
      <c r="L65" s="6">
        <v>20</v>
      </c>
      <c r="M65" s="7">
        <f t="shared" si="26"/>
        <v>1000</v>
      </c>
      <c r="N65" s="8">
        <v>6</v>
      </c>
      <c r="O65" s="6">
        <v>5</v>
      </c>
      <c r="P65" s="6">
        <f t="shared" si="27"/>
        <v>30</v>
      </c>
      <c r="Q65" s="8">
        <f t="shared" si="28"/>
        <v>30000</v>
      </c>
      <c r="R65" s="6">
        <v>6.3</v>
      </c>
      <c r="S65" s="6" t="s">
        <v>57</v>
      </c>
      <c r="T65" s="6"/>
      <c r="U65" s="6"/>
      <c r="V65" s="6"/>
      <c r="W65" s="9"/>
      <c r="X65" s="6" t="s">
        <v>58</v>
      </c>
      <c r="Y65" s="9">
        <f t="shared" si="20"/>
        <v>0</v>
      </c>
      <c r="Z65" s="10">
        <f t="shared" si="21"/>
        <v>0</v>
      </c>
      <c r="AA65" s="10">
        <f t="shared" si="22"/>
        <v>0</v>
      </c>
      <c r="AB65" s="11">
        <f t="shared" si="23"/>
        <v>0</v>
      </c>
      <c r="AC65" s="11">
        <f t="shared" si="24"/>
        <v>0</v>
      </c>
      <c r="AD65" s="11" t="s">
        <v>59</v>
      </c>
    </row>
    <row r="66" spans="1:30" s="1" customFormat="1" ht="17.100000000000001" customHeight="1">
      <c r="A66" s="2">
        <v>64</v>
      </c>
      <c r="B66" s="3" t="s">
        <v>176</v>
      </c>
      <c r="C66" s="3" t="s">
        <v>177</v>
      </c>
      <c r="D66" s="4">
        <v>18.5</v>
      </c>
      <c r="E66" s="4">
        <v>10.5</v>
      </c>
      <c r="F66" s="4">
        <v>15.5</v>
      </c>
      <c r="G66" s="4">
        <v>53</v>
      </c>
      <c r="H66" s="4">
        <v>39</v>
      </c>
      <c r="I66" s="4">
        <v>34</v>
      </c>
      <c r="J66" s="5">
        <f t="shared" si="25"/>
        <v>7.0277999999999993E-2</v>
      </c>
      <c r="K66" s="6">
        <v>50</v>
      </c>
      <c r="L66" s="6">
        <v>20</v>
      </c>
      <c r="M66" s="7">
        <f t="shared" si="26"/>
        <v>1000</v>
      </c>
      <c r="N66" s="8">
        <v>6</v>
      </c>
      <c r="O66" s="6">
        <v>5</v>
      </c>
      <c r="P66" s="6">
        <f t="shared" si="27"/>
        <v>30</v>
      </c>
      <c r="Q66" s="8">
        <f t="shared" si="28"/>
        <v>30000</v>
      </c>
      <c r="R66" s="6">
        <v>6.3</v>
      </c>
      <c r="S66" s="6" t="s">
        <v>57</v>
      </c>
      <c r="T66" s="6"/>
      <c r="U66" s="6"/>
      <c r="V66" s="6"/>
      <c r="W66" s="9"/>
      <c r="X66" s="6" t="s">
        <v>58</v>
      </c>
      <c r="Y66" s="9">
        <f t="shared" si="20"/>
        <v>0</v>
      </c>
      <c r="Z66" s="10">
        <f t="shared" si="21"/>
        <v>0</v>
      </c>
      <c r="AA66" s="10">
        <f t="shared" si="22"/>
        <v>0</v>
      </c>
      <c r="AB66" s="11">
        <f t="shared" si="23"/>
        <v>0</v>
      </c>
      <c r="AC66" s="11">
        <f t="shared" si="24"/>
        <v>0</v>
      </c>
      <c r="AD66" s="11" t="s">
        <v>59</v>
      </c>
    </row>
    <row r="67" spans="1:30" s="1" customFormat="1" ht="17.100000000000001" customHeight="1">
      <c r="A67" s="2">
        <v>65</v>
      </c>
      <c r="B67" s="3" t="s">
        <v>178</v>
      </c>
      <c r="C67" s="3" t="s">
        <v>179</v>
      </c>
      <c r="D67" s="4">
        <v>18.5</v>
      </c>
      <c r="E67" s="4">
        <v>10.5</v>
      </c>
      <c r="F67" s="4">
        <v>15.5</v>
      </c>
      <c r="G67" s="4">
        <v>53</v>
      </c>
      <c r="H67" s="4">
        <v>39</v>
      </c>
      <c r="I67" s="4">
        <v>34</v>
      </c>
      <c r="J67" s="5">
        <f t="shared" si="25"/>
        <v>7.0277999999999993E-2</v>
      </c>
      <c r="K67" s="6">
        <v>50</v>
      </c>
      <c r="L67" s="6">
        <v>20</v>
      </c>
      <c r="M67" s="7">
        <f t="shared" si="26"/>
        <v>1000</v>
      </c>
      <c r="N67" s="8">
        <v>6</v>
      </c>
      <c r="O67" s="6">
        <v>5</v>
      </c>
      <c r="P67" s="6">
        <f t="shared" si="27"/>
        <v>30</v>
      </c>
      <c r="Q67" s="8">
        <f t="shared" si="28"/>
        <v>30000</v>
      </c>
      <c r="R67" s="6">
        <v>6.3</v>
      </c>
      <c r="S67" s="6" t="s">
        <v>57</v>
      </c>
      <c r="T67" s="6"/>
      <c r="U67" s="6"/>
      <c r="V67" s="6"/>
      <c r="W67" s="9"/>
      <c r="X67" s="6" t="s">
        <v>58</v>
      </c>
      <c r="Y67" s="9">
        <f t="shared" si="20"/>
        <v>0</v>
      </c>
      <c r="Z67" s="10">
        <f t="shared" si="21"/>
        <v>0</v>
      </c>
      <c r="AA67" s="10">
        <f t="shared" si="22"/>
        <v>0</v>
      </c>
      <c r="AB67" s="11">
        <f t="shared" si="23"/>
        <v>0</v>
      </c>
      <c r="AC67" s="11">
        <f t="shared" si="24"/>
        <v>0</v>
      </c>
      <c r="AD67" s="11" t="s">
        <v>59</v>
      </c>
    </row>
    <row r="68" spans="1:30" s="1" customFormat="1" ht="17.100000000000001" customHeight="1">
      <c r="A68" s="2">
        <v>66</v>
      </c>
      <c r="B68" s="3" t="s">
        <v>180</v>
      </c>
      <c r="C68" s="3" t="s">
        <v>179</v>
      </c>
      <c r="D68" s="4">
        <v>18.5</v>
      </c>
      <c r="E68" s="4">
        <v>10.5</v>
      </c>
      <c r="F68" s="4">
        <v>15.5</v>
      </c>
      <c r="G68" s="4">
        <v>53</v>
      </c>
      <c r="H68" s="4">
        <v>39</v>
      </c>
      <c r="I68" s="4">
        <v>34</v>
      </c>
      <c r="J68" s="5">
        <f t="shared" si="25"/>
        <v>7.0277999999999993E-2</v>
      </c>
      <c r="K68" s="6">
        <v>50</v>
      </c>
      <c r="L68" s="6">
        <v>20</v>
      </c>
      <c r="M68" s="7">
        <f t="shared" si="26"/>
        <v>1000</v>
      </c>
      <c r="N68" s="8">
        <v>6</v>
      </c>
      <c r="O68" s="6">
        <v>5</v>
      </c>
      <c r="P68" s="6">
        <f t="shared" si="27"/>
        <v>30</v>
      </c>
      <c r="Q68" s="8">
        <f t="shared" si="28"/>
        <v>30000</v>
      </c>
      <c r="R68" s="6">
        <v>6.3</v>
      </c>
      <c r="S68" s="6" t="s">
        <v>57</v>
      </c>
      <c r="T68" s="6"/>
      <c r="U68" s="6"/>
      <c r="V68" s="6"/>
      <c r="W68" s="9"/>
      <c r="X68" s="6" t="s">
        <v>58</v>
      </c>
      <c r="Y68" s="9">
        <f t="shared" si="20"/>
        <v>0</v>
      </c>
      <c r="Z68" s="10">
        <f t="shared" si="21"/>
        <v>0</v>
      </c>
      <c r="AA68" s="10">
        <f t="shared" si="22"/>
        <v>0</v>
      </c>
      <c r="AB68" s="11">
        <f t="shared" si="23"/>
        <v>0</v>
      </c>
      <c r="AC68" s="11">
        <f t="shared" si="24"/>
        <v>0</v>
      </c>
      <c r="AD68" s="11" t="s">
        <v>59</v>
      </c>
    </row>
    <row r="69" spans="1:30" s="1" customFormat="1" ht="17.100000000000001" customHeight="1">
      <c r="A69" s="2">
        <v>67</v>
      </c>
      <c r="B69" s="3" t="s">
        <v>181</v>
      </c>
      <c r="C69" s="3" t="s">
        <v>182</v>
      </c>
      <c r="D69" s="4">
        <v>18.5</v>
      </c>
      <c r="E69" s="4">
        <v>10.5</v>
      </c>
      <c r="F69" s="4">
        <v>15.5</v>
      </c>
      <c r="G69" s="4">
        <v>53</v>
      </c>
      <c r="H69" s="4">
        <v>39</v>
      </c>
      <c r="I69" s="4">
        <v>34</v>
      </c>
      <c r="J69" s="5">
        <f t="shared" si="25"/>
        <v>7.0277999999999993E-2</v>
      </c>
      <c r="K69" s="6">
        <v>50</v>
      </c>
      <c r="L69" s="6">
        <v>20</v>
      </c>
      <c r="M69" s="7">
        <f t="shared" si="26"/>
        <v>1000</v>
      </c>
      <c r="N69" s="8">
        <v>6</v>
      </c>
      <c r="O69" s="6">
        <v>5</v>
      </c>
      <c r="P69" s="6">
        <f t="shared" si="27"/>
        <v>30</v>
      </c>
      <c r="Q69" s="8">
        <f t="shared" si="28"/>
        <v>30000</v>
      </c>
      <c r="R69" s="6">
        <v>6.3</v>
      </c>
      <c r="S69" s="6" t="s">
        <v>57</v>
      </c>
      <c r="T69" s="6"/>
      <c r="U69" s="6"/>
      <c r="V69" s="6"/>
      <c r="W69" s="9"/>
      <c r="X69" s="6" t="s">
        <v>58</v>
      </c>
      <c r="Y69" s="9">
        <f t="shared" si="20"/>
        <v>0</v>
      </c>
      <c r="Z69" s="10">
        <f t="shared" si="21"/>
        <v>0</v>
      </c>
      <c r="AA69" s="10">
        <f t="shared" si="22"/>
        <v>0</v>
      </c>
      <c r="AB69" s="11">
        <f t="shared" si="23"/>
        <v>0</v>
      </c>
      <c r="AC69" s="11">
        <f t="shared" si="24"/>
        <v>0</v>
      </c>
      <c r="AD69" s="11" t="s">
        <v>59</v>
      </c>
    </row>
    <row r="70" spans="1:30" s="1" customFormat="1" ht="17.100000000000001" customHeight="1">
      <c r="A70" s="2">
        <v>68</v>
      </c>
      <c r="B70" s="3" t="s">
        <v>183</v>
      </c>
      <c r="C70" s="3" t="s">
        <v>184</v>
      </c>
      <c r="D70" s="4">
        <v>18.5</v>
      </c>
      <c r="E70" s="4">
        <v>10.5</v>
      </c>
      <c r="F70" s="4">
        <v>15.5</v>
      </c>
      <c r="G70" s="4">
        <v>53</v>
      </c>
      <c r="H70" s="4">
        <v>39</v>
      </c>
      <c r="I70" s="4">
        <v>34</v>
      </c>
      <c r="J70" s="5">
        <f t="shared" si="25"/>
        <v>7.0277999999999993E-2</v>
      </c>
      <c r="K70" s="6">
        <v>50</v>
      </c>
      <c r="L70" s="6">
        <v>20</v>
      </c>
      <c r="M70" s="7">
        <f t="shared" si="26"/>
        <v>1000</v>
      </c>
      <c r="N70" s="8">
        <v>6</v>
      </c>
      <c r="O70" s="6">
        <v>5</v>
      </c>
      <c r="P70" s="6">
        <f t="shared" si="27"/>
        <v>30</v>
      </c>
      <c r="Q70" s="8">
        <f t="shared" si="28"/>
        <v>30000</v>
      </c>
      <c r="R70" s="6">
        <v>6.3</v>
      </c>
      <c r="S70" s="6" t="s">
        <v>57</v>
      </c>
      <c r="T70" s="6"/>
      <c r="U70" s="6"/>
      <c r="V70" s="6"/>
      <c r="W70" s="9"/>
      <c r="X70" s="6" t="s">
        <v>58</v>
      </c>
      <c r="Y70" s="9">
        <f t="shared" si="20"/>
        <v>0</v>
      </c>
      <c r="Z70" s="10">
        <f t="shared" si="21"/>
        <v>0</v>
      </c>
      <c r="AA70" s="10">
        <f t="shared" si="22"/>
        <v>0</v>
      </c>
      <c r="AB70" s="11">
        <f t="shared" si="23"/>
        <v>0</v>
      </c>
      <c r="AC70" s="11">
        <f t="shared" si="24"/>
        <v>0</v>
      </c>
      <c r="AD70" s="11" t="s">
        <v>59</v>
      </c>
    </row>
    <row r="71" spans="1:30" s="1" customFormat="1" ht="17.100000000000001" customHeight="1">
      <c r="A71" s="2">
        <v>69</v>
      </c>
      <c r="B71" s="3" t="s">
        <v>185</v>
      </c>
      <c r="C71" s="3" t="s">
        <v>186</v>
      </c>
      <c r="D71" s="4">
        <v>18.5</v>
      </c>
      <c r="E71" s="4">
        <v>10.5</v>
      </c>
      <c r="F71" s="4">
        <v>15.5</v>
      </c>
      <c r="G71" s="4">
        <v>53</v>
      </c>
      <c r="H71" s="4">
        <v>39</v>
      </c>
      <c r="I71" s="4">
        <v>34</v>
      </c>
      <c r="J71" s="5">
        <f t="shared" si="25"/>
        <v>7.0277999999999993E-2</v>
      </c>
      <c r="K71" s="6">
        <v>50</v>
      </c>
      <c r="L71" s="6">
        <v>20</v>
      </c>
      <c r="M71" s="7">
        <f t="shared" si="26"/>
        <v>1000</v>
      </c>
      <c r="N71" s="8">
        <v>6</v>
      </c>
      <c r="O71" s="6">
        <v>5</v>
      </c>
      <c r="P71" s="6">
        <f t="shared" si="27"/>
        <v>30</v>
      </c>
      <c r="Q71" s="8">
        <f t="shared" si="28"/>
        <v>30000</v>
      </c>
      <c r="R71" s="6">
        <v>6.3</v>
      </c>
      <c r="S71" s="6" t="s">
        <v>57</v>
      </c>
      <c r="T71" s="6"/>
      <c r="U71" s="6"/>
      <c r="V71" s="6"/>
      <c r="W71" s="9"/>
      <c r="X71" s="6" t="s">
        <v>58</v>
      </c>
      <c r="Y71" s="9">
        <f t="shared" si="20"/>
        <v>0</v>
      </c>
      <c r="Z71" s="10">
        <f t="shared" si="21"/>
        <v>0</v>
      </c>
      <c r="AA71" s="10">
        <f t="shared" si="22"/>
        <v>0</v>
      </c>
      <c r="AB71" s="11">
        <f t="shared" si="23"/>
        <v>0</v>
      </c>
      <c r="AC71" s="11">
        <f t="shared" si="24"/>
        <v>0</v>
      </c>
      <c r="AD71" s="11" t="s">
        <v>59</v>
      </c>
    </row>
    <row r="72" spans="1:30" s="1" customFormat="1" ht="17.100000000000001" customHeight="1">
      <c r="A72" s="2">
        <v>70</v>
      </c>
      <c r="B72" s="3" t="s">
        <v>187</v>
      </c>
      <c r="C72" s="3" t="s">
        <v>188</v>
      </c>
      <c r="D72" s="4">
        <v>18.5</v>
      </c>
      <c r="E72" s="4">
        <v>10.5</v>
      </c>
      <c r="F72" s="4">
        <v>15.5</v>
      </c>
      <c r="G72" s="4">
        <v>53</v>
      </c>
      <c r="H72" s="4">
        <v>39</v>
      </c>
      <c r="I72" s="4">
        <v>34</v>
      </c>
      <c r="J72" s="5">
        <f t="shared" si="25"/>
        <v>7.0277999999999993E-2</v>
      </c>
      <c r="K72" s="6">
        <v>50</v>
      </c>
      <c r="L72" s="6">
        <v>20</v>
      </c>
      <c r="M72" s="7">
        <f t="shared" si="26"/>
        <v>1000</v>
      </c>
      <c r="N72" s="8">
        <v>6</v>
      </c>
      <c r="O72" s="6">
        <v>5</v>
      </c>
      <c r="P72" s="6">
        <f t="shared" si="27"/>
        <v>30</v>
      </c>
      <c r="Q72" s="8">
        <f t="shared" si="28"/>
        <v>30000</v>
      </c>
      <c r="R72" s="6">
        <v>6.3</v>
      </c>
      <c r="S72" s="6" t="s">
        <v>57</v>
      </c>
      <c r="T72" s="6"/>
      <c r="U72" s="6"/>
      <c r="V72" s="6"/>
      <c r="W72" s="9"/>
      <c r="X72" s="6" t="s">
        <v>58</v>
      </c>
      <c r="Y72" s="9">
        <f t="shared" si="20"/>
        <v>0</v>
      </c>
      <c r="Z72" s="10">
        <f t="shared" si="21"/>
        <v>0</v>
      </c>
      <c r="AA72" s="10">
        <f t="shared" si="22"/>
        <v>0</v>
      </c>
      <c r="AB72" s="11">
        <f t="shared" si="23"/>
        <v>0</v>
      </c>
      <c r="AC72" s="11">
        <f t="shared" si="24"/>
        <v>0</v>
      </c>
      <c r="AD72" s="11" t="s">
        <v>59</v>
      </c>
    </row>
    <row r="73" spans="1:30" s="1" customFormat="1" ht="17.100000000000001" customHeight="1">
      <c r="A73" s="2">
        <v>71</v>
      </c>
      <c r="B73" s="3" t="s">
        <v>189</v>
      </c>
      <c r="C73" s="3" t="s">
        <v>190</v>
      </c>
      <c r="D73" s="4">
        <v>18.5</v>
      </c>
      <c r="E73" s="4">
        <v>10.5</v>
      </c>
      <c r="F73" s="4">
        <v>15.5</v>
      </c>
      <c r="G73" s="4">
        <v>53</v>
      </c>
      <c r="H73" s="4">
        <v>39</v>
      </c>
      <c r="I73" s="4">
        <v>34</v>
      </c>
      <c r="J73" s="5">
        <f t="shared" si="25"/>
        <v>7.0277999999999993E-2</v>
      </c>
      <c r="K73" s="6">
        <v>50</v>
      </c>
      <c r="L73" s="6">
        <v>20</v>
      </c>
      <c r="M73" s="7">
        <f t="shared" si="26"/>
        <v>1000</v>
      </c>
      <c r="N73" s="8">
        <v>6</v>
      </c>
      <c r="O73" s="6">
        <v>5</v>
      </c>
      <c r="P73" s="6">
        <f t="shared" si="27"/>
        <v>30</v>
      </c>
      <c r="Q73" s="8">
        <f t="shared" si="28"/>
        <v>30000</v>
      </c>
      <c r="R73" s="6">
        <v>6.3</v>
      </c>
      <c r="S73" s="6" t="s">
        <v>57</v>
      </c>
      <c r="T73" s="6"/>
      <c r="U73" s="6"/>
      <c r="V73" s="6"/>
      <c r="W73" s="9"/>
      <c r="X73" s="6" t="s">
        <v>58</v>
      </c>
      <c r="Y73" s="9">
        <f t="shared" si="20"/>
        <v>0</v>
      </c>
      <c r="Z73" s="10">
        <f t="shared" si="21"/>
        <v>0</v>
      </c>
      <c r="AA73" s="10">
        <f t="shared" si="22"/>
        <v>0</v>
      </c>
      <c r="AB73" s="11">
        <f t="shared" si="23"/>
        <v>0</v>
      </c>
      <c r="AC73" s="11">
        <f t="shared" si="24"/>
        <v>0</v>
      </c>
      <c r="AD73" s="11" t="s">
        <v>59</v>
      </c>
    </row>
    <row r="74" spans="1:30" s="1" customFormat="1" ht="17.100000000000001" customHeight="1">
      <c r="A74" s="2">
        <v>72</v>
      </c>
      <c r="B74" s="3" t="s">
        <v>191</v>
      </c>
      <c r="C74" s="3" t="s">
        <v>192</v>
      </c>
      <c r="D74" s="4">
        <v>18.5</v>
      </c>
      <c r="E74" s="4">
        <v>10.5</v>
      </c>
      <c r="F74" s="4">
        <v>15.5</v>
      </c>
      <c r="G74" s="4">
        <v>53</v>
      </c>
      <c r="H74" s="4">
        <v>39</v>
      </c>
      <c r="I74" s="4">
        <v>34</v>
      </c>
      <c r="J74" s="5">
        <f t="shared" si="25"/>
        <v>7.0277999999999993E-2</v>
      </c>
      <c r="K74" s="6">
        <v>50</v>
      </c>
      <c r="L74" s="6">
        <v>20</v>
      </c>
      <c r="M74" s="7">
        <f t="shared" si="26"/>
        <v>1000</v>
      </c>
      <c r="N74" s="8">
        <v>6</v>
      </c>
      <c r="O74" s="6">
        <v>5</v>
      </c>
      <c r="P74" s="6">
        <f t="shared" si="27"/>
        <v>30</v>
      </c>
      <c r="Q74" s="8">
        <f t="shared" si="28"/>
        <v>30000</v>
      </c>
      <c r="R74" s="6">
        <v>6.3</v>
      </c>
      <c r="S74" s="6" t="s">
        <v>57</v>
      </c>
      <c r="T74" s="6"/>
      <c r="U74" s="6"/>
      <c r="V74" s="6"/>
      <c r="W74" s="9"/>
      <c r="X74" s="6" t="s">
        <v>58</v>
      </c>
      <c r="Y74" s="9">
        <f t="shared" si="20"/>
        <v>0</v>
      </c>
      <c r="Z74" s="10">
        <f t="shared" si="21"/>
        <v>0</v>
      </c>
      <c r="AA74" s="10">
        <f t="shared" si="22"/>
        <v>0</v>
      </c>
      <c r="AB74" s="11">
        <f t="shared" si="23"/>
        <v>0</v>
      </c>
      <c r="AC74" s="11">
        <f t="shared" si="24"/>
        <v>0</v>
      </c>
      <c r="AD74" s="11" t="s">
        <v>59</v>
      </c>
    </row>
    <row r="75" spans="1:30" s="1" customFormat="1" ht="17.100000000000001" customHeight="1">
      <c r="A75" s="2">
        <v>73</v>
      </c>
      <c r="B75" s="3" t="s">
        <v>193</v>
      </c>
      <c r="C75" s="3" t="s">
        <v>194</v>
      </c>
      <c r="D75" s="4">
        <v>18.5</v>
      </c>
      <c r="E75" s="4">
        <v>10.5</v>
      </c>
      <c r="F75" s="4">
        <v>15.5</v>
      </c>
      <c r="G75" s="4">
        <v>53</v>
      </c>
      <c r="H75" s="4">
        <v>39</v>
      </c>
      <c r="I75" s="4">
        <v>34</v>
      </c>
      <c r="J75" s="5">
        <f t="shared" si="25"/>
        <v>7.0277999999999993E-2</v>
      </c>
      <c r="K75" s="6">
        <v>50</v>
      </c>
      <c r="L75" s="6">
        <v>20</v>
      </c>
      <c r="M75" s="7">
        <f t="shared" si="26"/>
        <v>1000</v>
      </c>
      <c r="N75" s="8">
        <v>6</v>
      </c>
      <c r="O75" s="6">
        <v>5</v>
      </c>
      <c r="P75" s="6">
        <f t="shared" si="27"/>
        <v>30</v>
      </c>
      <c r="Q75" s="8">
        <f t="shared" si="28"/>
        <v>30000</v>
      </c>
      <c r="R75" s="6">
        <v>6.3</v>
      </c>
      <c r="S75" s="6" t="s">
        <v>57</v>
      </c>
      <c r="T75" s="6"/>
      <c r="U75" s="6"/>
      <c r="V75" s="6"/>
      <c r="W75" s="9"/>
      <c r="X75" s="6" t="s">
        <v>58</v>
      </c>
      <c r="Y75" s="9">
        <f t="shared" si="20"/>
        <v>0</v>
      </c>
      <c r="Z75" s="10">
        <f t="shared" si="21"/>
        <v>0</v>
      </c>
      <c r="AA75" s="10">
        <f t="shared" si="22"/>
        <v>0</v>
      </c>
      <c r="AB75" s="11">
        <f t="shared" si="23"/>
        <v>0</v>
      </c>
      <c r="AC75" s="11">
        <f t="shared" si="24"/>
        <v>0</v>
      </c>
      <c r="AD75" s="11" t="s">
        <v>59</v>
      </c>
    </row>
    <row r="76" spans="1:30" s="1" customFormat="1" ht="17.100000000000001" customHeight="1">
      <c r="A76" s="2">
        <v>74</v>
      </c>
      <c r="B76" s="3" t="s">
        <v>195</v>
      </c>
      <c r="C76" s="3" t="s">
        <v>196</v>
      </c>
      <c r="D76" s="4"/>
      <c r="E76" s="4"/>
      <c r="F76" s="4"/>
      <c r="G76" s="4"/>
      <c r="H76" s="4"/>
      <c r="I76" s="4"/>
      <c r="J76" s="5">
        <f t="shared" si="25"/>
        <v>0</v>
      </c>
      <c r="K76" s="6"/>
      <c r="L76" s="6"/>
      <c r="M76" s="7">
        <f t="shared" si="26"/>
        <v>0</v>
      </c>
      <c r="N76" s="8"/>
      <c r="O76" s="6"/>
      <c r="P76" s="6">
        <f t="shared" si="27"/>
        <v>0</v>
      </c>
      <c r="Q76" s="8">
        <f t="shared" si="28"/>
        <v>0</v>
      </c>
      <c r="R76" s="6"/>
      <c r="S76" s="6" t="s">
        <v>80</v>
      </c>
      <c r="T76" s="6"/>
      <c r="U76" s="6"/>
      <c r="V76" s="6"/>
      <c r="W76" s="9"/>
      <c r="X76" s="6" t="s">
        <v>197</v>
      </c>
      <c r="Y76" s="9" t="e">
        <f t="shared" si="20"/>
        <v>#DIV/0!</v>
      </c>
      <c r="Z76" s="10" t="e">
        <f t="shared" si="21"/>
        <v>#DIV/0!</v>
      </c>
      <c r="AA76" s="10" t="e">
        <f t="shared" si="22"/>
        <v>#DIV/0!</v>
      </c>
      <c r="AB76" s="11" t="e">
        <f t="shared" si="23"/>
        <v>#DIV/0!</v>
      </c>
      <c r="AC76" s="11" t="e">
        <f t="shared" si="24"/>
        <v>#DIV/0!</v>
      </c>
      <c r="AD76" s="11" t="s">
        <v>59</v>
      </c>
    </row>
    <row r="77" spans="1:30" s="1" customFormat="1" ht="17.100000000000001" customHeight="1">
      <c r="A77" s="2">
        <v>75</v>
      </c>
      <c r="B77" s="3" t="s">
        <v>198</v>
      </c>
      <c r="C77" s="3" t="s">
        <v>199</v>
      </c>
      <c r="D77" s="4">
        <v>7</v>
      </c>
      <c r="E77" s="4">
        <v>7</v>
      </c>
      <c r="F77" s="4">
        <v>1</v>
      </c>
      <c r="G77" s="4">
        <v>45.5</v>
      </c>
      <c r="H77" s="4">
        <v>30.5</v>
      </c>
      <c r="I77" s="4">
        <v>24</v>
      </c>
      <c r="J77" s="5">
        <f t="shared" si="25"/>
        <v>3.3306000000000002E-2</v>
      </c>
      <c r="K77" s="6">
        <v>1</v>
      </c>
      <c r="L77" s="6">
        <v>300</v>
      </c>
      <c r="M77" s="7">
        <f t="shared" si="26"/>
        <v>300</v>
      </c>
      <c r="N77" s="8"/>
      <c r="O77" s="6"/>
      <c r="P77" s="6">
        <f t="shared" si="27"/>
        <v>0</v>
      </c>
      <c r="Q77" s="8">
        <f t="shared" si="28"/>
        <v>0</v>
      </c>
      <c r="R77" s="6">
        <v>0.4</v>
      </c>
      <c r="S77" s="6" t="s">
        <v>57</v>
      </c>
      <c r="T77" s="6" t="s">
        <v>200</v>
      </c>
      <c r="U77" s="6"/>
      <c r="V77" s="6"/>
      <c r="W77" s="9"/>
      <c r="X77" s="6" t="s">
        <v>201</v>
      </c>
      <c r="Y77" s="9">
        <f t="shared" si="20"/>
        <v>0</v>
      </c>
      <c r="Z77" s="10">
        <f t="shared" si="21"/>
        <v>0</v>
      </c>
      <c r="AA77" s="10">
        <f t="shared" si="22"/>
        <v>0</v>
      </c>
      <c r="AB77" s="11">
        <f t="shared" si="23"/>
        <v>0</v>
      </c>
      <c r="AC77" s="11">
        <f t="shared" si="24"/>
        <v>0</v>
      </c>
      <c r="AD77" s="11" t="s">
        <v>59</v>
      </c>
    </row>
    <row r="78" spans="1:30" s="1" customFormat="1" ht="17.100000000000001" customHeight="1">
      <c r="A78" s="2">
        <v>76</v>
      </c>
      <c r="B78" s="3" t="s">
        <v>202</v>
      </c>
      <c r="C78" s="3" t="s">
        <v>203</v>
      </c>
      <c r="D78" s="4">
        <v>40</v>
      </c>
      <c r="E78" s="4">
        <v>20</v>
      </c>
      <c r="F78" s="4">
        <v>5.3</v>
      </c>
      <c r="G78" s="4">
        <v>60</v>
      </c>
      <c r="H78" s="4">
        <v>42</v>
      </c>
      <c r="I78" s="4">
        <v>36.5</v>
      </c>
      <c r="J78" s="5">
        <f t="shared" si="25"/>
        <v>9.1980000000000006E-2</v>
      </c>
      <c r="K78" s="6">
        <v>500</v>
      </c>
      <c r="L78" s="6">
        <v>18</v>
      </c>
      <c r="M78" s="7">
        <f t="shared" si="26"/>
        <v>9000</v>
      </c>
      <c r="N78" s="8">
        <v>5</v>
      </c>
      <c r="O78" s="6">
        <v>4</v>
      </c>
      <c r="P78" s="6">
        <f t="shared" si="27"/>
        <v>20</v>
      </c>
      <c r="Q78" s="8">
        <f t="shared" si="28"/>
        <v>180000</v>
      </c>
      <c r="R78" s="6">
        <v>19.100000000000001</v>
      </c>
      <c r="S78" s="6" t="s">
        <v>57</v>
      </c>
      <c r="T78" s="6"/>
      <c r="U78" s="6"/>
      <c r="V78" s="6"/>
      <c r="W78" s="9"/>
      <c r="X78" s="6" t="s">
        <v>58</v>
      </c>
      <c r="Y78" s="9">
        <f t="shared" si="20"/>
        <v>0</v>
      </c>
      <c r="Z78" s="10">
        <f t="shared" si="21"/>
        <v>0</v>
      </c>
      <c r="AA78" s="10">
        <f t="shared" si="22"/>
        <v>0</v>
      </c>
      <c r="AB78" s="11">
        <f t="shared" si="23"/>
        <v>0</v>
      </c>
      <c r="AC78" s="11">
        <f t="shared" si="24"/>
        <v>0</v>
      </c>
      <c r="AD78" s="11" t="s">
        <v>59</v>
      </c>
    </row>
    <row r="79" spans="1:30" s="1" customFormat="1" ht="17.100000000000001" customHeight="1">
      <c r="A79" s="2">
        <v>77</v>
      </c>
      <c r="B79" s="3" t="s">
        <v>204</v>
      </c>
      <c r="C79" s="3" t="s">
        <v>205</v>
      </c>
      <c r="D79" s="4">
        <v>7</v>
      </c>
      <c r="E79" s="4">
        <v>7</v>
      </c>
      <c r="F79" s="4">
        <v>1</v>
      </c>
      <c r="G79" s="4">
        <v>39</v>
      </c>
      <c r="H79" s="4">
        <v>39</v>
      </c>
      <c r="I79" s="4">
        <v>21</v>
      </c>
      <c r="J79" s="5">
        <f t="shared" si="25"/>
        <v>3.1940999999999997E-2</v>
      </c>
      <c r="K79" s="6">
        <v>1</v>
      </c>
      <c r="L79" s="6">
        <v>250</v>
      </c>
      <c r="M79" s="7">
        <f t="shared" si="26"/>
        <v>250</v>
      </c>
      <c r="N79" s="8"/>
      <c r="O79" s="6"/>
      <c r="P79" s="6">
        <f t="shared" si="27"/>
        <v>0</v>
      </c>
      <c r="Q79" s="8">
        <f t="shared" si="28"/>
        <v>0</v>
      </c>
      <c r="R79" s="6">
        <v>0.4</v>
      </c>
      <c r="S79" s="6" t="s">
        <v>57</v>
      </c>
      <c r="T79" s="6" t="s">
        <v>200</v>
      </c>
      <c r="U79" s="6"/>
      <c r="V79" s="6"/>
      <c r="W79" s="9"/>
      <c r="X79" s="6" t="s">
        <v>201</v>
      </c>
      <c r="Y79" s="9">
        <f t="shared" si="20"/>
        <v>0</v>
      </c>
      <c r="Z79" s="10">
        <f t="shared" si="21"/>
        <v>0</v>
      </c>
      <c r="AA79" s="10">
        <f t="shared" si="22"/>
        <v>0</v>
      </c>
      <c r="AB79" s="11">
        <f t="shared" si="23"/>
        <v>0</v>
      </c>
      <c r="AC79" s="11">
        <f t="shared" si="24"/>
        <v>0</v>
      </c>
      <c r="AD79" s="11" t="s">
        <v>59</v>
      </c>
    </row>
    <row r="80" spans="1:30" s="1" customFormat="1" ht="17.100000000000001" customHeight="1">
      <c r="A80" s="2">
        <v>78</v>
      </c>
      <c r="B80" s="3" t="s">
        <v>206</v>
      </c>
      <c r="C80" s="3" t="s">
        <v>207</v>
      </c>
      <c r="D80" s="4">
        <v>7</v>
      </c>
      <c r="E80" s="4">
        <v>7</v>
      </c>
      <c r="F80" s="4">
        <v>1.5</v>
      </c>
      <c r="G80" s="4">
        <v>39</v>
      </c>
      <c r="H80" s="4">
        <v>39</v>
      </c>
      <c r="I80" s="4">
        <v>21</v>
      </c>
      <c r="J80" s="5">
        <f t="shared" si="25"/>
        <v>3.1940999999999997E-2</v>
      </c>
      <c r="K80" s="6">
        <v>1</v>
      </c>
      <c r="L80" s="6">
        <v>250</v>
      </c>
      <c r="M80" s="7">
        <f t="shared" si="26"/>
        <v>250</v>
      </c>
      <c r="N80" s="8"/>
      <c r="O80" s="6"/>
      <c r="P80" s="6">
        <f t="shared" si="27"/>
        <v>0</v>
      </c>
      <c r="Q80" s="8">
        <f t="shared" si="28"/>
        <v>0</v>
      </c>
      <c r="R80" s="6">
        <v>0.4</v>
      </c>
      <c r="S80" s="6" t="s">
        <v>57</v>
      </c>
      <c r="T80" s="6" t="s">
        <v>200</v>
      </c>
      <c r="U80" s="6"/>
      <c r="V80" s="6"/>
      <c r="W80" s="9"/>
      <c r="X80" s="6"/>
      <c r="Y80" s="9">
        <f t="shared" si="20"/>
        <v>0</v>
      </c>
      <c r="Z80" s="10">
        <f t="shared" si="21"/>
        <v>0</v>
      </c>
      <c r="AA80" s="10">
        <f t="shared" si="22"/>
        <v>0</v>
      </c>
      <c r="AB80" s="11">
        <f t="shared" si="23"/>
        <v>0</v>
      </c>
      <c r="AC80" s="11">
        <f t="shared" si="24"/>
        <v>0</v>
      </c>
      <c r="AD80" s="11" t="s">
        <v>59</v>
      </c>
    </row>
    <row r="81" spans="1:30" s="1" customFormat="1" ht="17.100000000000001" customHeight="1">
      <c r="A81" s="2">
        <v>79</v>
      </c>
      <c r="B81" s="3" t="s">
        <v>208</v>
      </c>
      <c r="C81" s="3" t="s">
        <v>209</v>
      </c>
      <c r="D81" s="4">
        <v>7</v>
      </c>
      <c r="E81" s="4">
        <v>7</v>
      </c>
      <c r="F81" s="4">
        <v>1</v>
      </c>
      <c r="G81" s="4">
        <v>45.5</v>
      </c>
      <c r="H81" s="4">
        <v>30.5</v>
      </c>
      <c r="I81" s="4">
        <v>24</v>
      </c>
      <c r="J81" s="5">
        <f t="shared" si="25"/>
        <v>3.3306000000000002E-2</v>
      </c>
      <c r="K81" s="6">
        <v>1</v>
      </c>
      <c r="L81" s="6">
        <v>300</v>
      </c>
      <c r="M81" s="7">
        <f t="shared" si="26"/>
        <v>300</v>
      </c>
      <c r="N81" s="8"/>
      <c r="O81" s="6"/>
      <c r="P81" s="6">
        <f t="shared" si="27"/>
        <v>0</v>
      </c>
      <c r="Q81" s="8">
        <f t="shared" si="28"/>
        <v>0</v>
      </c>
      <c r="R81" s="6">
        <v>0.4</v>
      </c>
      <c r="S81" s="6" t="s">
        <v>57</v>
      </c>
      <c r="T81" s="6" t="s">
        <v>200</v>
      </c>
      <c r="U81" s="6"/>
      <c r="V81" s="6"/>
      <c r="W81" s="9"/>
      <c r="X81" s="6"/>
      <c r="Y81" s="9">
        <f t="shared" si="20"/>
        <v>0</v>
      </c>
      <c r="Z81" s="10">
        <f t="shared" si="21"/>
        <v>0</v>
      </c>
      <c r="AA81" s="10">
        <f t="shared" si="22"/>
        <v>0</v>
      </c>
      <c r="AB81" s="11">
        <f t="shared" si="23"/>
        <v>0</v>
      </c>
      <c r="AC81" s="11">
        <f t="shared" si="24"/>
        <v>0</v>
      </c>
      <c r="AD81" s="11" t="s">
        <v>59</v>
      </c>
    </row>
    <row r="82" spans="1:30" s="1" customFormat="1" ht="17.100000000000001" customHeight="1">
      <c r="A82" s="2">
        <v>80</v>
      </c>
      <c r="B82" s="3" t="s">
        <v>210</v>
      </c>
      <c r="C82" s="3" t="s">
        <v>211</v>
      </c>
      <c r="D82" s="4">
        <v>42</v>
      </c>
      <c r="E82" s="4">
        <v>11</v>
      </c>
      <c r="F82" s="4">
        <v>14</v>
      </c>
      <c r="G82" s="4">
        <v>58</v>
      </c>
      <c r="H82" s="4">
        <v>43</v>
      </c>
      <c r="I82" s="4">
        <v>30</v>
      </c>
      <c r="J82" s="5">
        <f t="shared" si="25"/>
        <v>7.4819999999999998E-2</v>
      </c>
      <c r="K82" s="6">
        <v>50</v>
      </c>
      <c r="L82" s="6">
        <v>10</v>
      </c>
      <c r="M82" s="7">
        <f t="shared" si="26"/>
        <v>500</v>
      </c>
      <c r="N82" s="8">
        <v>4</v>
      </c>
      <c r="O82" s="6">
        <v>6</v>
      </c>
      <c r="P82" s="6">
        <f t="shared" si="27"/>
        <v>24</v>
      </c>
      <c r="Q82" s="8">
        <f t="shared" si="28"/>
        <v>12000</v>
      </c>
      <c r="R82" s="6">
        <v>8.5</v>
      </c>
      <c r="S82" s="6" t="s">
        <v>57</v>
      </c>
      <c r="T82" s="6"/>
      <c r="U82" s="6"/>
      <c r="V82" s="6"/>
      <c r="W82" s="9"/>
      <c r="X82" s="6" t="s">
        <v>58</v>
      </c>
      <c r="Y82" s="9">
        <f t="shared" si="20"/>
        <v>0</v>
      </c>
      <c r="Z82" s="10">
        <f t="shared" si="21"/>
        <v>0</v>
      </c>
      <c r="AA82" s="10">
        <f t="shared" si="22"/>
        <v>0</v>
      </c>
      <c r="AB82" s="11">
        <f t="shared" si="23"/>
        <v>0</v>
      </c>
      <c r="AC82" s="11">
        <f t="shared" si="24"/>
        <v>0</v>
      </c>
      <c r="AD82" s="11" t="s">
        <v>212</v>
      </c>
    </row>
    <row r="83" spans="1:30" s="1" customFormat="1" ht="17.100000000000001" customHeight="1">
      <c r="A83" s="2">
        <v>81</v>
      </c>
      <c r="B83" s="3" t="s">
        <v>213</v>
      </c>
      <c r="C83" s="3" t="s">
        <v>214</v>
      </c>
      <c r="D83" s="4">
        <v>42</v>
      </c>
      <c r="E83" s="4">
        <v>11</v>
      </c>
      <c r="F83" s="4">
        <v>14</v>
      </c>
      <c r="G83" s="4">
        <v>58</v>
      </c>
      <c r="H83" s="4">
        <v>43</v>
      </c>
      <c r="I83" s="4">
        <v>30</v>
      </c>
      <c r="J83" s="5">
        <f t="shared" si="25"/>
        <v>7.4819999999999998E-2</v>
      </c>
      <c r="K83" s="6">
        <v>50</v>
      </c>
      <c r="L83" s="6">
        <v>10</v>
      </c>
      <c r="M83" s="7">
        <f t="shared" si="26"/>
        <v>500</v>
      </c>
      <c r="N83" s="8">
        <v>4</v>
      </c>
      <c r="O83" s="6">
        <v>6</v>
      </c>
      <c r="P83" s="6">
        <f t="shared" si="27"/>
        <v>24</v>
      </c>
      <c r="Q83" s="8">
        <f t="shared" si="28"/>
        <v>12000</v>
      </c>
      <c r="R83" s="6">
        <v>8.5</v>
      </c>
      <c r="S83" s="6" t="s">
        <v>57</v>
      </c>
      <c r="T83" s="6"/>
      <c r="U83" s="6"/>
      <c r="V83" s="6"/>
      <c r="W83" s="9"/>
      <c r="X83" s="6" t="s">
        <v>58</v>
      </c>
      <c r="Y83" s="9">
        <f t="shared" si="20"/>
        <v>0</v>
      </c>
      <c r="Z83" s="10">
        <f t="shared" si="21"/>
        <v>0</v>
      </c>
      <c r="AA83" s="10">
        <f t="shared" si="22"/>
        <v>0</v>
      </c>
      <c r="AB83" s="11">
        <f t="shared" si="23"/>
        <v>0</v>
      </c>
      <c r="AC83" s="11">
        <f t="shared" si="24"/>
        <v>0</v>
      </c>
      <c r="AD83" s="11" t="s">
        <v>212</v>
      </c>
    </row>
    <row r="84" spans="1:30" s="1" customFormat="1" ht="17.100000000000001" customHeight="1">
      <c r="A84" s="2">
        <v>82</v>
      </c>
      <c r="B84" s="3" t="s">
        <v>215</v>
      </c>
      <c r="C84" s="3" t="s">
        <v>216</v>
      </c>
      <c r="D84" s="4">
        <v>8.5</v>
      </c>
      <c r="E84" s="4">
        <v>8.5</v>
      </c>
      <c r="F84" s="4">
        <v>5.5</v>
      </c>
      <c r="G84" s="4">
        <v>31</v>
      </c>
      <c r="H84" s="4">
        <v>16</v>
      </c>
      <c r="I84" s="4">
        <v>16.5</v>
      </c>
      <c r="J84" s="5">
        <f t="shared" si="25"/>
        <v>8.1840000000000003E-3</v>
      </c>
      <c r="K84" s="19">
        <v>1</v>
      </c>
      <c r="L84" s="6">
        <v>8</v>
      </c>
      <c r="M84" s="7">
        <f t="shared" si="26"/>
        <v>8</v>
      </c>
      <c r="N84" s="8">
        <v>21</v>
      </c>
      <c r="O84" s="6">
        <v>6</v>
      </c>
      <c r="P84" s="6">
        <f t="shared" si="27"/>
        <v>126</v>
      </c>
      <c r="Q84" s="8">
        <f t="shared" si="28"/>
        <v>1008</v>
      </c>
      <c r="R84" s="6">
        <v>2.2999999999999998</v>
      </c>
      <c r="S84" s="6" t="s">
        <v>57</v>
      </c>
      <c r="T84" s="6"/>
      <c r="U84" s="6"/>
      <c r="V84" s="6"/>
      <c r="W84" s="9"/>
      <c r="X84" s="6" t="s">
        <v>201</v>
      </c>
      <c r="Y84" s="9">
        <f t="shared" si="20"/>
        <v>0</v>
      </c>
      <c r="Z84" s="10">
        <f t="shared" si="21"/>
        <v>0</v>
      </c>
      <c r="AA84" s="10">
        <f t="shared" si="22"/>
        <v>0</v>
      </c>
      <c r="AB84" s="11">
        <f t="shared" si="23"/>
        <v>0</v>
      </c>
      <c r="AC84" s="11">
        <f t="shared" si="24"/>
        <v>0</v>
      </c>
      <c r="AD84" s="11" t="s">
        <v>59</v>
      </c>
    </row>
    <row r="85" spans="1:30" s="1" customFormat="1" ht="17.100000000000001" customHeight="1">
      <c r="A85" s="2">
        <v>83</v>
      </c>
      <c r="B85" s="3" t="s">
        <v>217</v>
      </c>
      <c r="C85" s="3" t="s">
        <v>218</v>
      </c>
      <c r="D85" s="4">
        <v>16</v>
      </c>
      <c r="E85" s="4">
        <v>16</v>
      </c>
      <c r="F85" s="4">
        <v>5.5</v>
      </c>
      <c r="G85" s="4">
        <v>39</v>
      </c>
      <c r="H85" s="4">
        <v>39</v>
      </c>
      <c r="I85" s="4">
        <v>19</v>
      </c>
      <c r="J85" s="5">
        <f t="shared" si="25"/>
        <v>2.8899000000000001E-2</v>
      </c>
      <c r="K85" s="19">
        <v>1</v>
      </c>
      <c r="L85" s="6">
        <v>12</v>
      </c>
      <c r="M85" s="7">
        <f t="shared" si="26"/>
        <v>12</v>
      </c>
      <c r="N85" s="8">
        <v>9</v>
      </c>
      <c r="O85" s="6">
        <v>7</v>
      </c>
      <c r="P85" s="6">
        <f t="shared" si="27"/>
        <v>63</v>
      </c>
      <c r="Q85" s="8">
        <f t="shared" si="28"/>
        <v>756</v>
      </c>
      <c r="R85" s="6">
        <v>13.2</v>
      </c>
      <c r="S85" s="6" t="s">
        <v>57</v>
      </c>
      <c r="T85" s="6"/>
      <c r="U85" s="6"/>
      <c r="V85" s="6"/>
      <c r="W85" s="9"/>
      <c r="X85" s="6"/>
      <c r="Y85" s="9">
        <f t="shared" si="20"/>
        <v>0</v>
      </c>
      <c r="Z85" s="10">
        <f t="shared" si="21"/>
        <v>0</v>
      </c>
      <c r="AA85" s="10">
        <f t="shared" si="22"/>
        <v>0</v>
      </c>
      <c r="AB85" s="11">
        <f t="shared" si="23"/>
        <v>0</v>
      </c>
      <c r="AC85" s="11">
        <f t="shared" si="24"/>
        <v>0</v>
      </c>
      <c r="AD85" s="11" t="s">
        <v>59</v>
      </c>
    </row>
    <row r="86" spans="1:30" s="1" customFormat="1" ht="17.100000000000001" customHeight="1">
      <c r="A86" s="2">
        <v>84</v>
      </c>
      <c r="B86" s="3" t="s">
        <v>219</v>
      </c>
      <c r="C86" s="3" t="s">
        <v>220</v>
      </c>
      <c r="D86" s="4">
        <v>16</v>
      </c>
      <c r="E86" s="4">
        <v>16</v>
      </c>
      <c r="F86" s="4">
        <v>5.5</v>
      </c>
      <c r="G86" s="4">
        <v>39</v>
      </c>
      <c r="H86" s="4">
        <v>39</v>
      </c>
      <c r="I86" s="4">
        <v>19</v>
      </c>
      <c r="J86" s="5">
        <f t="shared" si="25"/>
        <v>2.8899000000000001E-2</v>
      </c>
      <c r="K86" s="19">
        <v>1</v>
      </c>
      <c r="L86" s="6">
        <v>12</v>
      </c>
      <c r="M86" s="7">
        <f t="shared" si="26"/>
        <v>12</v>
      </c>
      <c r="N86" s="8">
        <v>9</v>
      </c>
      <c r="O86" s="6">
        <v>7</v>
      </c>
      <c r="P86" s="6">
        <f t="shared" si="27"/>
        <v>63</v>
      </c>
      <c r="Q86" s="8">
        <f t="shared" si="28"/>
        <v>756</v>
      </c>
      <c r="R86" s="6">
        <v>13.2</v>
      </c>
      <c r="S86" s="6" t="s">
        <v>57</v>
      </c>
      <c r="T86" s="6"/>
      <c r="U86" s="6"/>
      <c r="V86" s="6"/>
      <c r="W86" s="9"/>
      <c r="X86" s="6" t="s">
        <v>201</v>
      </c>
      <c r="Y86" s="9">
        <f t="shared" si="20"/>
        <v>0</v>
      </c>
      <c r="Z86" s="10">
        <f t="shared" si="21"/>
        <v>0</v>
      </c>
      <c r="AA86" s="10">
        <f t="shared" si="22"/>
        <v>0</v>
      </c>
      <c r="AB86" s="11">
        <f t="shared" si="23"/>
        <v>0</v>
      </c>
      <c r="AC86" s="11">
        <f t="shared" si="24"/>
        <v>0</v>
      </c>
      <c r="AD86" s="11" t="s">
        <v>59</v>
      </c>
    </row>
    <row r="87" spans="1:30" s="1" customFormat="1" ht="17.100000000000001" customHeight="1">
      <c r="A87" s="2">
        <v>85</v>
      </c>
      <c r="B87" s="3" t="s">
        <v>221</v>
      </c>
      <c r="C87" s="3" t="s">
        <v>222</v>
      </c>
      <c r="D87" s="4">
        <v>14.5</v>
      </c>
      <c r="E87" s="4">
        <v>14.5</v>
      </c>
      <c r="F87" s="4">
        <v>5.5</v>
      </c>
      <c r="G87" s="4">
        <v>36</v>
      </c>
      <c r="H87" s="4">
        <v>36.5</v>
      </c>
      <c r="I87" s="4">
        <v>19</v>
      </c>
      <c r="J87" s="5">
        <f t="shared" si="25"/>
        <v>2.4965999999999999E-2</v>
      </c>
      <c r="K87" s="19">
        <v>1</v>
      </c>
      <c r="L87" s="6">
        <v>12</v>
      </c>
      <c r="M87" s="7">
        <f t="shared" si="26"/>
        <v>12</v>
      </c>
      <c r="N87" s="8">
        <v>9</v>
      </c>
      <c r="O87" s="6">
        <v>6</v>
      </c>
      <c r="P87" s="6">
        <f t="shared" si="27"/>
        <v>54</v>
      </c>
      <c r="Q87" s="8">
        <f t="shared" si="28"/>
        <v>648</v>
      </c>
      <c r="R87" s="6">
        <v>10.7</v>
      </c>
      <c r="S87" s="6" t="s">
        <v>57</v>
      </c>
      <c r="T87" s="6"/>
      <c r="U87" s="6"/>
      <c r="V87" s="6"/>
      <c r="W87" s="9"/>
      <c r="X87" s="6" t="s">
        <v>201</v>
      </c>
      <c r="Y87" s="9">
        <f t="shared" si="20"/>
        <v>0</v>
      </c>
      <c r="Z87" s="10">
        <f t="shared" si="21"/>
        <v>0</v>
      </c>
      <c r="AA87" s="10">
        <f t="shared" si="22"/>
        <v>0</v>
      </c>
      <c r="AB87" s="11">
        <f t="shared" si="23"/>
        <v>0</v>
      </c>
      <c r="AC87" s="11">
        <f t="shared" si="24"/>
        <v>0</v>
      </c>
      <c r="AD87" s="11" t="s">
        <v>59</v>
      </c>
    </row>
    <row r="88" spans="1:30" s="1" customFormat="1" ht="17.100000000000001" customHeight="1">
      <c r="A88" s="2">
        <v>86</v>
      </c>
      <c r="B88" s="3" t="s">
        <v>223</v>
      </c>
      <c r="C88" s="3" t="s">
        <v>224</v>
      </c>
      <c r="D88" s="4">
        <v>30</v>
      </c>
      <c r="E88" s="4">
        <v>15</v>
      </c>
      <c r="F88" s="4">
        <v>4</v>
      </c>
      <c r="G88" s="4">
        <v>46</v>
      </c>
      <c r="H88" s="4">
        <v>30</v>
      </c>
      <c r="I88" s="4">
        <v>41</v>
      </c>
      <c r="J88" s="5">
        <f t="shared" si="25"/>
        <v>5.6579999999999998E-2</v>
      </c>
      <c r="K88" s="6">
        <v>500</v>
      </c>
      <c r="L88" s="6">
        <v>30</v>
      </c>
      <c r="M88" s="7">
        <f t="shared" si="26"/>
        <v>15000</v>
      </c>
      <c r="N88" s="8">
        <v>8</v>
      </c>
      <c r="O88" s="6">
        <v>3</v>
      </c>
      <c r="P88" s="6">
        <f t="shared" si="27"/>
        <v>24</v>
      </c>
      <c r="Q88" s="8">
        <f t="shared" si="28"/>
        <v>360000</v>
      </c>
      <c r="R88" s="6">
        <v>17.600000000000001</v>
      </c>
      <c r="S88" s="6" t="s">
        <v>57</v>
      </c>
      <c r="T88" s="6"/>
      <c r="U88" s="6"/>
      <c r="V88" s="6"/>
      <c r="W88" s="9"/>
      <c r="X88" s="6"/>
      <c r="Y88" s="9">
        <f t="shared" si="20"/>
        <v>0</v>
      </c>
      <c r="Z88" s="10">
        <f t="shared" si="21"/>
        <v>0</v>
      </c>
      <c r="AA88" s="10">
        <f t="shared" si="22"/>
        <v>0</v>
      </c>
      <c r="AB88" s="11">
        <f t="shared" si="23"/>
        <v>0</v>
      </c>
      <c r="AC88" s="11">
        <f t="shared" si="24"/>
        <v>0</v>
      </c>
      <c r="AD88" s="11" t="s">
        <v>59</v>
      </c>
    </row>
    <row r="89" spans="1:30" s="1" customFormat="1" ht="17.100000000000001" customHeight="1">
      <c r="A89" s="2">
        <v>87</v>
      </c>
      <c r="B89" s="3" t="s">
        <v>225</v>
      </c>
      <c r="C89" s="3" t="s">
        <v>226</v>
      </c>
      <c r="D89" s="4">
        <v>30</v>
      </c>
      <c r="E89" s="4">
        <v>15</v>
      </c>
      <c r="F89" s="4">
        <v>4</v>
      </c>
      <c r="G89" s="4">
        <v>46</v>
      </c>
      <c r="H89" s="4">
        <v>30</v>
      </c>
      <c r="I89" s="4">
        <v>41</v>
      </c>
      <c r="J89" s="5">
        <f t="shared" si="25"/>
        <v>5.6579999999999998E-2</v>
      </c>
      <c r="K89" s="6">
        <v>500</v>
      </c>
      <c r="L89" s="6">
        <v>30</v>
      </c>
      <c r="M89" s="7">
        <f t="shared" si="26"/>
        <v>15000</v>
      </c>
      <c r="N89" s="8">
        <v>8</v>
      </c>
      <c r="O89" s="6">
        <v>3</v>
      </c>
      <c r="P89" s="6">
        <f t="shared" si="27"/>
        <v>24</v>
      </c>
      <c r="Q89" s="8">
        <f t="shared" si="28"/>
        <v>360000</v>
      </c>
      <c r="R89" s="6">
        <v>17.600000000000001</v>
      </c>
      <c r="S89" s="6" t="s">
        <v>57</v>
      </c>
      <c r="T89" s="6"/>
      <c r="U89" s="6"/>
      <c r="V89" s="6"/>
      <c r="W89" s="9"/>
      <c r="X89" s="6" t="s">
        <v>58</v>
      </c>
      <c r="Y89" s="9">
        <f t="shared" si="20"/>
        <v>0</v>
      </c>
      <c r="Z89" s="10">
        <f t="shared" si="21"/>
        <v>0</v>
      </c>
      <c r="AA89" s="10">
        <f t="shared" si="22"/>
        <v>0</v>
      </c>
      <c r="AB89" s="11">
        <f t="shared" si="23"/>
        <v>0</v>
      </c>
      <c r="AC89" s="11">
        <f t="shared" si="24"/>
        <v>0</v>
      </c>
      <c r="AD89" s="11" t="s">
        <v>59</v>
      </c>
    </row>
    <row r="90" spans="1:30" s="1" customFormat="1" ht="17.100000000000001" customHeight="1">
      <c r="A90" s="2">
        <v>88</v>
      </c>
      <c r="B90" s="3" t="s">
        <v>227</v>
      </c>
      <c r="C90" s="3" t="s">
        <v>228</v>
      </c>
      <c r="D90" s="4">
        <v>30</v>
      </c>
      <c r="E90" s="4">
        <v>15</v>
      </c>
      <c r="F90" s="4">
        <v>4</v>
      </c>
      <c r="G90" s="4">
        <v>46</v>
      </c>
      <c r="H90" s="4">
        <v>30</v>
      </c>
      <c r="I90" s="4">
        <v>41</v>
      </c>
      <c r="J90" s="5">
        <f t="shared" si="25"/>
        <v>5.6579999999999998E-2</v>
      </c>
      <c r="K90" s="6">
        <v>500</v>
      </c>
      <c r="L90" s="6">
        <v>30</v>
      </c>
      <c r="M90" s="7">
        <f t="shared" si="26"/>
        <v>15000</v>
      </c>
      <c r="N90" s="8">
        <v>8</v>
      </c>
      <c r="O90" s="6">
        <v>3</v>
      </c>
      <c r="P90" s="6">
        <f t="shared" si="27"/>
        <v>24</v>
      </c>
      <c r="Q90" s="8">
        <f t="shared" si="28"/>
        <v>360000</v>
      </c>
      <c r="R90" s="6">
        <v>17.600000000000001</v>
      </c>
      <c r="S90" s="6" t="s">
        <v>57</v>
      </c>
      <c r="T90" s="6"/>
      <c r="U90" s="6"/>
      <c r="V90" s="6"/>
      <c r="W90" s="9"/>
      <c r="X90" s="6"/>
      <c r="Y90" s="9">
        <f t="shared" si="20"/>
        <v>0</v>
      </c>
      <c r="Z90" s="10">
        <f t="shared" si="21"/>
        <v>0</v>
      </c>
      <c r="AA90" s="10">
        <f t="shared" si="22"/>
        <v>0</v>
      </c>
      <c r="AB90" s="11">
        <f t="shared" si="23"/>
        <v>0</v>
      </c>
      <c r="AC90" s="11">
        <f t="shared" si="24"/>
        <v>0</v>
      </c>
      <c r="AD90" s="11" t="s">
        <v>59</v>
      </c>
    </row>
    <row r="91" spans="1:30" s="1" customFormat="1" ht="17.100000000000001" customHeight="1">
      <c r="A91" s="2">
        <v>89</v>
      </c>
      <c r="B91" s="3" t="s">
        <v>229</v>
      </c>
      <c r="C91" s="3" t="s">
        <v>230</v>
      </c>
      <c r="D91" s="4">
        <v>30</v>
      </c>
      <c r="E91" s="4">
        <v>15</v>
      </c>
      <c r="F91" s="4">
        <v>4</v>
      </c>
      <c r="G91" s="4">
        <v>46</v>
      </c>
      <c r="H91" s="4">
        <v>30</v>
      </c>
      <c r="I91" s="4">
        <v>41</v>
      </c>
      <c r="J91" s="5">
        <f t="shared" si="25"/>
        <v>5.6579999999999998E-2</v>
      </c>
      <c r="K91" s="6">
        <v>500</v>
      </c>
      <c r="L91" s="6">
        <v>30</v>
      </c>
      <c r="M91" s="7">
        <f t="shared" si="26"/>
        <v>15000</v>
      </c>
      <c r="N91" s="8">
        <v>8</v>
      </c>
      <c r="O91" s="6">
        <v>3</v>
      </c>
      <c r="P91" s="6">
        <f t="shared" si="27"/>
        <v>24</v>
      </c>
      <c r="Q91" s="8">
        <f t="shared" si="28"/>
        <v>360000</v>
      </c>
      <c r="R91" s="6">
        <v>17.600000000000001</v>
      </c>
      <c r="S91" s="6" t="s">
        <v>57</v>
      </c>
      <c r="T91" s="6"/>
      <c r="U91" s="6"/>
      <c r="V91" s="6"/>
      <c r="W91" s="9"/>
      <c r="X91" s="6"/>
      <c r="Y91" s="9">
        <f t="shared" si="20"/>
        <v>0</v>
      </c>
      <c r="Z91" s="10">
        <f t="shared" si="21"/>
        <v>0</v>
      </c>
      <c r="AA91" s="10">
        <f t="shared" si="22"/>
        <v>0</v>
      </c>
      <c r="AB91" s="11">
        <f t="shared" si="23"/>
        <v>0</v>
      </c>
      <c r="AC91" s="11">
        <f t="shared" si="24"/>
        <v>0</v>
      </c>
      <c r="AD91" s="11" t="s">
        <v>59</v>
      </c>
    </row>
    <row r="92" spans="1:30" s="1" customFormat="1" ht="17.100000000000001" customHeight="1">
      <c r="A92" s="2">
        <v>90</v>
      </c>
      <c r="B92" s="3" t="s">
        <v>231</v>
      </c>
      <c r="C92" s="3" t="s">
        <v>232</v>
      </c>
      <c r="D92" s="4">
        <v>30</v>
      </c>
      <c r="E92" s="4">
        <v>15</v>
      </c>
      <c r="F92" s="4">
        <v>4</v>
      </c>
      <c r="G92" s="4">
        <v>46</v>
      </c>
      <c r="H92" s="4">
        <v>30</v>
      </c>
      <c r="I92" s="4">
        <v>41</v>
      </c>
      <c r="J92" s="5">
        <f t="shared" si="25"/>
        <v>5.6579999999999998E-2</v>
      </c>
      <c r="K92" s="6">
        <v>500</v>
      </c>
      <c r="L92" s="6">
        <v>30</v>
      </c>
      <c r="M92" s="7">
        <f t="shared" si="26"/>
        <v>15000</v>
      </c>
      <c r="N92" s="8">
        <v>8</v>
      </c>
      <c r="O92" s="6">
        <v>3</v>
      </c>
      <c r="P92" s="6">
        <f t="shared" si="27"/>
        <v>24</v>
      </c>
      <c r="Q92" s="8">
        <f t="shared" si="28"/>
        <v>360000</v>
      </c>
      <c r="R92" s="6">
        <v>17.600000000000001</v>
      </c>
      <c r="S92" s="6" t="s">
        <v>57</v>
      </c>
      <c r="T92" s="6"/>
      <c r="U92" s="6"/>
      <c r="V92" s="6"/>
      <c r="W92" s="9"/>
      <c r="X92" s="6" t="s">
        <v>58</v>
      </c>
      <c r="Y92" s="9">
        <f t="shared" si="20"/>
        <v>0</v>
      </c>
      <c r="Z92" s="10">
        <f t="shared" si="21"/>
        <v>0</v>
      </c>
      <c r="AA92" s="10">
        <f t="shared" si="22"/>
        <v>0</v>
      </c>
      <c r="AB92" s="11">
        <f t="shared" si="23"/>
        <v>0</v>
      </c>
      <c r="AC92" s="11">
        <f t="shared" si="24"/>
        <v>0</v>
      </c>
      <c r="AD92" s="11" t="s">
        <v>59</v>
      </c>
    </row>
    <row r="93" spans="1:30" s="1" customFormat="1" ht="17.100000000000001" customHeight="1">
      <c r="A93" s="2">
        <v>91</v>
      </c>
      <c r="B93" s="3" t="s">
        <v>20</v>
      </c>
      <c r="C93" s="3" t="s">
        <v>233</v>
      </c>
      <c r="D93" s="4">
        <v>30</v>
      </c>
      <c r="E93" s="4">
        <v>15</v>
      </c>
      <c r="F93" s="4">
        <v>4</v>
      </c>
      <c r="G93" s="4">
        <v>46</v>
      </c>
      <c r="H93" s="4">
        <v>30</v>
      </c>
      <c r="I93" s="4">
        <v>41</v>
      </c>
      <c r="J93" s="5">
        <f t="shared" si="25"/>
        <v>5.6579999999999998E-2</v>
      </c>
      <c r="K93" s="6">
        <v>500</v>
      </c>
      <c r="L93" s="6">
        <v>30</v>
      </c>
      <c r="M93" s="7">
        <f t="shared" si="26"/>
        <v>15000</v>
      </c>
      <c r="N93" s="8">
        <v>8</v>
      </c>
      <c r="O93" s="6">
        <v>3</v>
      </c>
      <c r="P93" s="6">
        <f t="shared" si="27"/>
        <v>24</v>
      </c>
      <c r="Q93" s="8">
        <f t="shared" si="28"/>
        <v>360000</v>
      </c>
      <c r="R93" s="6">
        <v>17.600000000000001</v>
      </c>
      <c r="S93" s="6" t="s">
        <v>57</v>
      </c>
      <c r="T93" s="6"/>
      <c r="U93" s="6"/>
      <c r="V93" s="6"/>
      <c r="W93" s="9"/>
      <c r="X93" s="6" t="s">
        <v>58</v>
      </c>
      <c r="Y93" s="9">
        <f t="shared" si="20"/>
        <v>0</v>
      </c>
      <c r="Z93" s="10">
        <f t="shared" si="21"/>
        <v>0</v>
      </c>
      <c r="AA93" s="10">
        <f t="shared" si="22"/>
        <v>0</v>
      </c>
      <c r="AB93" s="11">
        <f t="shared" si="23"/>
        <v>0</v>
      </c>
      <c r="AC93" s="11">
        <f t="shared" si="24"/>
        <v>0</v>
      </c>
      <c r="AD93" s="11" t="s">
        <v>59</v>
      </c>
    </row>
    <row r="94" spans="1:30" s="1" customFormat="1" ht="17.100000000000001" customHeight="1">
      <c r="A94" s="2">
        <v>92</v>
      </c>
      <c r="B94" s="3" t="s">
        <v>234</v>
      </c>
      <c r="C94" s="3" t="s">
        <v>235</v>
      </c>
      <c r="D94" s="4">
        <v>40</v>
      </c>
      <c r="E94" s="4">
        <v>20</v>
      </c>
      <c r="F94" s="4">
        <v>5.3</v>
      </c>
      <c r="G94" s="4">
        <v>60</v>
      </c>
      <c r="H94" s="4">
        <v>42</v>
      </c>
      <c r="I94" s="4">
        <v>36.5</v>
      </c>
      <c r="J94" s="5">
        <f t="shared" si="25"/>
        <v>9.1980000000000006E-2</v>
      </c>
      <c r="K94" s="6">
        <v>500</v>
      </c>
      <c r="L94" s="6">
        <v>18</v>
      </c>
      <c r="M94" s="7">
        <f t="shared" si="26"/>
        <v>9000</v>
      </c>
      <c r="N94" s="8">
        <v>5</v>
      </c>
      <c r="O94" s="6">
        <v>4</v>
      </c>
      <c r="P94" s="6">
        <f t="shared" si="27"/>
        <v>20</v>
      </c>
      <c r="Q94" s="8">
        <f t="shared" si="28"/>
        <v>180000</v>
      </c>
      <c r="R94" s="6">
        <v>19.100000000000001</v>
      </c>
      <c r="S94" s="6" t="s">
        <v>57</v>
      </c>
      <c r="T94" s="6"/>
      <c r="U94" s="6"/>
      <c r="V94" s="6"/>
      <c r="W94" s="9"/>
      <c r="X94" s="6"/>
      <c r="Y94" s="9">
        <f t="shared" si="20"/>
        <v>0</v>
      </c>
      <c r="Z94" s="10">
        <f t="shared" si="21"/>
        <v>0</v>
      </c>
      <c r="AA94" s="10">
        <f t="shared" si="22"/>
        <v>0</v>
      </c>
      <c r="AB94" s="11">
        <f t="shared" si="23"/>
        <v>0</v>
      </c>
      <c r="AC94" s="11">
        <f t="shared" si="24"/>
        <v>0</v>
      </c>
      <c r="AD94" s="11" t="s">
        <v>59</v>
      </c>
    </row>
    <row r="95" spans="1:30" s="1" customFormat="1" ht="17.100000000000001" customHeight="1">
      <c r="A95" s="2">
        <v>93</v>
      </c>
      <c r="B95" s="3" t="s">
        <v>17</v>
      </c>
      <c r="C95" s="3" t="s">
        <v>91</v>
      </c>
      <c r="D95" s="4">
        <v>24</v>
      </c>
      <c r="E95" s="4">
        <v>20</v>
      </c>
      <c r="F95" s="4">
        <v>21.5</v>
      </c>
      <c r="G95" s="4">
        <v>81</v>
      </c>
      <c r="H95" s="4">
        <v>51</v>
      </c>
      <c r="I95" s="4">
        <v>24.5</v>
      </c>
      <c r="J95" s="5">
        <f t="shared" si="25"/>
        <v>0.10120949999999999</v>
      </c>
      <c r="K95" s="6">
        <v>100</v>
      </c>
      <c r="L95" s="19">
        <v>8</v>
      </c>
      <c r="M95" s="7">
        <v>1000</v>
      </c>
      <c r="N95" s="8">
        <v>3</v>
      </c>
      <c r="O95" s="6">
        <v>5</v>
      </c>
      <c r="P95" s="6">
        <f t="shared" si="27"/>
        <v>15</v>
      </c>
      <c r="Q95" s="8">
        <f t="shared" si="28"/>
        <v>15000</v>
      </c>
      <c r="R95" s="6">
        <v>14.47</v>
      </c>
      <c r="S95" s="6" t="s">
        <v>57</v>
      </c>
      <c r="T95" s="6"/>
      <c r="U95" s="6"/>
      <c r="V95" s="6"/>
      <c r="W95" s="9"/>
      <c r="X95" s="6" t="s">
        <v>58</v>
      </c>
      <c r="Y95" s="9">
        <f t="shared" si="20"/>
        <v>0</v>
      </c>
      <c r="Z95" s="10">
        <f t="shared" si="21"/>
        <v>0</v>
      </c>
      <c r="AA95" s="10">
        <f t="shared" si="22"/>
        <v>0</v>
      </c>
      <c r="AB95" s="11">
        <f t="shared" si="23"/>
        <v>0</v>
      </c>
      <c r="AC95" s="11">
        <f t="shared" si="24"/>
        <v>0</v>
      </c>
      <c r="AD95" s="11" t="s">
        <v>59</v>
      </c>
    </row>
    <row r="96" spans="1:30" s="1" customFormat="1" ht="17.100000000000001" customHeight="1">
      <c r="A96" s="2">
        <v>94</v>
      </c>
      <c r="B96" s="3" t="s">
        <v>236</v>
      </c>
      <c r="C96" s="3" t="s">
        <v>237</v>
      </c>
      <c r="D96" s="4">
        <v>43</v>
      </c>
      <c r="E96" s="4">
        <v>16</v>
      </c>
      <c r="F96" s="4">
        <v>8</v>
      </c>
      <c r="G96" s="4">
        <v>52</v>
      </c>
      <c r="H96" s="4">
        <v>36</v>
      </c>
      <c r="I96" s="4">
        <v>23</v>
      </c>
      <c r="J96" s="5">
        <f t="shared" si="25"/>
        <v>4.3055999999999997E-2</v>
      </c>
      <c r="K96" s="6">
        <v>24</v>
      </c>
      <c r="L96" s="6">
        <v>1</v>
      </c>
      <c r="M96" s="7">
        <f>K96*L96</f>
        <v>24</v>
      </c>
      <c r="N96" s="8">
        <v>8</v>
      </c>
      <c r="O96" s="6">
        <v>5</v>
      </c>
      <c r="P96" s="6">
        <f t="shared" si="27"/>
        <v>40</v>
      </c>
      <c r="Q96" s="8">
        <f t="shared" si="28"/>
        <v>960</v>
      </c>
      <c r="R96" s="6">
        <v>4.9000000000000004</v>
      </c>
      <c r="S96" s="6" t="s">
        <v>57</v>
      </c>
      <c r="T96" s="6"/>
      <c r="U96" s="6"/>
      <c r="V96" s="6"/>
      <c r="W96" s="9"/>
      <c r="X96" s="6" t="s">
        <v>58</v>
      </c>
      <c r="Y96" s="9">
        <f t="shared" si="20"/>
        <v>0</v>
      </c>
      <c r="Z96" s="10">
        <f t="shared" si="21"/>
        <v>0</v>
      </c>
      <c r="AA96" s="10">
        <f t="shared" si="22"/>
        <v>0</v>
      </c>
      <c r="AB96" s="11">
        <f t="shared" si="23"/>
        <v>0</v>
      </c>
      <c r="AC96" s="11">
        <f t="shared" si="24"/>
        <v>0</v>
      </c>
      <c r="AD96" s="11" t="s">
        <v>212</v>
      </c>
    </row>
    <row r="97" spans="1:30" s="1" customFormat="1" ht="17.100000000000001" customHeight="1">
      <c r="A97" s="2">
        <v>95</v>
      </c>
      <c r="B97" s="28" t="s">
        <v>238</v>
      </c>
      <c r="C97" s="28" t="s">
        <v>239</v>
      </c>
      <c r="D97" s="4">
        <v>43</v>
      </c>
      <c r="E97" s="4">
        <v>16</v>
      </c>
      <c r="F97" s="4">
        <v>8</v>
      </c>
      <c r="G97" s="4">
        <v>52</v>
      </c>
      <c r="H97" s="4">
        <v>36</v>
      </c>
      <c r="I97" s="4">
        <v>23</v>
      </c>
      <c r="J97" s="5">
        <f t="shared" si="25"/>
        <v>4.3055999999999997E-2</v>
      </c>
      <c r="K97" s="6">
        <v>24</v>
      </c>
      <c r="L97" s="6">
        <v>1</v>
      </c>
      <c r="M97" s="7">
        <f>K97*L97</f>
        <v>24</v>
      </c>
      <c r="N97" s="8">
        <v>8</v>
      </c>
      <c r="O97" s="6">
        <v>5</v>
      </c>
      <c r="P97" s="6">
        <f t="shared" si="27"/>
        <v>40</v>
      </c>
      <c r="Q97" s="8">
        <f t="shared" si="28"/>
        <v>960</v>
      </c>
      <c r="R97" s="6">
        <v>4.9000000000000004</v>
      </c>
      <c r="S97" s="6" t="s">
        <v>57</v>
      </c>
      <c r="T97" s="6"/>
      <c r="U97" s="6"/>
      <c r="V97" s="6"/>
      <c r="W97" s="9"/>
      <c r="X97" s="6" t="s">
        <v>58</v>
      </c>
      <c r="Y97" s="9">
        <f t="shared" si="20"/>
        <v>0</v>
      </c>
      <c r="Z97" s="10">
        <f t="shared" si="21"/>
        <v>0</v>
      </c>
      <c r="AA97" s="10">
        <f t="shared" si="22"/>
        <v>0</v>
      </c>
      <c r="AB97" s="11">
        <f t="shared" si="23"/>
        <v>0</v>
      </c>
      <c r="AC97" s="11">
        <f t="shared" si="24"/>
        <v>0</v>
      </c>
      <c r="AD97" s="11" t="s">
        <v>212</v>
      </c>
    </row>
    <row r="98" spans="1:30" s="1" customFormat="1" ht="17.100000000000001" customHeight="1">
      <c r="A98" s="2">
        <v>96</v>
      </c>
      <c r="B98" s="3" t="s">
        <v>240</v>
      </c>
      <c r="C98" s="3" t="s">
        <v>241</v>
      </c>
      <c r="D98" s="4">
        <v>40</v>
      </c>
      <c r="E98" s="4">
        <v>20</v>
      </c>
      <c r="F98" s="4">
        <v>5.3</v>
      </c>
      <c r="G98" s="4">
        <v>60</v>
      </c>
      <c r="H98" s="4">
        <v>42</v>
      </c>
      <c r="I98" s="4">
        <v>36.5</v>
      </c>
      <c r="J98" s="5">
        <f t="shared" si="25"/>
        <v>9.1980000000000006E-2</v>
      </c>
      <c r="K98" s="6">
        <v>500</v>
      </c>
      <c r="L98" s="6">
        <v>18</v>
      </c>
      <c r="M98" s="7">
        <f t="shared" ref="M98:M160" si="29">K98*L98</f>
        <v>9000</v>
      </c>
      <c r="N98" s="8">
        <v>5</v>
      </c>
      <c r="O98" s="6">
        <v>4</v>
      </c>
      <c r="P98" s="6">
        <f t="shared" si="27"/>
        <v>20</v>
      </c>
      <c r="Q98" s="8">
        <f t="shared" si="28"/>
        <v>180000</v>
      </c>
      <c r="R98" s="6">
        <v>19.100000000000001</v>
      </c>
      <c r="S98" s="6" t="s">
        <v>57</v>
      </c>
      <c r="T98" s="6"/>
      <c r="U98" s="6"/>
      <c r="V98" s="6"/>
      <c r="W98" s="9"/>
      <c r="X98" s="6"/>
      <c r="Y98" s="9">
        <f t="shared" ref="Y98:Y136" si="30">R98/M98*W98</f>
        <v>0</v>
      </c>
      <c r="Z98" s="10">
        <f t="shared" ref="Z98:Z136" si="31">(G98*H98*I98/4000)*(W98/M98)</f>
        <v>0</v>
      </c>
      <c r="AA98" s="10">
        <f t="shared" ref="AA98:AA136" si="32">(G98*H98*I98/6000)*(W98/M98)</f>
        <v>0</v>
      </c>
      <c r="AB98" s="11">
        <f t="shared" ref="AB98:AB136" si="33">(G98*H98*I98/1000000)*(W98/M98)</f>
        <v>0</v>
      </c>
      <c r="AC98" s="11">
        <f t="shared" ref="AC98:AC136" si="34">ROUNDUP(W98/M98,0)</f>
        <v>0</v>
      </c>
      <c r="AD98" s="11" t="s">
        <v>59</v>
      </c>
    </row>
    <row r="99" spans="1:30" s="1" customFormat="1" ht="17.100000000000001" customHeight="1">
      <c r="A99" s="2">
        <v>97</v>
      </c>
      <c r="B99" s="3" t="s">
        <v>242</v>
      </c>
      <c r="C99" s="3" t="s">
        <v>243</v>
      </c>
      <c r="D99" s="4">
        <v>38</v>
      </c>
      <c r="E99" s="4">
        <v>18.5</v>
      </c>
      <c r="F99" s="4">
        <v>5</v>
      </c>
      <c r="G99" s="4">
        <v>60</v>
      </c>
      <c r="H99" s="4">
        <v>42</v>
      </c>
      <c r="I99" s="4">
        <v>36.5</v>
      </c>
      <c r="J99" s="5">
        <f t="shared" si="25"/>
        <v>9.1980000000000006E-2</v>
      </c>
      <c r="K99" s="6">
        <v>500</v>
      </c>
      <c r="L99" s="6">
        <v>18</v>
      </c>
      <c r="M99" s="7">
        <f t="shared" si="29"/>
        <v>9000</v>
      </c>
      <c r="N99" s="8">
        <v>5</v>
      </c>
      <c r="O99" s="6">
        <v>4</v>
      </c>
      <c r="P99" s="6">
        <f t="shared" si="27"/>
        <v>20</v>
      </c>
      <c r="Q99" s="8">
        <f t="shared" si="28"/>
        <v>180000</v>
      </c>
      <c r="R99" s="6">
        <v>19.100000000000001</v>
      </c>
      <c r="S99" s="6" t="s">
        <v>57</v>
      </c>
      <c r="T99" s="6"/>
      <c r="U99" s="6"/>
      <c r="V99" s="6"/>
      <c r="W99" s="9"/>
      <c r="X99" s="6"/>
      <c r="Y99" s="9">
        <f t="shared" si="30"/>
        <v>0</v>
      </c>
      <c r="Z99" s="10">
        <f t="shared" si="31"/>
        <v>0</v>
      </c>
      <c r="AA99" s="10">
        <f t="shared" si="32"/>
        <v>0</v>
      </c>
      <c r="AB99" s="11">
        <f t="shared" si="33"/>
        <v>0</v>
      </c>
      <c r="AC99" s="11">
        <f t="shared" si="34"/>
        <v>0</v>
      </c>
      <c r="AD99" s="11" t="s">
        <v>59</v>
      </c>
    </row>
    <row r="100" spans="1:30" s="1" customFormat="1" ht="17.100000000000001" customHeight="1">
      <c r="A100" s="2">
        <v>98</v>
      </c>
      <c r="B100" s="3" t="s">
        <v>244</v>
      </c>
      <c r="C100" s="3" t="s">
        <v>245</v>
      </c>
      <c r="D100" s="4">
        <v>38</v>
      </c>
      <c r="E100" s="4">
        <v>18.5</v>
      </c>
      <c r="F100" s="4">
        <v>5</v>
      </c>
      <c r="G100" s="4">
        <v>60</v>
      </c>
      <c r="H100" s="4">
        <v>42</v>
      </c>
      <c r="I100" s="4">
        <v>36.5</v>
      </c>
      <c r="J100" s="5">
        <f t="shared" si="25"/>
        <v>9.1980000000000006E-2</v>
      </c>
      <c r="K100" s="6">
        <v>500</v>
      </c>
      <c r="L100" s="6">
        <v>18</v>
      </c>
      <c r="M100" s="7">
        <f t="shared" si="29"/>
        <v>9000</v>
      </c>
      <c r="N100" s="8">
        <v>5</v>
      </c>
      <c r="O100" s="6">
        <v>4</v>
      </c>
      <c r="P100" s="6">
        <f t="shared" si="27"/>
        <v>20</v>
      </c>
      <c r="Q100" s="8">
        <f t="shared" si="28"/>
        <v>180000</v>
      </c>
      <c r="R100" s="6">
        <v>19.100000000000001</v>
      </c>
      <c r="S100" s="6" t="s">
        <v>57</v>
      </c>
      <c r="T100" s="6"/>
      <c r="U100" s="6"/>
      <c r="V100" s="6"/>
      <c r="W100" s="9"/>
      <c r="X100" s="6"/>
      <c r="Y100" s="9">
        <f t="shared" si="30"/>
        <v>0</v>
      </c>
      <c r="Z100" s="10">
        <f t="shared" si="31"/>
        <v>0</v>
      </c>
      <c r="AA100" s="10">
        <f t="shared" si="32"/>
        <v>0</v>
      </c>
      <c r="AB100" s="11">
        <f t="shared" si="33"/>
        <v>0</v>
      </c>
      <c r="AC100" s="11">
        <f t="shared" si="34"/>
        <v>0</v>
      </c>
      <c r="AD100" s="11" t="s">
        <v>59</v>
      </c>
    </row>
    <row r="101" spans="1:30" s="1" customFormat="1" ht="17.100000000000001" customHeight="1">
      <c r="A101" s="2">
        <v>99</v>
      </c>
      <c r="B101" s="3" t="s">
        <v>246</v>
      </c>
      <c r="C101" s="3" t="s">
        <v>247</v>
      </c>
      <c r="D101" s="4">
        <v>38</v>
      </c>
      <c r="E101" s="4">
        <v>18.5</v>
      </c>
      <c r="F101" s="4">
        <v>5</v>
      </c>
      <c r="G101" s="4">
        <v>60</v>
      </c>
      <c r="H101" s="4">
        <v>36.5</v>
      </c>
      <c r="I101" s="4">
        <v>36.5</v>
      </c>
      <c r="J101" s="5">
        <f t="shared" si="25"/>
        <v>7.9935000000000006E-2</v>
      </c>
      <c r="K101" s="6">
        <v>500</v>
      </c>
      <c r="L101" s="6">
        <v>18</v>
      </c>
      <c r="M101" s="7">
        <f t="shared" si="29"/>
        <v>9000</v>
      </c>
      <c r="N101" s="8">
        <v>5</v>
      </c>
      <c r="O101" s="6">
        <v>4</v>
      </c>
      <c r="P101" s="6">
        <f t="shared" si="27"/>
        <v>20</v>
      </c>
      <c r="Q101" s="8">
        <f t="shared" si="28"/>
        <v>180000</v>
      </c>
      <c r="R101" s="6">
        <v>19.100000000000001</v>
      </c>
      <c r="S101" s="6" t="s">
        <v>57</v>
      </c>
      <c r="T101" s="6"/>
      <c r="U101" s="6"/>
      <c r="V101" s="6"/>
      <c r="W101" s="9"/>
      <c r="X101" s="6"/>
      <c r="Y101" s="9">
        <f t="shared" si="30"/>
        <v>0</v>
      </c>
      <c r="Z101" s="10">
        <f t="shared" si="31"/>
        <v>0</v>
      </c>
      <c r="AA101" s="10">
        <f t="shared" si="32"/>
        <v>0</v>
      </c>
      <c r="AB101" s="11">
        <f t="shared" si="33"/>
        <v>0</v>
      </c>
      <c r="AC101" s="11">
        <f t="shared" si="34"/>
        <v>0</v>
      </c>
      <c r="AD101" s="11" t="s">
        <v>59</v>
      </c>
    </row>
    <row r="102" spans="1:30" s="1" customFormat="1" ht="17.100000000000001" customHeight="1">
      <c r="A102" s="2">
        <v>100</v>
      </c>
      <c r="B102" s="3" t="s">
        <v>248</v>
      </c>
      <c r="C102" s="3" t="s">
        <v>249</v>
      </c>
      <c r="D102" s="4">
        <v>38</v>
      </c>
      <c r="E102" s="4">
        <v>18.5</v>
      </c>
      <c r="F102" s="4">
        <v>5</v>
      </c>
      <c r="G102" s="4">
        <v>60</v>
      </c>
      <c r="H102" s="4">
        <v>36.5</v>
      </c>
      <c r="I102" s="4">
        <v>36.5</v>
      </c>
      <c r="J102" s="5">
        <f t="shared" si="25"/>
        <v>7.9935000000000006E-2</v>
      </c>
      <c r="K102" s="6">
        <v>500</v>
      </c>
      <c r="L102" s="6">
        <v>18</v>
      </c>
      <c r="M102" s="7">
        <f t="shared" si="29"/>
        <v>9000</v>
      </c>
      <c r="N102" s="8">
        <v>5</v>
      </c>
      <c r="O102" s="6">
        <v>4</v>
      </c>
      <c r="P102" s="6">
        <f t="shared" si="27"/>
        <v>20</v>
      </c>
      <c r="Q102" s="8">
        <f t="shared" si="28"/>
        <v>180000</v>
      </c>
      <c r="R102" s="6">
        <v>19.100000000000001</v>
      </c>
      <c r="S102" s="6" t="s">
        <v>57</v>
      </c>
      <c r="T102" s="6"/>
      <c r="U102" s="6"/>
      <c r="V102" s="6"/>
      <c r="W102" s="9"/>
      <c r="X102" s="6"/>
      <c r="Y102" s="9">
        <f t="shared" si="30"/>
        <v>0</v>
      </c>
      <c r="Z102" s="10">
        <f t="shared" si="31"/>
        <v>0</v>
      </c>
      <c r="AA102" s="10">
        <f t="shared" si="32"/>
        <v>0</v>
      </c>
      <c r="AB102" s="11">
        <f t="shared" si="33"/>
        <v>0</v>
      </c>
      <c r="AC102" s="11">
        <f t="shared" si="34"/>
        <v>0</v>
      </c>
      <c r="AD102" s="11" t="s">
        <v>59</v>
      </c>
    </row>
    <row r="103" spans="1:30" s="1" customFormat="1" ht="17.100000000000001" customHeight="1">
      <c r="A103" s="2">
        <v>101</v>
      </c>
      <c r="B103" s="3" t="s">
        <v>250</v>
      </c>
      <c r="C103" s="3" t="s">
        <v>251</v>
      </c>
      <c r="D103" s="4">
        <v>38</v>
      </c>
      <c r="E103" s="4">
        <v>18.5</v>
      </c>
      <c r="F103" s="4">
        <v>5</v>
      </c>
      <c r="G103" s="4">
        <v>60</v>
      </c>
      <c r="H103" s="4">
        <v>36.5</v>
      </c>
      <c r="I103" s="4">
        <v>36.5</v>
      </c>
      <c r="J103" s="5">
        <f t="shared" si="25"/>
        <v>7.9935000000000006E-2</v>
      </c>
      <c r="K103" s="6">
        <v>500</v>
      </c>
      <c r="L103" s="6">
        <v>18</v>
      </c>
      <c r="M103" s="7">
        <f t="shared" si="29"/>
        <v>9000</v>
      </c>
      <c r="N103" s="8">
        <v>5</v>
      </c>
      <c r="O103" s="6">
        <v>4</v>
      </c>
      <c r="P103" s="6">
        <f t="shared" si="27"/>
        <v>20</v>
      </c>
      <c r="Q103" s="8">
        <f t="shared" si="28"/>
        <v>180000</v>
      </c>
      <c r="R103" s="6">
        <v>19.100000000000001</v>
      </c>
      <c r="S103" s="6" t="s">
        <v>57</v>
      </c>
      <c r="T103" s="6"/>
      <c r="U103" s="6"/>
      <c r="V103" s="6"/>
      <c r="W103" s="9"/>
      <c r="X103" s="6"/>
      <c r="Y103" s="9">
        <f t="shared" si="30"/>
        <v>0</v>
      </c>
      <c r="Z103" s="10">
        <f t="shared" si="31"/>
        <v>0</v>
      </c>
      <c r="AA103" s="10">
        <f t="shared" si="32"/>
        <v>0</v>
      </c>
      <c r="AB103" s="11">
        <f t="shared" si="33"/>
        <v>0</v>
      </c>
      <c r="AC103" s="11">
        <f t="shared" si="34"/>
        <v>0</v>
      </c>
      <c r="AD103" s="11" t="s">
        <v>59</v>
      </c>
    </row>
    <row r="104" spans="1:30" s="1" customFormat="1" ht="17.100000000000001" customHeight="1">
      <c r="A104" s="2">
        <v>102</v>
      </c>
      <c r="B104" s="3" t="s">
        <v>252</v>
      </c>
      <c r="C104" s="3" t="s">
        <v>253</v>
      </c>
      <c r="D104" s="4">
        <v>30</v>
      </c>
      <c r="E104" s="4">
        <v>15</v>
      </c>
      <c r="F104" s="4">
        <v>4</v>
      </c>
      <c r="G104" s="4">
        <v>47</v>
      </c>
      <c r="H104" s="4">
        <v>31</v>
      </c>
      <c r="I104" s="4">
        <v>42</v>
      </c>
      <c r="J104" s="5">
        <f t="shared" si="25"/>
        <v>6.1193999999999998E-2</v>
      </c>
      <c r="K104" s="6">
        <v>500</v>
      </c>
      <c r="L104" s="6">
        <v>18</v>
      </c>
      <c r="M104" s="7">
        <f t="shared" si="29"/>
        <v>9000</v>
      </c>
      <c r="N104" s="8">
        <v>5</v>
      </c>
      <c r="O104" s="6">
        <v>4</v>
      </c>
      <c r="P104" s="6">
        <f t="shared" si="27"/>
        <v>20</v>
      </c>
      <c r="Q104" s="8">
        <f t="shared" si="28"/>
        <v>180000</v>
      </c>
      <c r="R104" s="6">
        <v>19.8</v>
      </c>
      <c r="S104" s="6" t="s">
        <v>57</v>
      </c>
      <c r="T104" s="6"/>
      <c r="U104" s="6"/>
      <c r="V104" s="6"/>
      <c r="W104" s="9"/>
      <c r="X104" s="6"/>
      <c r="Y104" s="9">
        <f t="shared" si="30"/>
        <v>0</v>
      </c>
      <c r="Z104" s="10">
        <f t="shared" si="31"/>
        <v>0</v>
      </c>
      <c r="AA104" s="10">
        <f t="shared" si="32"/>
        <v>0</v>
      </c>
      <c r="AB104" s="11">
        <f t="shared" si="33"/>
        <v>0</v>
      </c>
      <c r="AC104" s="11">
        <f t="shared" si="34"/>
        <v>0</v>
      </c>
      <c r="AD104" s="11" t="s">
        <v>59</v>
      </c>
    </row>
    <row r="105" spans="1:30" s="1" customFormat="1" ht="17.100000000000001" customHeight="1">
      <c r="A105" s="2">
        <v>103</v>
      </c>
      <c r="B105" s="3" t="s">
        <v>254</v>
      </c>
      <c r="C105" s="3" t="s">
        <v>255</v>
      </c>
      <c r="D105" s="4">
        <v>30</v>
      </c>
      <c r="E105" s="4">
        <v>15</v>
      </c>
      <c r="F105" s="4">
        <v>4</v>
      </c>
      <c r="G105" s="4">
        <v>47</v>
      </c>
      <c r="H105" s="4">
        <v>31</v>
      </c>
      <c r="I105" s="4">
        <v>42</v>
      </c>
      <c r="J105" s="5">
        <f t="shared" si="25"/>
        <v>6.1193999999999998E-2</v>
      </c>
      <c r="K105" s="6">
        <v>500</v>
      </c>
      <c r="L105" s="6">
        <v>18</v>
      </c>
      <c r="M105" s="7">
        <f t="shared" si="29"/>
        <v>9000</v>
      </c>
      <c r="N105" s="8">
        <v>5</v>
      </c>
      <c r="O105" s="6">
        <v>4</v>
      </c>
      <c r="P105" s="6">
        <f t="shared" si="27"/>
        <v>20</v>
      </c>
      <c r="Q105" s="8">
        <f t="shared" si="28"/>
        <v>180000</v>
      </c>
      <c r="R105" s="6">
        <v>19.8</v>
      </c>
      <c r="S105" s="6" t="s">
        <v>57</v>
      </c>
      <c r="T105" s="6"/>
      <c r="U105" s="6"/>
      <c r="V105" s="6"/>
      <c r="W105" s="9"/>
      <c r="X105" s="6"/>
      <c r="Y105" s="9">
        <f t="shared" si="30"/>
        <v>0</v>
      </c>
      <c r="Z105" s="10">
        <f t="shared" si="31"/>
        <v>0</v>
      </c>
      <c r="AA105" s="10">
        <f t="shared" si="32"/>
        <v>0</v>
      </c>
      <c r="AB105" s="11">
        <f t="shared" si="33"/>
        <v>0</v>
      </c>
      <c r="AC105" s="11">
        <f t="shared" si="34"/>
        <v>0</v>
      </c>
      <c r="AD105" s="11" t="s">
        <v>59</v>
      </c>
    </row>
    <row r="106" spans="1:30" s="1" customFormat="1" ht="17.100000000000001" customHeight="1">
      <c r="A106" s="2">
        <v>104</v>
      </c>
      <c r="B106" s="3" t="s">
        <v>256</v>
      </c>
      <c r="C106" s="3" t="s">
        <v>257</v>
      </c>
      <c r="D106" s="4">
        <v>30</v>
      </c>
      <c r="E106" s="4">
        <v>15</v>
      </c>
      <c r="F106" s="4">
        <v>4</v>
      </c>
      <c r="G106" s="4">
        <v>47</v>
      </c>
      <c r="H106" s="4">
        <v>31</v>
      </c>
      <c r="I106" s="4">
        <v>42</v>
      </c>
      <c r="J106" s="5">
        <f t="shared" ref="J106:J139" si="35">(G106*H106*I106)/1000000</f>
        <v>6.1193999999999998E-2</v>
      </c>
      <c r="K106" s="6">
        <v>500</v>
      </c>
      <c r="L106" s="6">
        <v>18</v>
      </c>
      <c r="M106" s="7">
        <f t="shared" si="29"/>
        <v>9000</v>
      </c>
      <c r="N106" s="8">
        <v>5</v>
      </c>
      <c r="O106" s="6">
        <v>4</v>
      </c>
      <c r="P106" s="6">
        <f t="shared" ref="P106:P169" si="36">N106*O106</f>
        <v>20</v>
      </c>
      <c r="Q106" s="8">
        <f t="shared" ref="Q106:Q169" si="37">M106*P106</f>
        <v>180000</v>
      </c>
      <c r="R106" s="6">
        <v>19.8</v>
      </c>
      <c r="S106" s="6" t="s">
        <v>57</v>
      </c>
      <c r="T106" s="6"/>
      <c r="U106" s="6"/>
      <c r="V106" s="6"/>
      <c r="W106" s="9"/>
      <c r="X106" s="6"/>
      <c r="Y106" s="9">
        <f t="shared" si="30"/>
        <v>0</v>
      </c>
      <c r="Z106" s="10">
        <f t="shared" si="31"/>
        <v>0</v>
      </c>
      <c r="AA106" s="10">
        <f t="shared" si="32"/>
        <v>0</v>
      </c>
      <c r="AB106" s="11">
        <f t="shared" si="33"/>
        <v>0</v>
      </c>
      <c r="AC106" s="11">
        <f t="shared" si="34"/>
        <v>0</v>
      </c>
      <c r="AD106" s="11" t="s">
        <v>59</v>
      </c>
    </row>
    <row r="107" spans="1:30" s="1" customFormat="1" ht="17.100000000000001" customHeight="1">
      <c r="A107" s="2">
        <v>105</v>
      </c>
      <c r="B107" s="3" t="s">
        <v>258</v>
      </c>
      <c r="C107" s="3" t="s">
        <v>259</v>
      </c>
      <c r="D107" s="4">
        <v>30</v>
      </c>
      <c r="E107" s="4">
        <v>15</v>
      </c>
      <c r="F107" s="4">
        <v>4</v>
      </c>
      <c r="G107" s="4">
        <v>47</v>
      </c>
      <c r="H107" s="4">
        <v>31</v>
      </c>
      <c r="I107" s="4">
        <v>42</v>
      </c>
      <c r="J107" s="5">
        <f t="shared" si="35"/>
        <v>6.1193999999999998E-2</v>
      </c>
      <c r="K107" s="6">
        <v>500</v>
      </c>
      <c r="L107" s="6">
        <v>18</v>
      </c>
      <c r="M107" s="7">
        <f t="shared" si="29"/>
        <v>9000</v>
      </c>
      <c r="N107" s="8">
        <v>5</v>
      </c>
      <c r="O107" s="6">
        <v>4</v>
      </c>
      <c r="P107" s="6">
        <f t="shared" si="36"/>
        <v>20</v>
      </c>
      <c r="Q107" s="8">
        <f t="shared" si="37"/>
        <v>180000</v>
      </c>
      <c r="R107" s="6">
        <v>19.8</v>
      </c>
      <c r="S107" s="6" t="s">
        <v>57</v>
      </c>
      <c r="T107" s="6"/>
      <c r="U107" s="6"/>
      <c r="V107" s="6"/>
      <c r="W107" s="9"/>
      <c r="X107" s="6"/>
      <c r="Y107" s="9">
        <f t="shared" si="30"/>
        <v>0</v>
      </c>
      <c r="Z107" s="10">
        <f t="shared" si="31"/>
        <v>0</v>
      </c>
      <c r="AA107" s="10">
        <f t="shared" si="32"/>
        <v>0</v>
      </c>
      <c r="AB107" s="11">
        <f t="shared" si="33"/>
        <v>0</v>
      </c>
      <c r="AC107" s="11">
        <f t="shared" si="34"/>
        <v>0</v>
      </c>
      <c r="AD107" s="11" t="s">
        <v>59</v>
      </c>
    </row>
    <row r="108" spans="1:30" s="1" customFormat="1" ht="17.100000000000001" customHeight="1">
      <c r="A108" s="2">
        <v>106</v>
      </c>
      <c r="B108" s="3" t="s">
        <v>260</v>
      </c>
      <c r="C108" s="3" t="s">
        <v>261</v>
      </c>
      <c r="D108" s="4">
        <v>30</v>
      </c>
      <c r="E108" s="4">
        <v>15</v>
      </c>
      <c r="F108" s="4">
        <v>4</v>
      </c>
      <c r="G108" s="4">
        <v>47</v>
      </c>
      <c r="H108" s="4">
        <v>30</v>
      </c>
      <c r="I108" s="4">
        <v>41</v>
      </c>
      <c r="J108" s="5">
        <f t="shared" si="35"/>
        <v>5.781E-2</v>
      </c>
      <c r="K108" s="6">
        <v>400</v>
      </c>
      <c r="L108" s="6">
        <v>30</v>
      </c>
      <c r="M108" s="7">
        <f t="shared" si="29"/>
        <v>12000</v>
      </c>
      <c r="N108" s="8">
        <v>8</v>
      </c>
      <c r="O108" s="6">
        <v>3</v>
      </c>
      <c r="P108" s="6">
        <f t="shared" si="36"/>
        <v>24</v>
      </c>
      <c r="Q108" s="8">
        <f t="shared" si="37"/>
        <v>288000</v>
      </c>
      <c r="R108" s="6">
        <v>21.7</v>
      </c>
      <c r="S108" s="6" t="s">
        <v>57</v>
      </c>
      <c r="T108" s="6"/>
      <c r="U108" s="6"/>
      <c r="V108" s="6"/>
      <c r="W108" s="9"/>
      <c r="X108" s="6"/>
      <c r="Y108" s="9">
        <f t="shared" si="30"/>
        <v>0</v>
      </c>
      <c r="Z108" s="10">
        <f t="shared" si="31"/>
        <v>0</v>
      </c>
      <c r="AA108" s="10">
        <f t="shared" si="32"/>
        <v>0</v>
      </c>
      <c r="AB108" s="11">
        <f t="shared" si="33"/>
        <v>0</v>
      </c>
      <c r="AC108" s="11">
        <f t="shared" si="34"/>
        <v>0</v>
      </c>
      <c r="AD108" s="11" t="s">
        <v>59</v>
      </c>
    </row>
    <row r="109" spans="1:30" s="1" customFormat="1" ht="17.100000000000001" customHeight="1">
      <c r="A109" s="2">
        <v>107</v>
      </c>
      <c r="B109" s="3" t="s">
        <v>262</v>
      </c>
      <c r="C109" s="3" t="s">
        <v>263</v>
      </c>
      <c r="D109" s="4">
        <v>30</v>
      </c>
      <c r="E109" s="4">
        <v>15</v>
      </c>
      <c r="F109" s="4">
        <v>4</v>
      </c>
      <c r="G109" s="4">
        <v>47</v>
      </c>
      <c r="H109" s="4">
        <v>30</v>
      </c>
      <c r="I109" s="4">
        <v>41</v>
      </c>
      <c r="J109" s="5">
        <f t="shared" si="35"/>
        <v>5.781E-2</v>
      </c>
      <c r="K109" s="6">
        <v>400</v>
      </c>
      <c r="L109" s="6">
        <v>30</v>
      </c>
      <c r="M109" s="7">
        <f t="shared" si="29"/>
        <v>12000</v>
      </c>
      <c r="N109" s="8">
        <v>8</v>
      </c>
      <c r="O109" s="6">
        <v>3</v>
      </c>
      <c r="P109" s="6">
        <f t="shared" si="36"/>
        <v>24</v>
      </c>
      <c r="Q109" s="8">
        <f t="shared" si="37"/>
        <v>288000</v>
      </c>
      <c r="R109" s="6">
        <v>21.7</v>
      </c>
      <c r="S109" s="6" t="s">
        <v>57</v>
      </c>
      <c r="T109" s="6"/>
      <c r="U109" s="6"/>
      <c r="V109" s="6"/>
      <c r="W109" s="9"/>
      <c r="X109" s="6" t="s">
        <v>58</v>
      </c>
      <c r="Y109" s="9">
        <f t="shared" si="30"/>
        <v>0</v>
      </c>
      <c r="Z109" s="10">
        <f t="shared" si="31"/>
        <v>0</v>
      </c>
      <c r="AA109" s="10">
        <f t="shared" si="32"/>
        <v>0</v>
      </c>
      <c r="AB109" s="11">
        <f t="shared" si="33"/>
        <v>0</v>
      </c>
      <c r="AC109" s="11">
        <f t="shared" si="34"/>
        <v>0</v>
      </c>
      <c r="AD109" s="11" t="s">
        <v>59</v>
      </c>
    </row>
    <row r="110" spans="1:30" s="1" customFormat="1" ht="17.100000000000001" customHeight="1">
      <c r="A110" s="2">
        <v>108</v>
      </c>
      <c r="B110" s="3" t="s">
        <v>264</v>
      </c>
      <c r="C110" s="3" t="s">
        <v>265</v>
      </c>
      <c r="D110" s="4">
        <v>30</v>
      </c>
      <c r="E110" s="4">
        <v>15</v>
      </c>
      <c r="F110" s="4">
        <v>4</v>
      </c>
      <c r="G110" s="4">
        <v>47</v>
      </c>
      <c r="H110" s="4">
        <v>30</v>
      </c>
      <c r="I110" s="4">
        <v>41</v>
      </c>
      <c r="J110" s="5">
        <f t="shared" si="35"/>
        <v>5.781E-2</v>
      </c>
      <c r="K110" s="6">
        <v>400</v>
      </c>
      <c r="L110" s="6">
        <v>30</v>
      </c>
      <c r="M110" s="7">
        <f t="shared" si="29"/>
        <v>12000</v>
      </c>
      <c r="N110" s="8">
        <v>8</v>
      </c>
      <c r="O110" s="6">
        <v>3</v>
      </c>
      <c r="P110" s="6">
        <f t="shared" si="36"/>
        <v>24</v>
      </c>
      <c r="Q110" s="8">
        <f t="shared" si="37"/>
        <v>288000</v>
      </c>
      <c r="R110" s="6">
        <v>21.7</v>
      </c>
      <c r="S110" s="6" t="s">
        <v>57</v>
      </c>
      <c r="T110" s="6"/>
      <c r="U110" s="6"/>
      <c r="V110" s="6"/>
      <c r="W110" s="9"/>
      <c r="X110" s="6" t="s">
        <v>58</v>
      </c>
      <c r="Y110" s="9">
        <f t="shared" si="30"/>
        <v>0</v>
      </c>
      <c r="Z110" s="10">
        <f t="shared" si="31"/>
        <v>0</v>
      </c>
      <c r="AA110" s="10">
        <f t="shared" si="32"/>
        <v>0</v>
      </c>
      <c r="AB110" s="11">
        <f t="shared" si="33"/>
        <v>0</v>
      </c>
      <c r="AC110" s="11">
        <f t="shared" si="34"/>
        <v>0</v>
      </c>
      <c r="AD110" s="11" t="s">
        <v>59</v>
      </c>
    </row>
    <row r="111" spans="1:30" s="1" customFormat="1" ht="17.100000000000001" customHeight="1">
      <c r="A111" s="2">
        <v>109</v>
      </c>
      <c r="B111" s="3" t="s">
        <v>266</v>
      </c>
      <c r="C111" s="3" t="s">
        <v>267</v>
      </c>
      <c r="D111" s="4">
        <v>30</v>
      </c>
      <c r="E111" s="4">
        <v>18.5</v>
      </c>
      <c r="F111" s="4">
        <v>7</v>
      </c>
      <c r="G111" s="4">
        <v>47</v>
      </c>
      <c r="H111" s="4">
        <v>30</v>
      </c>
      <c r="I111" s="4">
        <v>41</v>
      </c>
      <c r="J111" s="5">
        <f t="shared" si="35"/>
        <v>5.781E-2</v>
      </c>
      <c r="K111" s="19">
        <v>240</v>
      </c>
      <c r="L111" s="6">
        <v>14</v>
      </c>
      <c r="M111" s="7">
        <f t="shared" si="29"/>
        <v>3360</v>
      </c>
      <c r="N111" s="8">
        <v>5</v>
      </c>
      <c r="O111" s="6">
        <v>4</v>
      </c>
      <c r="P111" s="6">
        <f t="shared" si="36"/>
        <v>20</v>
      </c>
      <c r="Q111" s="8">
        <f t="shared" si="37"/>
        <v>67200</v>
      </c>
      <c r="R111" s="6">
        <v>19.8</v>
      </c>
      <c r="S111" s="6" t="s">
        <v>57</v>
      </c>
      <c r="T111" s="6"/>
      <c r="U111" s="6"/>
      <c r="V111" s="6"/>
      <c r="W111" s="9"/>
      <c r="X111" s="6"/>
      <c r="Y111" s="9">
        <f t="shared" si="30"/>
        <v>0</v>
      </c>
      <c r="Z111" s="10">
        <f t="shared" si="31"/>
        <v>0</v>
      </c>
      <c r="AA111" s="10">
        <f t="shared" si="32"/>
        <v>0</v>
      </c>
      <c r="AB111" s="11">
        <f t="shared" si="33"/>
        <v>0</v>
      </c>
      <c r="AC111" s="11">
        <f t="shared" si="34"/>
        <v>0</v>
      </c>
      <c r="AD111" s="11" t="s">
        <v>59</v>
      </c>
    </row>
    <row r="112" spans="1:30" s="1" customFormat="1" ht="17.100000000000001" customHeight="1">
      <c r="A112" s="2">
        <v>110</v>
      </c>
      <c r="B112" s="3" t="s">
        <v>268</v>
      </c>
      <c r="C112" s="3" t="s">
        <v>269</v>
      </c>
      <c r="D112" s="4">
        <v>30</v>
      </c>
      <c r="E112" s="4">
        <v>18.5</v>
      </c>
      <c r="F112" s="4">
        <v>7</v>
      </c>
      <c r="G112" s="4">
        <v>47</v>
      </c>
      <c r="H112" s="4">
        <v>30</v>
      </c>
      <c r="I112" s="4">
        <v>41</v>
      </c>
      <c r="J112" s="5">
        <f t="shared" si="35"/>
        <v>5.781E-2</v>
      </c>
      <c r="K112" s="19">
        <v>240</v>
      </c>
      <c r="L112" s="6">
        <v>14</v>
      </c>
      <c r="M112" s="7">
        <f t="shared" si="29"/>
        <v>3360</v>
      </c>
      <c r="N112" s="8">
        <v>5</v>
      </c>
      <c r="O112" s="6">
        <v>4</v>
      </c>
      <c r="P112" s="6">
        <f t="shared" si="36"/>
        <v>20</v>
      </c>
      <c r="Q112" s="8">
        <f t="shared" si="37"/>
        <v>67200</v>
      </c>
      <c r="R112" s="6">
        <v>19.8</v>
      </c>
      <c r="S112" s="6" t="s">
        <v>57</v>
      </c>
      <c r="T112" s="6"/>
      <c r="U112" s="6"/>
      <c r="V112" s="6"/>
      <c r="W112" s="9"/>
      <c r="X112" s="6"/>
      <c r="Y112" s="9">
        <f t="shared" si="30"/>
        <v>0</v>
      </c>
      <c r="Z112" s="10">
        <f t="shared" si="31"/>
        <v>0</v>
      </c>
      <c r="AA112" s="10">
        <f t="shared" si="32"/>
        <v>0</v>
      </c>
      <c r="AB112" s="11">
        <f t="shared" si="33"/>
        <v>0</v>
      </c>
      <c r="AC112" s="11">
        <f t="shared" si="34"/>
        <v>0</v>
      </c>
      <c r="AD112" s="11" t="s">
        <v>59</v>
      </c>
    </row>
    <row r="113" spans="1:30" s="1" customFormat="1" ht="17.100000000000001" customHeight="1">
      <c r="A113" s="2">
        <v>111</v>
      </c>
      <c r="B113" s="3" t="s">
        <v>270</v>
      </c>
      <c r="C113" s="3" t="s">
        <v>271</v>
      </c>
      <c r="D113" s="4">
        <v>30</v>
      </c>
      <c r="E113" s="4">
        <v>18.5</v>
      </c>
      <c r="F113" s="4">
        <v>7</v>
      </c>
      <c r="G113" s="4">
        <v>47</v>
      </c>
      <c r="H113" s="4">
        <v>30</v>
      </c>
      <c r="I113" s="4">
        <v>41</v>
      </c>
      <c r="J113" s="5">
        <f t="shared" si="35"/>
        <v>5.781E-2</v>
      </c>
      <c r="K113" s="19">
        <v>240</v>
      </c>
      <c r="L113" s="6">
        <v>14</v>
      </c>
      <c r="M113" s="7">
        <f t="shared" si="29"/>
        <v>3360</v>
      </c>
      <c r="N113" s="8">
        <v>5</v>
      </c>
      <c r="O113" s="6">
        <v>4</v>
      </c>
      <c r="P113" s="6">
        <f t="shared" si="36"/>
        <v>20</v>
      </c>
      <c r="Q113" s="8">
        <f t="shared" si="37"/>
        <v>67200</v>
      </c>
      <c r="R113" s="6">
        <v>19.8</v>
      </c>
      <c r="S113" s="6" t="s">
        <v>57</v>
      </c>
      <c r="T113" s="6"/>
      <c r="U113" s="6"/>
      <c r="V113" s="6"/>
      <c r="W113" s="9"/>
      <c r="X113" s="6"/>
      <c r="Y113" s="9">
        <f t="shared" si="30"/>
        <v>0</v>
      </c>
      <c r="Z113" s="10">
        <f t="shared" si="31"/>
        <v>0</v>
      </c>
      <c r="AA113" s="10">
        <f t="shared" si="32"/>
        <v>0</v>
      </c>
      <c r="AB113" s="11">
        <f t="shared" si="33"/>
        <v>0</v>
      </c>
      <c r="AC113" s="11">
        <f t="shared" si="34"/>
        <v>0</v>
      </c>
      <c r="AD113" s="11" t="s">
        <v>59</v>
      </c>
    </row>
    <row r="114" spans="1:30" s="1" customFormat="1" ht="17.100000000000001" customHeight="1">
      <c r="A114" s="2">
        <v>112</v>
      </c>
      <c r="B114" s="3" t="s">
        <v>272</v>
      </c>
      <c r="C114" s="3" t="s">
        <v>273</v>
      </c>
      <c r="D114" s="4">
        <v>39</v>
      </c>
      <c r="E114" s="4">
        <v>12.5</v>
      </c>
      <c r="F114" s="4">
        <v>5</v>
      </c>
      <c r="G114" s="4">
        <v>40</v>
      </c>
      <c r="H114" s="4">
        <v>13</v>
      </c>
      <c r="I114" s="4">
        <v>26.5</v>
      </c>
      <c r="J114" s="5">
        <f t="shared" si="35"/>
        <v>1.3780000000000001E-2</v>
      </c>
      <c r="K114" s="19">
        <v>240</v>
      </c>
      <c r="L114" s="6">
        <v>25</v>
      </c>
      <c r="M114" s="7">
        <f t="shared" si="29"/>
        <v>6000</v>
      </c>
      <c r="N114" s="8">
        <v>5</v>
      </c>
      <c r="O114" s="6">
        <v>6</v>
      </c>
      <c r="P114" s="6">
        <f t="shared" si="36"/>
        <v>30</v>
      </c>
      <c r="Q114" s="8">
        <f t="shared" si="37"/>
        <v>180000</v>
      </c>
      <c r="R114" s="6">
        <v>4.8</v>
      </c>
      <c r="S114" s="6" t="s">
        <v>57</v>
      </c>
      <c r="T114" s="6"/>
      <c r="U114" s="6"/>
      <c r="V114" s="6"/>
      <c r="W114" s="9"/>
      <c r="X114" s="6"/>
      <c r="Y114" s="9">
        <f t="shared" si="30"/>
        <v>0</v>
      </c>
      <c r="Z114" s="10">
        <f t="shared" si="31"/>
        <v>0</v>
      </c>
      <c r="AA114" s="10">
        <f t="shared" si="32"/>
        <v>0</v>
      </c>
      <c r="AB114" s="11">
        <f t="shared" si="33"/>
        <v>0</v>
      </c>
      <c r="AC114" s="11">
        <f t="shared" si="34"/>
        <v>0</v>
      </c>
      <c r="AD114" s="11" t="s">
        <v>59</v>
      </c>
    </row>
    <row r="115" spans="1:30" s="1" customFormat="1" ht="17.100000000000001" customHeight="1">
      <c r="A115" s="2">
        <v>113</v>
      </c>
      <c r="B115" s="3" t="s">
        <v>274</v>
      </c>
      <c r="C115" s="3" t="s">
        <v>275</v>
      </c>
      <c r="D115" s="4">
        <v>39</v>
      </c>
      <c r="E115" s="4">
        <v>12.5</v>
      </c>
      <c r="F115" s="4">
        <v>5</v>
      </c>
      <c r="G115" s="4">
        <v>40</v>
      </c>
      <c r="H115" s="4">
        <v>13</v>
      </c>
      <c r="I115" s="4">
        <v>26.5</v>
      </c>
      <c r="J115" s="5">
        <f t="shared" si="35"/>
        <v>1.3780000000000001E-2</v>
      </c>
      <c r="K115" s="19">
        <v>240</v>
      </c>
      <c r="L115" s="6">
        <v>25</v>
      </c>
      <c r="M115" s="7">
        <f t="shared" si="29"/>
        <v>6000</v>
      </c>
      <c r="N115" s="8">
        <v>5</v>
      </c>
      <c r="O115" s="6">
        <v>6</v>
      </c>
      <c r="P115" s="6">
        <f t="shared" si="36"/>
        <v>30</v>
      </c>
      <c r="Q115" s="8">
        <f t="shared" si="37"/>
        <v>180000</v>
      </c>
      <c r="R115" s="6">
        <v>4.8</v>
      </c>
      <c r="S115" s="6" t="s">
        <v>57</v>
      </c>
      <c r="T115" s="6"/>
      <c r="U115" s="6"/>
      <c r="V115" s="6"/>
      <c r="W115" s="9"/>
      <c r="X115" s="6" t="s">
        <v>58</v>
      </c>
      <c r="Y115" s="9">
        <f t="shared" si="30"/>
        <v>0</v>
      </c>
      <c r="Z115" s="10">
        <f t="shared" si="31"/>
        <v>0</v>
      </c>
      <c r="AA115" s="10">
        <f t="shared" si="32"/>
        <v>0</v>
      </c>
      <c r="AB115" s="11">
        <f t="shared" si="33"/>
        <v>0</v>
      </c>
      <c r="AC115" s="11">
        <f t="shared" si="34"/>
        <v>0</v>
      </c>
      <c r="AD115" s="11" t="s">
        <v>59</v>
      </c>
    </row>
    <row r="116" spans="1:30" s="1" customFormat="1" ht="17.100000000000001" customHeight="1">
      <c r="A116" s="2">
        <v>114</v>
      </c>
      <c r="B116" s="3" t="s">
        <v>276</v>
      </c>
      <c r="C116" s="3" t="s">
        <v>277</v>
      </c>
      <c r="D116" s="4">
        <v>39</v>
      </c>
      <c r="E116" s="4">
        <v>12.5</v>
      </c>
      <c r="F116" s="4">
        <v>5</v>
      </c>
      <c r="G116" s="4">
        <v>40</v>
      </c>
      <c r="H116" s="4">
        <v>13</v>
      </c>
      <c r="I116" s="4">
        <v>26.5</v>
      </c>
      <c r="J116" s="5">
        <f t="shared" si="35"/>
        <v>1.3780000000000001E-2</v>
      </c>
      <c r="K116" s="19">
        <v>240</v>
      </c>
      <c r="L116" s="6">
        <v>25</v>
      </c>
      <c r="M116" s="7">
        <f t="shared" si="29"/>
        <v>6000</v>
      </c>
      <c r="N116" s="8">
        <v>5</v>
      </c>
      <c r="O116" s="6">
        <v>6</v>
      </c>
      <c r="P116" s="6">
        <f t="shared" si="36"/>
        <v>30</v>
      </c>
      <c r="Q116" s="8">
        <f t="shared" si="37"/>
        <v>180000</v>
      </c>
      <c r="R116" s="6">
        <v>4.8</v>
      </c>
      <c r="S116" s="6" t="s">
        <v>57</v>
      </c>
      <c r="T116" s="6"/>
      <c r="U116" s="6"/>
      <c r="V116" s="6"/>
      <c r="W116" s="9"/>
      <c r="X116" s="6" t="s">
        <v>58</v>
      </c>
      <c r="Y116" s="9">
        <f t="shared" si="30"/>
        <v>0</v>
      </c>
      <c r="Z116" s="10">
        <f t="shared" si="31"/>
        <v>0</v>
      </c>
      <c r="AA116" s="10">
        <f t="shared" si="32"/>
        <v>0</v>
      </c>
      <c r="AB116" s="11">
        <f t="shared" si="33"/>
        <v>0</v>
      </c>
      <c r="AC116" s="11">
        <f t="shared" si="34"/>
        <v>0</v>
      </c>
      <c r="AD116" s="11" t="s">
        <v>59</v>
      </c>
    </row>
    <row r="117" spans="1:30" s="1" customFormat="1" ht="17.100000000000001" customHeight="1">
      <c r="A117" s="2">
        <v>115</v>
      </c>
      <c r="B117" s="3" t="s">
        <v>278</v>
      </c>
      <c r="C117" s="3" t="s">
        <v>279</v>
      </c>
      <c r="D117" s="4">
        <v>39</v>
      </c>
      <c r="E117" s="4">
        <v>12.5</v>
      </c>
      <c r="F117" s="4">
        <v>5</v>
      </c>
      <c r="G117" s="4">
        <v>40</v>
      </c>
      <c r="H117" s="4">
        <v>13</v>
      </c>
      <c r="I117" s="4">
        <v>26.5</v>
      </c>
      <c r="J117" s="5">
        <f t="shared" si="35"/>
        <v>1.3780000000000001E-2</v>
      </c>
      <c r="K117" s="19">
        <v>240</v>
      </c>
      <c r="L117" s="6">
        <v>25</v>
      </c>
      <c r="M117" s="7">
        <f t="shared" si="29"/>
        <v>6000</v>
      </c>
      <c r="N117" s="8">
        <v>5</v>
      </c>
      <c r="O117" s="6">
        <v>6</v>
      </c>
      <c r="P117" s="6">
        <f t="shared" si="36"/>
        <v>30</v>
      </c>
      <c r="Q117" s="8">
        <f t="shared" si="37"/>
        <v>180000</v>
      </c>
      <c r="R117" s="6">
        <v>4.8</v>
      </c>
      <c r="S117" s="6" t="s">
        <v>57</v>
      </c>
      <c r="T117" s="6"/>
      <c r="U117" s="6"/>
      <c r="V117" s="6"/>
      <c r="W117" s="9"/>
      <c r="X117" s="6"/>
      <c r="Y117" s="9">
        <f t="shared" si="30"/>
        <v>0</v>
      </c>
      <c r="Z117" s="10">
        <f t="shared" si="31"/>
        <v>0</v>
      </c>
      <c r="AA117" s="10">
        <f t="shared" si="32"/>
        <v>0</v>
      </c>
      <c r="AB117" s="11">
        <f t="shared" si="33"/>
        <v>0</v>
      </c>
      <c r="AC117" s="11">
        <f t="shared" si="34"/>
        <v>0</v>
      </c>
      <c r="AD117" s="11" t="s">
        <v>59</v>
      </c>
    </row>
    <row r="118" spans="1:30" s="1" customFormat="1" ht="17.100000000000001" customHeight="1">
      <c r="A118" s="2">
        <v>116</v>
      </c>
      <c r="B118" s="3" t="s">
        <v>280</v>
      </c>
      <c r="C118" s="3" t="s">
        <v>281</v>
      </c>
      <c r="D118" s="4">
        <v>39</v>
      </c>
      <c r="E118" s="4">
        <v>12.5</v>
      </c>
      <c r="F118" s="4">
        <v>5</v>
      </c>
      <c r="G118" s="4">
        <v>40</v>
      </c>
      <c r="H118" s="4">
        <v>13</v>
      </c>
      <c r="I118" s="4">
        <v>26.5</v>
      </c>
      <c r="J118" s="5">
        <f t="shared" si="35"/>
        <v>1.3780000000000001E-2</v>
      </c>
      <c r="K118" s="19">
        <v>240</v>
      </c>
      <c r="L118" s="6">
        <v>25</v>
      </c>
      <c r="M118" s="7">
        <f t="shared" si="29"/>
        <v>6000</v>
      </c>
      <c r="N118" s="8">
        <v>5</v>
      </c>
      <c r="O118" s="6">
        <v>6</v>
      </c>
      <c r="P118" s="6">
        <f t="shared" si="36"/>
        <v>30</v>
      </c>
      <c r="Q118" s="8">
        <f t="shared" si="37"/>
        <v>180000</v>
      </c>
      <c r="R118" s="6">
        <v>4.8</v>
      </c>
      <c r="S118" s="6" t="s">
        <v>57</v>
      </c>
      <c r="T118" s="6"/>
      <c r="U118" s="6"/>
      <c r="V118" s="6"/>
      <c r="W118" s="9"/>
      <c r="X118" s="6"/>
      <c r="Y118" s="9">
        <f t="shared" si="30"/>
        <v>0</v>
      </c>
      <c r="Z118" s="10">
        <f t="shared" si="31"/>
        <v>0</v>
      </c>
      <c r="AA118" s="10">
        <f t="shared" si="32"/>
        <v>0</v>
      </c>
      <c r="AB118" s="11">
        <f t="shared" si="33"/>
        <v>0</v>
      </c>
      <c r="AC118" s="11">
        <f t="shared" si="34"/>
        <v>0</v>
      </c>
      <c r="AD118" s="11" t="s">
        <v>59</v>
      </c>
    </row>
    <row r="119" spans="1:30" s="1" customFormat="1" ht="17.100000000000001" customHeight="1">
      <c r="A119" s="2">
        <v>117</v>
      </c>
      <c r="B119" s="3" t="s">
        <v>282</v>
      </c>
      <c r="C119" s="3" t="s">
        <v>283</v>
      </c>
      <c r="D119" s="4">
        <v>39</v>
      </c>
      <c r="E119" s="4">
        <v>12.5</v>
      </c>
      <c r="F119" s="4">
        <v>5</v>
      </c>
      <c r="G119" s="4">
        <v>40</v>
      </c>
      <c r="H119" s="4">
        <v>13</v>
      </c>
      <c r="I119" s="4">
        <v>26.5</v>
      </c>
      <c r="J119" s="5">
        <f t="shared" si="35"/>
        <v>1.3780000000000001E-2</v>
      </c>
      <c r="K119" s="19">
        <v>240</v>
      </c>
      <c r="L119" s="6">
        <v>25</v>
      </c>
      <c r="M119" s="7">
        <f t="shared" si="29"/>
        <v>6000</v>
      </c>
      <c r="N119" s="8">
        <v>5</v>
      </c>
      <c r="O119" s="6">
        <v>6</v>
      </c>
      <c r="P119" s="6">
        <f t="shared" si="36"/>
        <v>30</v>
      </c>
      <c r="Q119" s="8">
        <f t="shared" si="37"/>
        <v>180000</v>
      </c>
      <c r="R119" s="6">
        <v>4.8</v>
      </c>
      <c r="S119" s="6" t="s">
        <v>57</v>
      </c>
      <c r="T119" s="6"/>
      <c r="U119" s="6"/>
      <c r="V119" s="6"/>
      <c r="W119" s="9"/>
      <c r="X119" s="6"/>
      <c r="Y119" s="9">
        <f t="shared" si="30"/>
        <v>0</v>
      </c>
      <c r="Z119" s="10">
        <f t="shared" si="31"/>
        <v>0</v>
      </c>
      <c r="AA119" s="10">
        <f t="shared" si="32"/>
        <v>0</v>
      </c>
      <c r="AB119" s="11">
        <f t="shared" si="33"/>
        <v>0</v>
      </c>
      <c r="AC119" s="11">
        <f t="shared" si="34"/>
        <v>0</v>
      </c>
      <c r="AD119" s="11" t="s">
        <v>59</v>
      </c>
    </row>
    <row r="120" spans="1:30" s="1" customFormat="1" ht="17.100000000000001" customHeight="1">
      <c r="A120" s="2">
        <v>118</v>
      </c>
      <c r="B120" s="3" t="s">
        <v>284</v>
      </c>
      <c r="C120" s="3" t="s">
        <v>285</v>
      </c>
      <c r="D120" s="4">
        <v>30</v>
      </c>
      <c r="E120" s="4">
        <v>26</v>
      </c>
      <c r="F120" s="4">
        <v>5</v>
      </c>
      <c r="G120" s="4">
        <v>61</v>
      </c>
      <c r="H120" s="4">
        <v>27</v>
      </c>
      <c r="I120" s="4">
        <v>51</v>
      </c>
      <c r="J120" s="5">
        <f t="shared" si="35"/>
        <v>8.3997000000000002E-2</v>
      </c>
      <c r="K120" s="19">
        <v>250</v>
      </c>
      <c r="L120" s="6">
        <v>20</v>
      </c>
      <c r="M120" s="7">
        <f t="shared" si="29"/>
        <v>5000</v>
      </c>
      <c r="N120" s="8">
        <v>8</v>
      </c>
      <c r="O120" s="6">
        <v>3</v>
      </c>
      <c r="P120" s="6">
        <f t="shared" si="36"/>
        <v>24</v>
      </c>
      <c r="Q120" s="8">
        <f t="shared" si="37"/>
        <v>120000</v>
      </c>
      <c r="R120" s="6">
        <v>14.5</v>
      </c>
      <c r="S120" s="6" t="s">
        <v>57</v>
      </c>
      <c r="T120" s="6"/>
      <c r="U120" s="6"/>
      <c r="V120" s="6"/>
      <c r="W120" s="9"/>
      <c r="X120" s="6"/>
      <c r="Y120" s="9">
        <f t="shared" si="30"/>
        <v>0</v>
      </c>
      <c r="Z120" s="10">
        <f t="shared" si="31"/>
        <v>0</v>
      </c>
      <c r="AA120" s="10">
        <f t="shared" si="32"/>
        <v>0</v>
      </c>
      <c r="AB120" s="11">
        <f t="shared" si="33"/>
        <v>0</v>
      </c>
      <c r="AC120" s="11">
        <f t="shared" si="34"/>
        <v>0</v>
      </c>
      <c r="AD120" s="11" t="s">
        <v>59</v>
      </c>
    </row>
    <row r="121" spans="1:30" s="1" customFormat="1" ht="17.100000000000001" customHeight="1">
      <c r="A121" s="2">
        <v>119</v>
      </c>
      <c r="B121" s="3" t="s">
        <v>286</v>
      </c>
      <c r="C121" s="3" t="s">
        <v>287</v>
      </c>
      <c r="D121" s="4">
        <v>30</v>
      </c>
      <c r="E121" s="4">
        <v>26</v>
      </c>
      <c r="F121" s="4">
        <v>5</v>
      </c>
      <c r="G121" s="4">
        <v>61</v>
      </c>
      <c r="H121" s="4">
        <v>27</v>
      </c>
      <c r="I121" s="4">
        <v>51</v>
      </c>
      <c r="J121" s="5">
        <f t="shared" si="35"/>
        <v>8.3997000000000002E-2</v>
      </c>
      <c r="K121" s="19">
        <v>250</v>
      </c>
      <c r="L121" s="6">
        <v>20</v>
      </c>
      <c r="M121" s="7">
        <f t="shared" si="29"/>
        <v>5000</v>
      </c>
      <c r="N121" s="8">
        <v>8</v>
      </c>
      <c r="O121" s="6">
        <v>3</v>
      </c>
      <c r="P121" s="6">
        <f t="shared" si="36"/>
        <v>24</v>
      </c>
      <c r="Q121" s="8">
        <f t="shared" si="37"/>
        <v>120000</v>
      </c>
      <c r="R121" s="6">
        <v>14.5</v>
      </c>
      <c r="S121" s="6" t="s">
        <v>57</v>
      </c>
      <c r="T121" s="6"/>
      <c r="U121" s="6"/>
      <c r="V121" s="6"/>
      <c r="W121" s="9"/>
      <c r="X121" s="6"/>
      <c r="Y121" s="9">
        <f t="shared" si="30"/>
        <v>0</v>
      </c>
      <c r="Z121" s="10">
        <f t="shared" si="31"/>
        <v>0</v>
      </c>
      <c r="AA121" s="10">
        <f t="shared" si="32"/>
        <v>0</v>
      </c>
      <c r="AB121" s="11">
        <f t="shared" si="33"/>
        <v>0</v>
      </c>
      <c r="AC121" s="11">
        <f t="shared" si="34"/>
        <v>0</v>
      </c>
      <c r="AD121" s="11" t="s">
        <v>59</v>
      </c>
    </row>
    <row r="122" spans="1:30" s="1" customFormat="1" ht="17.100000000000001" customHeight="1">
      <c r="A122" s="2">
        <v>120</v>
      </c>
      <c r="B122" s="3" t="s">
        <v>288</v>
      </c>
      <c r="C122" s="3" t="s">
        <v>289</v>
      </c>
      <c r="D122" s="4">
        <v>30</v>
      </c>
      <c r="E122" s="4">
        <v>26</v>
      </c>
      <c r="F122" s="4">
        <v>5</v>
      </c>
      <c r="G122" s="4">
        <v>61</v>
      </c>
      <c r="H122" s="4">
        <v>27</v>
      </c>
      <c r="I122" s="4">
        <v>51</v>
      </c>
      <c r="J122" s="5">
        <f t="shared" si="35"/>
        <v>8.3997000000000002E-2</v>
      </c>
      <c r="K122" s="19">
        <v>250</v>
      </c>
      <c r="L122" s="6">
        <v>20</v>
      </c>
      <c r="M122" s="7">
        <f t="shared" si="29"/>
        <v>5000</v>
      </c>
      <c r="N122" s="8">
        <v>8</v>
      </c>
      <c r="O122" s="6">
        <v>3</v>
      </c>
      <c r="P122" s="6">
        <f t="shared" si="36"/>
        <v>24</v>
      </c>
      <c r="Q122" s="8">
        <f t="shared" si="37"/>
        <v>120000</v>
      </c>
      <c r="R122" s="6">
        <v>14.5</v>
      </c>
      <c r="S122" s="6" t="s">
        <v>57</v>
      </c>
      <c r="T122" s="6"/>
      <c r="U122" s="6"/>
      <c r="V122" s="6"/>
      <c r="W122" s="9"/>
      <c r="X122" s="6"/>
      <c r="Y122" s="9">
        <f t="shared" si="30"/>
        <v>0</v>
      </c>
      <c r="Z122" s="10">
        <f t="shared" si="31"/>
        <v>0</v>
      </c>
      <c r="AA122" s="10">
        <f t="shared" si="32"/>
        <v>0</v>
      </c>
      <c r="AB122" s="11">
        <f t="shared" si="33"/>
        <v>0</v>
      </c>
      <c r="AC122" s="11">
        <f t="shared" si="34"/>
        <v>0</v>
      </c>
      <c r="AD122" s="11" t="s">
        <v>59</v>
      </c>
    </row>
    <row r="123" spans="1:30" s="1" customFormat="1" ht="17.100000000000001" customHeight="1">
      <c r="A123" s="2">
        <v>121</v>
      </c>
      <c r="B123" s="3" t="s">
        <v>290</v>
      </c>
      <c r="C123" s="3" t="s">
        <v>291</v>
      </c>
      <c r="D123" s="4">
        <v>30</v>
      </c>
      <c r="E123" s="4">
        <v>26</v>
      </c>
      <c r="F123" s="4">
        <v>5</v>
      </c>
      <c r="G123" s="4">
        <v>61</v>
      </c>
      <c r="H123" s="4">
        <v>27</v>
      </c>
      <c r="I123" s="4">
        <v>51</v>
      </c>
      <c r="J123" s="5">
        <f t="shared" si="35"/>
        <v>8.3997000000000002E-2</v>
      </c>
      <c r="K123" s="19">
        <v>250</v>
      </c>
      <c r="L123" s="6">
        <v>20</v>
      </c>
      <c r="M123" s="7">
        <f t="shared" si="29"/>
        <v>5000</v>
      </c>
      <c r="N123" s="8">
        <v>8</v>
      </c>
      <c r="O123" s="6">
        <v>3</v>
      </c>
      <c r="P123" s="6">
        <f t="shared" si="36"/>
        <v>24</v>
      </c>
      <c r="Q123" s="8">
        <f t="shared" si="37"/>
        <v>120000</v>
      </c>
      <c r="R123" s="6">
        <v>14.5</v>
      </c>
      <c r="S123" s="6" t="s">
        <v>57</v>
      </c>
      <c r="T123" s="6"/>
      <c r="U123" s="6"/>
      <c r="V123" s="6"/>
      <c r="W123" s="9"/>
      <c r="X123" s="6"/>
      <c r="Y123" s="9">
        <f t="shared" si="30"/>
        <v>0</v>
      </c>
      <c r="Z123" s="10">
        <f t="shared" si="31"/>
        <v>0</v>
      </c>
      <c r="AA123" s="10">
        <f t="shared" si="32"/>
        <v>0</v>
      </c>
      <c r="AB123" s="11">
        <f t="shared" si="33"/>
        <v>0</v>
      </c>
      <c r="AC123" s="11">
        <f t="shared" si="34"/>
        <v>0</v>
      </c>
      <c r="AD123" s="11" t="s">
        <v>59</v>
      </c>
    </row>
    <row r="124" spans="1:30" s="1" customFormat="1" ht="17.100000000000001" customHeight="1">
      <c r="A124" s="2">
        <v>122</v>
      </c>
      <c r="B124" s="3" t="s">
        <v>292</v>
      </c>
      <c r="C124" s="3" t="s">
        <v>293</v>
      </c>
      <c r="D124" s="4">
        <v>30</v>
      </c>
      <c r="E124" s="4">
        <v>26</v>
      </c>
      <c r="F124" s="4">
        <v>5</v>
      </c>
      <c r="G124" s="4">
        <v>61</v>
      </c>
      <c r="H124" s="4">
        <v>27</v>
      </c>
      <c r="I124" s="4">
        <v>51</v>
      </c>
      <c r="J124" s="5">
        <f t="shared" si="35"/>
        <v>8.3997000000000002E-2</v>
      </c>
      <c r="K124" s="19">
        <v>250</v>
      </c>
      <c r="L124" s="6">
        <v>20</v>
      </c>
      <c r="M124" s="7">
        <f t="shared" si="29"/>
        <v>5000</v>
      </c>
      <c r="N124" s="8">
        <v>8</v>
      </c>
      <c r="O124" s="6">
        <v>3</v>
      </c>
      <c r="P124" s="6">
        <f t="shared" si="36"/>
        <v>24</v>
      </c>
      <c r="Q124" s="8">
        <f t="shared" si="37"/>
        <v>120000</v>
      </c>
      <c r="R124" s="6">
        <v>14.5</v>
      </c>
      <c r="S124" s="6" t="s">
        <v>57</v>
      </c>
      <c r="T124" s="6"/>
      <c r="U124" s="6"/>
      <c r="V124" s="6"/>
      <c r="W124" s="9"/>
      <c r="X124" s="6"/>
      <c r="Y124" s="9">
        <f t="shared" si="30"/>
        <v>0</v>
      </c>
      <c r="Z124" s="10">
        <f t="shared" si="31"/>
        <v>0</v>
      </c>
      <c r="AA124" s="10">
        <f t="shared" si="32"/>
        <v>0</v>
      </c>
      <c r="AB124" s="11">
        <f t="shared" si="33"/>
        <v>0</v>
      </c>
      <c r="AC124" s="11">
        <f t="shared" si="34"/>
        <v>0</v>
      </c>
      <c r="AD124" s="11" t="s">
        <v>59</v>
      </c>
    </row>
    <row r="125" spans="1:30" s="1" customFormat="1" ht="17.100000000000001" customHeight="1">
      <c r="A125" s="2">
        <v>123</v>
      </c>
      <c r="B125" s="3" t="s">
        <v>294</v>
      </c>
      <c r="C125" s="3" t="s">
        <v>295</v>
      </c>
      <c r="D125" s="4">
        <v>30</v>
      </c>
      <c r="E125" s="4">
        <v>26</v>
      </c>
      <c r="F125" s="4">
        <v>5</v>
      </c>
      <c r="G125" s="4">
        <v>61</v>
      </c>
      <c r="H125" s="4">
        <v>27</v>
      </c>
      <c r="I125" s="4">
        <v>51</v>
      </c>
      <c r="J125" s="5">
        <f t="shared" si="35"/>
        <v>8.3997000000000002E-2</v>
      </c>
      <c r="K125" s="19">
        <v>250</v>
      </c>
      <c r="L125" s="6">
        <v>20</v>
      </c>
      <c r="M125" s="7">
        <f t="shared" si="29"/>
        <v>5000</v>
      </c>
      <c r="N125" s="8">
        <v>8</v>
      </c>
      <c r="O125" s="6">
        <v>3</v>
      </c>
      <c r="P125" s="6">
        <f t="shared" si="36"/>
        <v>24</v>
      </c>
      <c r="Q125" s="8">
        <f t="shared" si="37"/>
        <v>120000</v>
      </c>
      <c r="R125" s="6">
        <v>14.5</v>
      </c>
      <c r="S125" s="6" t="s">
        <v>57</v>
      </c>
      <c r="T125" s="6"/>
      <c r="U125" s="6"/>
      <c r="V125" s="6"/>
      <c r="W125" s="9"/>
      <c r="X125" s="6"/>
      <c r="Y125" s="9">
        <f t="shared" si="30"/>
        <v>0</v>
      </c>
      <c r="Z125" s="10">
        <f t="shared" si="31"/>
        <v>0</v>
      </c>
      <c r="AA125" s="10">
        <f t="shared" si="32"/>
        <v>0</v>
      </c>
      <c r="AB125" s="11">
        <f t="shared" si="33"/>
        <v>0</v>
      </c>
      <c r="AC125" s="11">
        <f t="shared" si="34"/>
        <v>0</v>
      </c>
      <c r="AD125" s="11" t="s">
        <v>59</v>
      </c>
    </row>
    <row r="126" spans="1:30" s="1" customFormat="1" ht="17.100000000000001" customHeight="1">
      <c r="A126" s="2">
        <v>124</v>
      </c>
      <c r="B126" s="3" t="s">
        <v>296</v>
      </c>
      <c r="C126" s="3" t="s">
        <v>297</v>
      </c>
      <c r="D126" s="4">
        <v>30</v>
      </c>
      <c r="E126" s="4">
        <v>26</v>
      </c>
      <c r="F126" s="4">
        <v>5</v>
      </c>
      <c r="G126" s="4">
        <v>61</v>
      </c>
      <c r="H126" s="4">
        <v>27</v>
      </c>
      <c r="I126" s="4">
        <v>51</v>
      </c>
      <c r="J126" s="5">
        <f t="shared" si="35"/>
        <v>8.3997000000000002E-2</v>
      </c>
      <c r="K126" s="19">
        <v>250</v>
      </c>
      <c r="L126" s="6">
        <v>20</v>
      </c>
      <c r="M126" s="7">
        <f t="shared" si="29"/>
        <v>5000</v>
      </c>
      <c r="N126" s="8">
        <v>8</v>
      </c>
      <c r="O126" s="6">
        <v>3</v>
      </c>
      <c r="P126" s="6">
        <f t="shared" si="36"/>
        <v>24</v>
      </c>
      <c r="Q126" s="8">
        <f t="shared" si="37"/>
        <v>120000</v>
      </c>
      <c r="R126" s="6">
        <v>14.5</v>
      </c>
      <c r="S126" s="6" t="s">
        <v>57</v>
      </c>
      <c r="T126" s="6"/>
      <c r="U126" s="6"/>
      <c r="V126" s="6"/>
      <c r="W126" s="9"/>
      <c r="X126" s="6"/>
      <c r="Y126" s="9">
        <f t="shared" si="30"/>
        <v>0</v>
      </c>
      <c r="Z126" s="10">
        <f t="shared" si="31"/>
        <v>0</v>
      </c>
      <c r="AA126" s="10">
        <f t="shared" si="32"/>
        <v>0</v>
      </c>
      <c r="AB126" s="11">
        <f t="shared" si="33"/>
        <v>0</v>
      </c>
      <c r="AC126" s="11">
        <f t="shared" si="34"/>
        <v>0</v>
      </c>
      <c r="AD126" s="11" t="s">
        <v>59</v>
      </c>
    </row>
    <row r="127" spans="1:30" s="1" customFormat="1" ht="17.100000000000001" customHeight="1">
      <c r="A127" s="2">
        <v>125</v>
      </c>
      <c r="B127" s="3" t="s">
        <v>298</v>
      </c>
      <c r="C127" s="3" t="s">
        <v>299</v>
      </c>
      <c r="D127" s="4">
        <v>30</v>
      </c>
      <c r="E127" s="4">
        <v>26</v>
      </c>
      <c r="F127" s="4">
        <v>5</v>
      </c>
      <c r="G127" s="4">
        <v>61</v>
      </c>
      <c r="H127" s="4">
        <v>27</v>
      </c>
      <c r="I127" s="4">
        <v>51</v>
      </c>
      <c r="J127" s="5">
        <f t="shared" si="35"/>
        <v>8.3997000000000002E-2</v>
      </c>
      <c r="K127" s="19">
        <v>250</v>
      </c>
      <c r="L127" s="6">
        <v>20</v>
      </c>
      <c r="M127" s="7">
        <f t="shared" si="29"/>
        <v>5000</v>
      </c>
      <c r="N127" s="8">
        <v>8</v>
      </c>
      <c r="O127" s="6">
        <v>3</v>
      </c>
      <c r="P127" s="6">
        <f t="shared" si="36"/>
        <v>24</v>
      </c>
      <c r="Q127" s="8">
        <f t="shared" si="37"/>
        <v>120000</v>
      </c>
      <c r="R127" s="6">
        <v>14.5</v>
      </c>
      <c r="S127" s="6" t="s">
        <v>57</v>
      </c>
      <c r="T127" s="6"/>
      <c r="U127" s="6"/>
      <c r="V127" s="6"/>
      <c r="W127" s="9"/>
      <c r="X127" s="6"/>
      <c r="Y127" s="9">
        <f t="shared" si="30"/>
        <v>0</v>
      </c>
      <c r="Z127" s="10">
        <f t="shared" si="31"/>
        <v>0</v>
      </c>
      <c r="AA127" s="10">
        <f t="shared" si="32"/>
        <v>0</v>
      </c>
      <c r="AB127" s="11">
        <f t="shared" si="33"/>
        <v>0</v>
      </c>
      <c r="AC127" s="11">
        <f t="shared" si="34"/>
        <v>0</v>
      </c>
      <c r="AD127" s="11" t="s">
        <v>59</v>
      </c>
    </row>
    <row r="128" spans="1:30" s="1" customFormat="1" ht="17.100000000000001" customHeight="1">
      <c r="A128" s="2">
        <v>126</v>
      </c>
      <c r="B128" s="3" t="s">
        <v>300</v>
      </c>
      <c r="C128" s="3" t="s">
        <v>301</v>
      </c>
      <c r="D128" s="4">
        <v>30</v>
      </c>
      <c r="E128" s="4">
        <v>26</v>
      </c>
      <c r="F128" s="4">
        <v>5</v>
      </c>
      <c r="G128" s="4">
        <v>63.5</v>
      </c>
      <c r="H128" s="4">
        <v>40</v>
      </c>
      <c r="I128" s="4">
        <v>28</v>
      </c>
      <c r="J128" s="5">
        <f t="shared" si="35"/>
        <v>7.1120000000000003E-2</v>
      </c>
      <c r="K128" s="19">
        <v>250</v>
      </c>
      <c r="L128" s="6">
        <v>20</v>
      </c>
      <c r="M128" s="7">
        <f t="shared" si="29"/>
        <v>5000</v>
      </c>
      <c r="N128" s="8">
        <v>8</v>
      </c>
      <c r="O128" s="6">
        <v>3</v>
      </c>
      <c r="P128" s="6">
        <f t="shared" si="36"/>
        <v>24</v>
      </c>
      <c r="Q128" s="8">
        <f t="shared" si="37"/>
        <v>120000</v>
      </c>
      <c r="R128" s="6">
        <v>8.6</v>
      </c>
      <c r="S128" s="6" t="s">
        <v>57</v>
      </c>
      <c r="T128" s="6"/>
      <c r="U128" s="6"/>
      <c r="V128" s="6"/>
      <c r="W128" s="9"/>
      <c r="X128" s="6" t="s">
        <v>58</v>
      </c>
      <c r="Y128" s="9">
        <f t="shared" si="30"/>
        <v>0</v>
      </c>
      <c r="Z128" s="10">
        <f t="shared" si="31"/>
        <v>0</v>
      </c>
      <c r="AA128" s="10">
        <f t="shared" si="32"/>
        <v>0</v>
      </c>
      <c r="AB128" s="11">
        <f t="shared" si="33"/>
        <v>0</v>
      </c>
      <c r="AC128" s="11">
        <f t="shared" si="34"/>
        <v>0</v>
      </c>
      <c r="AD128" s="11" t="s">
        <v>59</v>
      </c>
    </row>
    <row r="129" spans="1:30" s="1" customFormat="1" ht="17.100000000000001" customHeight="1">
      <c r="A129" s="2">
        <v>127</v>
      </c>
      <c r="B129" s="3" t="s">
        <v>302</v>
      </c>
      <c r="C129" s="3" t="s">
        <v>303</v>
      </c>
      <c r="D129" s="4">
        <v>30</v>
      </c>
      <c r="E129" s="4">
        <v>26</v>
      </c>
      <c r="F129" s="4">
        <v>5</v>
      </c>
      <c r="G129" s="4">
        <v>63.5</v>
      </c>
      <c r="H129" s="4">
        <v>40</v>
      </c>
      <c r="I129" s="4">
        <v>28</v>
      </c>
      <c r="J129" s="5">
        <f t="shared" si="35"/>
        <v>7.1120000000000003E-2</v>
      </c>
      <c r="K129" s="19">
        <v>250</v>
      </c>
      <c r="L129" s="6">
        <v>20</v>
      </c>
      <c r="M129" s="7">
        <f t="shared" si="29"/>
        <v>5000</v>
      </c>
      <c r="N129" s="8">
        <v>8</v>
      </c>
      <c r="O129" s="6">
        <v>3</v>
      </c>
      <c r="P129" s="6">
        <f t="shared" si="36"/>
        <v>24</v>
      </c>
      <c r="Q129" s="8">
        <f t="shared" si="37"/>
        <v>120000</v>
      </c>
      <c r="R129" s="6">
        <v>8.6</v>
      </c>
      <c r="S129" s="6" t="s">
        <v>57</v>
      </c>
      <c r="T129" s="6"/>
      <c r="U129" s="6"/>
      <c r="V129" s="6"/>
      <c r="W129" s="9"/>
      <c r="X129" s="6"/>
      <c r="Y129" s="9">
        <f t="shared" si="30"/>
        <v>0</v>
      </c>
      <c r="Z129" s="10">
        <f t="shared" si="31"/>
        <v>0</v>
      </c>
      <c r="AA129" s="10">
        <f t="shared" si="32"/>
        <v>0</v>
      </c>
      <c r="AB129" s="11">
        <f t="shared" si="33"/>
        <v>0</v>
      </c>
      <c r="AC129" s="11">
        <f t="shared" si="34"/>
        <v>0</v>
      </c>
      <c r="AD129" s="11" t="s">
        <v>59</v>
      </c>
    </row>
    <row r="130" spans="1:30" s="1" customFormat="1" ht="17.100000000000001" customHeight="1">
      <c r="A130" s="2">
        <v>128</v>
      </c>
      <c r="B130" s="3" t="s">
        <v>304</v>
      </c>
      <c r="C130" s="3" t="s">
        <v>305</v>
      </c>
      <c r="D130" s="4">
        <v>30</v>
      </c>
      <c r="E130" s="4">
        <v>26</v>
      </c>
      <c r="F130" s="4">
        <v>5</v>
      </c>
      <c r="G130" s="4">
        <v>63.5</v>
      </c>
      <c r="H130" s="4">
        <v>40</v>
      </c>
      <c r="I130" s="4">
        <v>28</v>
      </c>
      <c r="J130" s="5">
        <f t="shared" si="35"/>
        <v>7.1120000000000003E-2</v>
      </c>
      <c r="K130" s="19">
        <v>250</v>
      </c>
      <c r="L130" s="6">
        <v>20</v>
      </c>
      <c r="M130" s="7">
        <f t="shared" si="29"/>
        <v>5000</v>
      </c>
      <c r="N130" s="8">
        <v>8</v>
      </c>
      <c r="O130" s="6">
        <v>3</v>
      </c>
      <c r="P130" s="6">
        <f t="shared" si="36"/>
        <v>24</v>
      </c>
      <c r="Q130" s="8">
        <f t="shared" si="37"/>
        <v>120000</v>
      </c>
      <c r="R130" s="6">
        <v>8.6</v>
      </c>
      <c r="S130" s="6" t="s">
        <v>57</v>
      </c>
      <c r="T130" s="6"/>
      <c r="U130" s="6"/>
      <c r="V130" s="6"/>
      <c r="W130" s="9"/>
      <c r="X130" s="6"/>
      <c r="Y130" s="9">
        <f t="shared" si="30"/>
        <v>0</v>
      </c>
      <c r="Z130" s="10">
        <f t="shared" si="31"/>
        <v>0</v>
      </c>
      <c r="AA130" s="10">
        <f t="shared" si="32"/>
        <v>0</v>
      </c>
      <c r="AB130" s="11">
        <f t="shared" si="33"/>
        <v>0</v>
      </c>
      <c r="AC130" s="11">
        <f t="shared" si="34"/>
        <v>0</v>
      </c>
      <c r="AD130" s="11" t="s">
        <v>59</v>
      </c>
    </row>
    <row r="131" spans="1:30" s="1" customFormat="1" ht="17.100000000000001" customHeight="1">
      <c r="A131" s="2">
        <v>129</v>
      </c>
      <c r="B131" s="3" t="s">
        <v>306</v>
      </c>
      <c r="C131" s="3" t="s">
        <v>307</v>
      </c>
      <c r="D131" s="4">
        <v>30</v>
      </c>
      <c r="E131" s="4">
        <v>26</v>
      </c>
      <c r="F131" s="4">
        <v>5</v>
      </c>
      <c r="G131" s="4">
        <v>61</v>
      </c>
      <c r="H131" s="4">
        <v>27.5</v>
      </c>
      <c r="I131" s="4">
        <v>51</v>
      </c>
      <c r="J131" s="5">
        <f t="shared" si="35"/>
        <v>8.5552500000000004E-2</v>
      </c>
      <c r="K131" s="19">
        <v>250</v>
      </c>
      <c r="L131" s="6">
        <v>20</v>
      </c>
      <c r="M131" s="7">
        <f t="shared" si="29"/>
        <v>5000</v>
      </c>
      <c r="N131" s="8">
        <v>8</v>
      </c>
      <c r="O131" s="6">
        <v>3</v>
      </c>
      <c r="P131" s="6">
        <f t="shared" si="36"/>
        <v>24</v>
      </c>
      <c r="Q131" s="8">
        <f t="shared" si="37"/>
        <v>120000</v>
      </c>
      <c r="R131" s="6">
        <v>11</v>
      </c>
      <c r="S131" s="6" t="s">
        <v>57</v>
      </c>
      <c r="T131" s="6"/>
      <c r="U131" s="6"/>
      <c r="V131" s="6"/>
      <c r="W131" s="9"/>
      <c r="X131" s="6"/>
      <c r="Y131" s="9">
        <f t="shared" si="30"/>
        <v>0</v>
      </c>
      <c r="Z131" s="10">
        <f t="shared" si="31"/>
        <v>0</v>
      </c>
      <c r="AA131" s="10">
        <f t="shared" si="32"/>
        <v>0</v>
      </c>
      <c r="AB131" s="11">
        <f t="shared" si="33"/>
        <v>0</v>
      </c>
      <c r="AC131" s="11">
        <f t="shared" si="34"/>
        <v>0</v>
      </c>
      <c r="AD131" s="11" t="s">
        <v>59</v>
      </c>
    </row>
    <row r="132" spans="1:30" s="1" customFormat="1" ht="17.100000000000001" customHeight="1">
      <c r="A132" s="2">
        <v>130</v>
      </c>
      <c r="B132" s="3" t="s">
        <v>308</v>
      </c>
      <c r="C132" s="3" t="s">
        <v>309</v>
      </c>
      <c r="D132" s="4">
        <v>30</v>
      </c>
      <c r="E132" s="4">
        <v>26</v>
      </c>
      <c r="F132" s="4">
        <v>5</v>
      </c>
      <c r="G132" s="4">
        <v>61</v>
      </c>
      <c r="H132" s="4">
        <v>27.5</v>
      </c>
      <c r="I132" s="4">
        <v>51</v>
      </c>
      <c r="J132" s="5">
        <f t="shared" si="35"/>
        <v>8.5552500000000004E-2</v>
      </c>
      <c r="K132" s="19">
        <v>250</v>
      </c>
      <c r="L132" s="6">
        <v>20</v>
      </c>
      <c r="M132" s="7">
        <f t="shared" si="29"/>
        <v>5000</v>
      </c>
      <c r="N132" s="8">
        <v>8</v>
      </c>
      <c r="O132" s="6">
        <v>3</v>
      </c>
      <c r="P132" s="6">
        <f t="shared" si="36"/>
        <v>24</v>
      </c>
      <c r="Q132" s="8">
        <f t="shared" si="37"/>
        <v>120000</v>
      </c>
      <c r="R132" s="6">
        <v>11</v>
      </c>
      <c r="S132" s="6" t="s">
        <v>57</v>
      </c>
      <c r="T132" s="6"/>
      <c r="U132" s="6"/>
      <c r="V132" s="6"/>
      <c r="W132" s="9"/>
      <c r="X132" s="6"/>
      <c r="Y132" s="9">
        <f t="shared" si="30"/>
        <v>0</v>
      </c>
      <c r="Z132" s="10">
        <f t="shared" si="31"/>
        <v>0</v>
      </c>
      <c r="AA132" s="10">
        <f t="shared" si="32"/>
        <v>0</v>
      </c>
      <c r="AB132" s="11">
        <f t="shared" si="33"/>
        <v>0</v>
      </c>
      <c r="AC132" s="11">
        <f t="shared" si="34"/>
        <v>0</v>
      </c>
      <c r="AD132" s="11" t="s">
        <v>59</v>
      </c>
    </row>
    <row r="133" spans="1:30" s="1" customFormat="1" ht="17.100000000000001" customHeight="1">
      <c r="A133" s="2">
        <v>131</v>
      </c>
      <c r="B133" s="3" t="s">
        <v>310</v>
      </c>
      <c r="C133" s="3" t="s">
        <v>311</v>
      </c>
      <c r="D133" s="4">
        <v>30</v>
      </c>
      <c r="E133" s="4">
        <v>26</v>
      </c>
      <c r="F133" s="4">
        <v>5</v>
      </c>
      <c r="G133" s="4">
        <v>61</v>
      </c>
      <c r="H133" s="4">
        <v>27.5</v>
      </c>
      <c r="I133" s="4">
        <v>51</v>
      </c>
      <c r="J133" s="5">
        <f t="shared" si="35"/>
        <v>8.5552500000000004E-2</v>
      </c>
      <c r="K133" s="19">
        <v>250</v>
      </c>
      <c r="L133" s="6">
        <v>20</v>
      </c>
      <c r="M133" s="7">
        <f t="shared" si="29"/>
        <v>5000</v>
      </c>
      <c r="N133" s="8">
        <v>8</v>
      </c>
      <c r="O133" s="6">
        <v>3</v>
      </c>
      <c r="P133" s="6">
        <f t="shared" si="36"/>
        <v>24</v>
      </c>
      <c r="Q133" s="8">
        <f t="shared" si="37"/>
        <v>120000</v>
      </c>
      <c r="R133" s="6">
        <v>11</v>
      </c>
      <c r="S133" s="6" t="s">
        <v>57</v>
      </c>
      <c r="T133" s="6"/>
      <c r="U133" s="6"/>
      <c r="V133" s="6"/>
      <c r="W133" s="9"/>
      <c r="X133" s="6"/>
      <c r="Y133" s="9">
        <f t="shared" si="30"/>
        <v>0</v>
      </c>
      <c r="Z133" s="10">
        <f t="shared" si="31"/>
        <v>0</v>
      </c>
      <c r="AA133" s="10">
        <f t="shared" si="32"/>
        <v>0</v>
      </c>
      <c r="AB133" s="11">
        <f t="shared" si="33"/>
        <v>0</v>
      </c>
      <c r="AC133" s="11">
        <f t="shared" si="34"/>
        <v>0</v>
      </c>
      <c r="AD133" s="11" t="s">
        <v>59</v>
      </c>
    </row>
    <row r="134" spans="1:30" s="1" customFormat="1" ht="17.100000000000001" customHeight="1">
      <c r="A134" s="2">
        <v>132</v>
      </c>
      <c r="B134" s="3" t="s">
        <v>312</v>
      </c>
      <c r="C134" s="3" t="s">
        <v>313</v>
      </c>
      <c r="D134" s="4"/>
      <c r="E134" s="4"/>
      <c r="F134" s="4"/>
      <c r="G134" s="4"/>
      <c r="H134" s="4"/>
      <c r="I134" s="4"/>
      <c r="J134" s="5">
        <f t="shared" si="35"/>
        <v>0</v>
      </c>
      <c r="K134" s="6"/>
      <c r="L134" s="6"/>
      <c r="M134" s="7">
        <f t="shared" si="29"/>
        <v>0</v>
      </c>
      <c r="N134" s="8"/>
      <c r="O134" s="6"/>
      <c r="P134" s="6">
        <f t="shared" si="36"/>
        <v>0</v>
      </c>
      <c r="Q134" s="8">
        <f t="shared" si="37"/>
        <v>0</v>
      </c>
      <c r="R134" s="6"/>
      <c r="S134" s="6" t="s">
        <v>80</v>
      </c>
      <c r="T134" s="6"/>
      <c r="U134" s="6"/>
      <c r="V134" s="6"/>
      <c r="W134" s="9"/>
      <c r="X134" s="6"/>
      <c r="Y134" s="9" t="e">
        <f t="shared" si="30"/>
        <v>#DIV/0!</v>
      </c>
      <c r="Z134" s="10" t="e">
        <f t="shared" si="31"/>
        <v>#DIV/0!</v>
      </c>
      <c r="AA134" s="10" t="e">
        <f t="shared" si="32"/>
        <v>#DIV/0!</v>
      </c>
      <c r="AB134" s="11" t="e">
        <f t="shared" si="33"/>
        <v>#DIV/0!</v>
      </c>
      <c r="AC134" s="11" t="e">
        <f t="shared" si="34"/>
        <v>#DIV/0!</v>
      </c>
      <c r="AD134" s="11" t="s">
        <v>59</v>
      </c>
    </row>
    <row r="135" spans="1:30" s="1" customFormat="1" ht="17.100000000000001" customHeight="1">
      <c r="A135" s="2">
        <v>133</v>
      </c>
      <c r="B135" s="3" t="s">
        <v>314</v>
      </c>
      <c r="C135" s="3" t="s">
        <v>315</v>
      </c>
      <c r="D135" s="4"/>
      <c r="E135" s="4"/>
      <c r="F135" s="4"/>
      <c r="G135" s="4"/>
      <c r="H135" s="4"/>
      <c r="I135" s="4"/>
      <c r="J135" s="5">
        <f t="shared" si="35"/>
        <v>0</v>
      </c>
      <c r="K135" s="6"/>
      <c r="L135" s="6"/>
      <c r="M135" s="7">
        <f t="shared" si="29"/>
        <v>0</v>
      </c>
      <c r="N135" s="8"/>
      <c r="O135" s="6"/>
      <c r="P135" s="6">
        <f t="shared" si="36"/>
        <v>0</v>
      </c>
      <c r="Q135" s="8">
        <f t="shared" si="37"/>
        <v>0</v>
      </c>
      <c r="R135" s="6"/>
      <c r="S135" s="6" t="s">
        <v>80</v>
      </c>
      <c r="T135" s="6"/>
      <c r="U135" s="6"/>
      <c r="V135" s="6"/>
      <c r="W135" s="9"/>
      <c r="X135" s="6"/>
      <c r="Y135" s="9" t="e">
        <f t="shared" si="30"/>
        <v>#DIV/0!</v>
      </c>
      <c r="Z135" s="10" t="e">
        <f t="shared" si="31"/>
        <v>#DIV/0!</v>
      </c>
      <c r="AA135" s="10" t="e">
        <f t="shared" si="32"/>
        <v>#DIV/0!</v>
      </c>
      <c r="AB135" s="11" t="e">
        <f t="shared" si="33"/>
        <v>#DIV/0!</v>
      </c>
      <c r="AC135" s="11" t="e">
        <f t="shared" si="34"/>
        <v>#DIV/0!</v>
      </c>
      <c r="AD135" s="11" t="s">
        <v>59</v>
      </c>
    </row>
    <row r="136" spans="1:30" s="1" customFormat="1" ht="17.100000000000001" customHeight="1">
      <c r="A136" s="2">
        <v>134</v>
      </c>
      <c r="B136" s="3" t="s">
        <v>316</v>
      </c>
      <c r="C136" s="3" t="s">
        <v>317</v>
      </c>
      <c r="D136" s="4"/>
      <c r="E136" s="4"/>
      <c r="F136" s="4"/>
      <c r="G136" s="4"/>
      <c r="H136" s="4"/>
      <c r="I136" s="4"/>
      <c r="J136" s="5">
        <f t="shared" si="35"/>
        <v>0</v>
      </c>
      <c r="K136" s="6"/>
      <c r="L136" s="6"/>
      <c r="M136" s="7">
        <f t="shared" si="29"/>
        <v>0</v>
      </c>
      <c r="N136" s="8"/>
      <c r="O136" s="6"/>
      <c r="P136" s="6">
        <f t="shared" si="36"/>
        <v>0</v>
      </c>
      <c r="Q136" s="8">
        <f t="shared" si="37"/>
        <v>0</v>
      </c>
      <c r="R136" s="6"/>
      <c r="S136" s="6" t="s">
        <v>80</v>
      </c>
      <c r="T136" s="6"/>
      <c r="U136" s="6"/>
      <c r="V136" s="6"/>
      <c r="W136" s="9"/>
      <c r="X136" s="6"/>
      <c r="Y136" s="9" t="e">
        <f t="shared" si="30"/>
        <v>#DIV/0!</v>
      </c>
      <c r="Z136" s="10" t="e">
        <f t="shared" si="31"/>
        <v>#DIV/0!</v>
      </c>
      <c r="AA136" s="10" t="e">
        <f t="shared" si="32"/>
        <v>#DIV/0!</v>
      </c>
      <c r="AB136" s="11" t="e">
        <f t="shared" si="33"/>
        <v>#DIV/0!</v>
      </c>
      <c r="AC136" s="11" t="e">
        <f t="shared" si="34"/>
        <v>#DIV/0!</v>
      </c>
      <c r="AD136" s="11" t="s">
        <v>59</v>
      </c>
    </row>
    <row r="137" spans="1:30" s="1" customFormat="1" ht="17.100000000000001" customHeight="1">
      <c r="A137" s="2">
        <v>135</v>
      </c>
      <c r="B137" s="3" t="s">
        <v>318</v>
      </c>
      <c r="C137" s="3" t="s">
        <v>319</v>
      </c>
      <c r="D137" s="4">
        <v>38.5</v>
      </c>
      <c r="E137" s="4">
        <v>28.5</v>
      </c>
      <c r="F137" s="4">
        <v>5</v>
      </c>
      <c r="G137" s="4">
        <v>38.5</v>
      </c>
      <c r="H137" s="4">
        <v>28</v>
      </c>
      <c r="I137" s="4">
        <v>5</v>
      </c>
      <c r="J137" s="5">
        <f t="shared" si="35"/>
        <v>5.3899999999999998E-3</v>
      </c>
      <c r="K137" s="19">
        <v>250</v>
      </c>
      <c r="L137" s="6">
        <v>20</v>
      </c>
      <c r="M137" s="7">
        <f t="shared" si="29"/>
        <v>5000</v>
      </c>
      <c r="N137" s="8">
        <v>5</v>
      </c>
      <c r="O137" s="6">
        <v>3</v>
      </c>
      <c r="P137" s="6">
        <f t="shared" si="36"/>
        <v>15</v>
      </c>
      <c r="Q137" s="8">
        <f t="shared" si="37"/>
        <v>75000</v>
      </c>
      <c r="R137" s="6">
        <v>13.9</v>
      </c>
      <c r="S137" s="6" t="s">
        <v>57</v>
      </c>
      <c r="T137" s="6"/>
      <c r="U137" s="6"/>
      <c r="V137" s="6"/>
      <c r="W137" s="9"/>
      <c r="X137" s="6"/>
      <c r="Y137" s="9">
        <f t="shared" ref="Y137:Y200" si="38">R137/M137*W137</f>
        <v>0</v>
      </c>
      <c r="Z137" s="10">
        <f t="shared" ref="Z137:Z200" si="39">(G137*H137*I137/4000)*(W137/M137)</f>
        <v>0</v>
      </c>
      <c r="AA137" s="10">
        <f t="shared" ref="AA137:AA200" si="40">(G137*H137*I137/6000)*(W137/M137)</f>
        <v>0</v>
      </c>
      <c r="AB137" s="11">
        <f t="shared" ref="AB137:AB200" si="41">(G137*H137*I137/1000000)*(W137/M137)</f>
        <v>0</v>
      </c>
      <c r="AC137" s="11">
        <f t="shared" ref="AC137:AC200" si="42">ROUNDUP(W137/M137,0)</f>
        <v>0</v>
      </c>
      <c r="AD137" s="11" t="s">
        <v>59</v>
      </c>
    </row>
    <row r="138" spans="1:30" s="1" customFormat="1" ht="17.100000000000001" customHeight="1">
      <c r="A138" s="2">
        <v>136</v>
      </c>
      <c r="B138" s="3" t="s">
        <v>320</v>
      </c>
      <c r="C138" s="3" t="s">
        <v>321</v>
      </c>
      <c r="D138" s="4">
        <v>38.5</v>
      </c>
      <c r="E138" s="4">
        <v>28.5</v>
      </c>
      <c r="F138" s="4">
        <v>5</v>
      </c>
      <c r="G138" s="4">
        <v>38.5</v>
      </c>
      <c r="H138" s="4">
        <v>28</v>
      </c>
      <c r="I138" s="4">
        <v>5</v>
      </c>
      <c r="J138" s="5">
        <f t="shared" si="35"/>
        <v>5.3899999999999998E-3</v>
      </c>
      <c r="K138" s="19">
        <v>250</v>
      </c>
      <c r="L138" s="6">
        <v>20</v>
      </c>
      <c r="M138" s="7">
        <f t="shared" si="29"/>
        <v>5000</v>
      </c>
      <c r="N138" s="8">
        <v>5</v>
      </c>
      <c r="O138" s="6">
        <v>3</v>
      </c>
      <c r="P138" s="6">
        <f t="shared" si="36"/>
        <v>15</v>
      </c>
      <c r="Q138" s="8">
        <f t="shared" si="37"/>
        <v>75000</v>
      </c>
      <c r="R138" s="6">
        <v>13.9</v>
      </c>
      <c r="S138" s="6" t="s">
        <v>57</v>
      </c>
      <c r="T138" s="6"/>
      <c r="U138" s="6"/>
      <c r="V138" s="6"/>
      <c r="W138" s="9"/>
      <c r="X138" s="6"/>
      <c r="Y138" s="9">
        <f t="shared" si="38"/>
        <v>0</v>
      </c>
      <c r="Z138" s="10">
        <f t="shared" si="39"/>
        <v>0</v>
      </c>
      <c r="AA138" s="10">
        <f t="shared" si="40"/>
        <v>0</v>
      </c>
      <c r="AB138" s="11">
        <f t="shared" si="41"/>
        <v>0</v>
      </c>
      <c r="AC138" s="11">
        <f t="shared" si="42"/>
        <v>0</v>
      </c>
      <c r="AD138" s="11" t="s">
        <v>59</v>
      </c>
    </row>
    <row r="139" spans="1:30" s="1" customFormat="1" ht="17.100000000000001" customHeight="1">
      <c r="A139" s="2">
        <v>137</v>
      </c>
      <c r="B139" s="3" t="s">
        <v>322</v>
      </c>
      <c r="C139" s="3" t="s">
        <v>323</v>
      </c>
      <c r="D139" s="4">
        <v>38.5</v>
      </c>
      <c r="E139" s="4">
        <v>28.5</v>
      </c>
      <c r="F139" s="4">
        <v>5</v>
      </c>
      <c r="G139" s="4">
        <v>38.5</v>
      </c>
      <c r="H139" s="4">
        <v>28</v>
      </c>
      <c r="I139" s="4">
        <v>5</v>
      </c>
      <c r="J139" s="5">
        <f t="shared" si="35"/>
        <v>5.3899999999999998E-3</v>
      </c>
      <c r="K139" s="19">
        <v>250</v>
      </c>
      <c r="L139" s="6">
        <v>20</v>
      </c>
      <c r="M139" s="7">
        <f t="shared" si="29"/>
        <v>5000</v>
      </c>
      <c r="N139" s="8">
        <v>5</v>
      </c>
      <c r="O139" s="6">
        <v>3</v>
      </c>
      <c r="P139" s="6">
        <f t="shared" si="36"/>
        <v>15</v>
      </c>
      <c r="Q139" s="8">
        <f t="shared" si="37"/>
        <v>75000</v>
      </c>
      <c r="R139" s="6">
        <v>13.9</v>
      </c>
      <c r="S139" s="6" t="s">
        <v>57</v>
      </c>
      <c r="T139" s="6"/>
      <c r="U139" s="6"/>
      <c r="V139" s="6"/>
      <c r="W139" s="9"/>
      <c r="X139" s="6"/>
      <c r="Y139" s="9">
        <f t="shared" si="38"/>
        <v>0</v>
      </c>
      <c r="Z139" s="10">
        <f t="shared" si="39"/>
        <v>0</v>
      </c>
      <c r="AA139" s="10">
        <f t="shared" si="40"/>
        <v>0</v>
      </c>
      <c r="AB139" s="11">
        <f t="shared" si="41"/>
        <v>0</v>
      </c>
      <c r="AC139" s="11">
        <f t="shared" si="42"/>
        <v>0</v>
      </c>
      <c r="AD139" s="11" t="s">
        <v>59</v>
      </c>
    </row>
    <row r="140" spans="1:30" s="1" customFormat="1" ht="17.100000000000001" customHeight="1">
      <c r="A140" s="2">
        <v>138</v>
      </c>
      <c r="B140" s="3" t="s">
        <v>324</v>
      </c>
      <c r="C140" s="3" t="s">
        <v>325</v>
      </c>
      <c r="D140" s="4"/>
      <c r="E140" s="4"/>
      <c r="F140" s="4"/>
      <c r="G140" s="4"/>
      <c r="H140" s="4"/>
      <c r="I140" s="4"/>
      <c r="J140" s="5"/>
      <c r="K140" s="19"/>
      <c r="L140" s="6"/>
      <c r="M140" s="7">
        <f t="shared" si="29"/>
        <v>0</v>
      </c>
      <c r="N140" s="8"/>
      <c r="O140" s="6"/>
      <c r="P140" s="6">
        <f t="shared" si="36"/>
        <v>0</v>
      </c>
      <c r="Q140" s="8">
        <f t="shared" si="37"/>
        <v>0</v>
      </c>
      <c r="R140" s="6"/>
      <c r="S140" s="6" t="s">
        <v>80</v>
      </c>
      <c r="T140" s="6"/>
      <c r="U140" s="6"/>
      <c r="V140" s="6"/>
      <c r="W140" s="9"/>
      <c r="X140" s="6"/>
      <c r="Y140" s="9" t="e">
        <f t="shared" si="38"/>
        <v>#DIV/0!</v>
      </c>
      <c r="Z140" s="10" t="e">
        <f t="shared" si="39"/>
        <v>#DIV/0!</v>
      </c>
      <c r="AA140" s="10" t="e">
        <f t="shared" si="40"/>
        <v>#DIV/0!</v>
      </c>
      <c r="AB140" s="11" t="e">
        <f t="shared" si="41"/>
        <v>#DIV/0!</v>
      </c>
      <c r="AC140" s="11" t="e">
        <f t="shared" si="42"/>
        <v>#DIV/0!</v>
      </c>
      <c r="AD140" s="11" t="s">
        <v>59</v>
      </c>
    </row>
    <row r="141" spans="1:30" s="1" customFormat="1" ht="17.100000000000001" customHeight="1">
      <c r="A141" s="2">
        <v>139</v>
      </c>
      <c r="B141" s="3" t="s">
        <v>326</v>
      </c>
      <c r="C141" s="3" t="s">
        <v>327</v>
      </c>
      <c r="D141" s="4"/>
      <c r="E141" s="4"/>
      <c r="F141" s="4"/>
      <c r="G141" s="4"/>
      <c r="H141" s="4"/>
      <c r="I141" s="4"/>
      <c r="J141" s="5"/>
      <c r="K141" s="19"/>
      <c r="L141" s="6"/>
      <c r="M141" s="7">
        <f t="shared" si="29"/>
        <v>0</v>
      </c>
      <c r="N141" s="8"/>
      <c r="O141" s="6"/>
      <c r="P141" s="6">
        <f t="shared" si="36"/>
        <v>0</v>
      </c>
      <c r="Q141" s="8">
        <f t="shared" si="37"/>
        <v>0</v>
      </c>
      <c r="R141" s="6"/>
      <c r="S141" s="6" t="s">
        <v>80</v>
      </c>
      <c r="T141" s="6"/>
      <c r="U141" s="6"/>
      <c r="V141" s="6"/>
      <c r="W141" s="9"/>
      <c r="X141" s="6"/>
      <c r="Y141" s="9" t="e">
        <f t="shared" si="38"/>
        <v>#DIV/0!</v>
      </c>
      <c r="Z141" s="10" t="e">
        <f t="shared" si="39"/>
        <v>#DIV/0!</v>
      </c>
      <c r="AA141" s="10" t="e">
        <f t="shared" si="40"/>
        <v>#DIV/0!</v>
      </c>
      <c r="AB141" s="11" t="e">
        <f t="shared" si="41"/>
        <v>#DIV/0!</v>
      </c>
      <c r="AC141" s="11" t="e">
        <f t="shared" si="42"/>
        <v>#DIV/0!</v>
      </c>
      <c r="AD141" s="11" t="s">
        <v>59</v>
      </c>
    </row>
    <row r="142" spans="1:30" s="1" customFormat="1" ht="17.100000000000001" customHeight="1">
      <c r="A142" s="2">
        <v>140</v>
      </c>
      <c r="B142" s="3" t="s">
        <v>328</v>
      </c>
      <c r="C142" s="3" t="s">
        <v>329</v>
      </c>
      <c r="D142" s="4">
        <v>39</v>
      </c>
      <c r="E142" s="4">
        <v>28</v>
      </c>
      <c r="F142" s="4">
        <v>5</v>
      </c>
      <c r="G142" s="4">
        <v>56</v>
      </c>
      <c r="H142" s="4">
        <v>38</v>
      </c>
      <c r="I142" s="4">
        <v>49</v>
      </c>
      <c r="J142" s="5">
        <f t="shared" ref="J142:J158" si="43">(G142*H142*I142)/1000000</f>
        <v>0.104272</v>
      </c>
      <c r="K142" s="19">
        <v>250</v>
      </c>
      <c r="L142" s="6">
        <v>20</v>
      </c>
      <c r="M142" s="7">
        <f t="shared" si="29"/>
        <v>5000</v>
      </c>
      <c r="N142" s="8">
        <v>5</v>
      </c>
      <c r="O142" s="6">
        <v>3</v>
      </c>
      <c r="P142" s="6">
        <f t="shared" si="36"/>
        <v>15</v>
      </c>
      <c r="Q142" s="8">
        <f t="shared" si="37"/>
        <v>75000</v>
      </c>
      <c r="R142" s="6">
        <v>18.2</v>
      </c>
      <c r="S142" s="6" t="s">
        <v>57</v>
      </c>
      <c r="T142" s="6"/>
      <c r="U142" s="6"/>
      <c r="V142" s="6"/>
      <c r="W142" s="9"/>
      <c r="X142" s="6"/>
      <c r="Y142" s="9">
        <f t="shared" si="38"/>
        <v>0</v>
      </c>
      <c r="Z142" s="10">
        <f t="shared" si="39"/>
        <v>0</v>
      </c>
      <c r="AA142" s="10">
        <f t="shared" si="40"/>
        <v>0</v>
      </c>
      <c r="AB142" s="11">
        <f t="shared" si="41"/>
        <v>0</v>
      </c>
      <c r="AC142" s="11">
        <f t="shared" si="42"/>
        <v>0</v>
      </c>
      <c r="AD142" s="11" t="s">
        <v>59</v>
      </c>
    </row>
    <row r="143" spans="1:30" s="1" customFormat="1" ht="17.100000000000001" customHeight="1">
      <c r="A143" s="2">
        <v>141</v>
      </c>
      <c r="B143" s="3" t="s">
        <v>330</v>
      </c>
      <c r="C143" s="3" t="s">
        <v>331</v>
      </c>
      <c r="D143" s="4">
        <v>39</v>
      </c>
      <c r="E143" s="4">
        <v>28</v>
      </c>
      <c r="F143" s="4">
        <v>5</v>
      </c>
      <c r="G143" s="4">
        <v>56</v>
      </c>
      <c r="H143" s="4">
        <v>38</v>
      </c>
      <c r="I143" s="4">
        <v>49</v>
      </c>
      <c r="J143" s="5">
        <f t="shared" si="43"/>
        <v>0.104272</v>
      </c>
      <c r="K143" s="19">
        <v>250</v>
      </c>
      <c r="L143" s="6">
        <v>20</v>
      </c>
      <c r="M143" s="7">
        <f t="shared" si="29"/>
        <v>5000</v>
      </c>
      <c r="N143" s="8">
        <v>5</v>
      </c>
      <c r="O143" s="6">
        <v>3</v>
      </c>
      <c r="P143" s="6">
        <f t="shared" si="36"/>
        <v>15</v>
      </c>
      <c r="Q143" s="8">
        <f t="shared" si="37"/>
        <v>75000</v>
      </c>
      <c r="R143" s="6">
        <v>18.2</v>
      </c>
      <c r="S143" s="6" t="s">
        <v>57</v>
      </c>
      <c r="T143" s="6"/>
      <c r="U143" s="6"/>
      <c r="V143" s="6"/>
      <c r="W143" s="9"/>
      <c r="X143" s="6"/>
      <c r="Y143" s="9">
        <f t="shared" si="38"/>
        <v>0</v>
      </c>
      <c r="Z143" s="10">
        <f t="shared" si="39"/>
        <v>0</v>
      </c>
      <c r="AA143" s="10">
        <f t="shared" si="40"/>
        <v>0</v>
      </c>
      <c r="AB143" s="11">
        <f t="shared" si="41"/>
        <v>0</v>
      </c>
      <c r="AC143" s="11">
        <f t="shared" si="42"/>
        <v>0</v>
      </c>
      <c r="AD143" s="11" t="s">
        <v>59</v>
      </c>
    </row>
    <row r="144" spans="1:30" s="1" customFormat="1" ht="17.100000000000001" customHeight="1">
      <c r="A144" s="2">
        <v>142</v>
      </c>
      <c r="B144" s="3" t="s">
        <v>332</v>
      </c>
      <c r="C144" s="3" t="s">
        <v>333</v>
      </c>
      <c r="D144" s="4">
        <v>39</v>
      </c>
      <c r="E144" s="4">
        <v>28</v>
      </c>
      <c r="F144" s="4">
        <v>5</v>
      </c>
      <c r="G144" s="4">
        <v>56</v>
      </c>
      <c r="H144" s="4">
        <v>38</v>
      </c>
      <c r="I144" s="4">
        <v>49</v>
      </c>
      <c r="J144" s="5">
        <f t="shared" si="43"/>
        <v>0.104272</v>
      </c>
      <c r="K144" s="19">
        <v>250</v>
      </c>
      <c r="L144" s="6">
        <v>20</v>
      </c>
      <c r="M144" s="7">
        <f t="shared" si="29"/>
        <v>5000</v>
      </c>
      <c r="N144" s="8">
        <v>5</v>
      </c>
      <c r="O144" s="6">
        <v>3</v>
      </c>
      <c r="P144" s="6">
        <f t="shared" si="36"/>
        <v>15</v>
      </c>
      <c r="Q144" s="8">
        <f t="shared" si="37"/>
        <v>75000</v>
      </c>
      <c r="R144" s="6">
        <v>18.2</v>
      </c>
      <c r="S144" s="6" t="s">
        <v>57</v>
      </c>
      <c r="T144" s="6"/>
      <c r="U144" s="6"/>
      <c r="V144" s="6"/>
      <c r="W144" s="9"/>
      <c r="X144" s="6"/>
      <c r="Y144" s="9">
        <f t="shared" si="38"/>
        <v>0</v>
      </c>
      <c r="Z144" s="10">
        <f t="shared" si="39"/>
        <v>0</v>
      </c>
      <c r="AA144" s="10">
        <f t="shared" si="40"/>
        <v>0</v>
      </c>
      <c r="AB144" s="11">
        <f t="shared" si="41"/>
        <v>0</v>
      </c>
      <c r="AC144" s="11">
        <f t="shared" si="42"/>
        <v>0</v>
      </c>
      <c r="AD144" s="11" t="s">
        <v>59</v>
      </c>
    </row>
    <row r="145" spans="1:30" s="1" customFormat="1" ht="17.100000000000001" customHeight="1">
      <c r="A145" s="2">
        <v>143</v>
      </c>
      <c r="B145" s="3" t="s">
        <v>334</v>
      </c>
      <c r="C145" s="3" t="s">
        <v>335</v>
      </c>
      <c r="D145" s="4">
        <v>39</v>
      </c>
      <c r="E145" s="4">
        <v>28</v>
      </c>
      <c r="F145" s="4">
        <v>5</v>
      </c>
      <c r="G145" s="4">
        <v>56</v>
      </c>
      <c r="H145" s="4">
        <v>38</v>
      </c>
      <c r="I145" s="4">
        <v>49</v>
      </c>
      <c r="J145" s="5">
        <f t="shared" si="43"/>
        <v>0.104272</v>
      </c>
      <c r="K145" s="19">
        <v>250</v>
      </c>
      <c r="L145" s="6">
        <v>20</v>
      </c>
      <c r="M145" s="7">
        <f t="shared" si="29"/>
        <v>5000</v>
      </c>
      <c r="N145" s="8">
        <v>5</v>
      </c>
      <c r="O145" s="6">
        <v>3</v>
      </c>
      <c r="P145" s="6">
        <f t="shared" si="36"/>
        <v>15</v>
      </c>
      <c r="Q145" s="8">
        <f t="shared" si="37"/>
        <v>75000</v>
      </c>
      <c r="R145" s="6">
        <v>18.2</v>
      </c>
      <c r="S145" s="6" t="s">
        <v>57</v>
      </c>
      <c r="T145" s="6"/>
      <c r="U145" s="6"/>
      <c r="V145" s="6"/>
      <c r="W145" s="9"/>
      <c r="X145" s="6"/>
      <c r="Y145" s="9">
        <f t="shared" si="38"/>
        <v>0</v>
      </c>
      <c r="Z145" s="10">
        <f t="shared" si="39"/>
        <v>0</v>
      </c>
      <c r="AA145" s="10">
        <f t="shared" si="40"/>
        <v>0</v>
      </c>
      <c r="AB145" s="11">
        <f t="shared" si="41"/>
        <v>0</v>
      </c>
      <c r="AC145" s="11">
        <f t="shared" si="42"/>
        <v>0</v>
      </c>
      <c r="AD145" s="11" t="s">
        <v>59</v>
      </c>
    </row>
    <row r="146" spans="1:30" s="1" customFormat="1" ht="17.100000000000001" customHeight="1">
      <c r="A146" s="2">
        <v>144</v>
      </c>
      <c r="B146" s="3" t="s">
        <v>336</v>
      </c>
      <c r="C146" s="3" t="s">
        <v>337</v>
      </c>
      <c r="D146" s="4">
        <v>39</v>
      </c>
      <c r="E146" s="4">
        <v>28</v>
      </c>
      <c r="F146" s="4">
        <v>5</v>
      </c>
      <c r="G146" s="4">
        <v>56</v>
      </c>
      <c r="H146" s="4">
        <v>38</v>
      </c>
      <c r="I146" s="4">
        <v>49</v>
      </c>
      <c r="J146" s="5">
        <f t="shared" si="43"/>
        <v>0.104272</v>
      </c>
      <c r="K146" s="19">
        <v>250</v>
      </c>
      <c r="L146" s="6">
        <v>20</v>
      </c>
      <c r="M146" s="7">
        <f t="shared" si="29"/>
        <v>5000</v>
      </c>
      <c r="N146" s="8">
        <v>5</v>
      </c>
      <c r="O146" s="6">
        <v>3</v>
      </c>
      <c r="P146" s="6">
        <f t="shared" si="36"/>
        <v>15</v>
      </c>
      <c r="Q146" s="8">
        <f t="shared" si="37"/>
        <v>75000</v>
      </c>
      <c r="R146" s="6">
        <v>9.8000000000000007</v>
      </c>
      <c r="S146" s="6" t="s">
        <v>57</v>
      </c>
      <c r="T146" s="6"/>
      <c r="U146" s="6"/>
      <c r="V146" s="6"/>
      <c r="W146" s="9"/>
      <c r="X146" s="6"/>
      <c r="Y146" s="9">
        <f t="shared" si="38"/>
        <v>0</v>
      </c>
      <c r="Z146" s="10">
        <f t="shared" si="39"/>
        <v>0</v>
      </c>
      <c r="AA146" s="10">
        <f t="shared" si="40"/>
        <v>0</v>
      </c>
      <c r="AB146" s="11">
        <f t="shared" si="41"/>
        <v>0</v>
      </c>
      <c r="AC146" s="11">
        <f t="shared" si="42"/>
        <v>0</v>
      </c>
      <c r="AD146" s="11" t="s">
        <v>59</v>
      </c>
    </row>
    <row r="147" spans="1:30" s="1" customFormat="1" ht="17.100000000000001" customHeight="1">
      <c r="A147" s="2">
        <v>145</v>
      </c>
      <c r="B147" s="3" t="s">
        <v>338</v>
      </c>
      <c r="C147" s="3" t="s">
        <v>339</v>
      </c>
      <c r="D147" s="4">
        <v>38.5</v>
      </c>
      <c r="E147" s="4">
        <v>28</v>
      </c>
      <c r="F147" s="4">
        <v>5</v>
      </c>
      <c r="G147" s="4">
        <v>39.5</v>
      </c>
      <c r="H147" s="4">
        <v>29</v>
      </c>
      <c r="I147" s="4">
        <v>28</v>
      </c>
      <c r="J147" s="5">
        <f t="shared" si="43"/>
        <v>3.2073999999999998E-2</v>
      </c>
      <c r="K147" s="19">
        <v>250</v>
      </c>
      <c r="L147" s="6">
        <v>20</v>
      </c>
      <c r="M147" s="7">
        <f t="shared" si="29"/>
        <v>5000</v>
      </c>
      <c r="N147" s="8">
        <v>5</v>
      </c>
      <c r="O147" s="6">
        <v>3</v>
      </c>
      <c r="P147" s="6">
        <f t="shared" si="36"/>
        <v>15</v>
      </c>
      <c r="Q147" s="8">
        <f t="shared" si="37"/>
        <v>75000</v>
      </c>
      <c r="R147" s="6">
        <v>9.8000000000000007</v>
      </c>
      <c r="S147" s="6" t="s">
        <v>57</v>
      </c>
      <c r="T147" s="6"/>
      <c r="U147" s="6"/>
      <c r="V147" s="6"/>
      <c r="W147" s="9"/>
      <c r="X147" s="6"/>
      <c r="Y147" s="9">
        <f t="shared" si="38"/>
        <v>0</v>
      </c>
      <c r="Z147" s="10">
        <f t="shared" si="39"/>
        <v>0</v>
      </c>
      <c r="AA147" s="10">
        <f t="shared" si="40"/>
        <v>0</v>
      </c>
      <c r="AB147" s="11">
        <f t="shared" si="41"/>
        <v>0</v>
      </c>
      <c r="AC147" s="11">
        <f t="shared" si="42"/>
        <v>0</v>
      </c>
      <c r="AD147" s="11" t="s">
        <v>59</v>
      </c>
    </row>
    <row r="148" spans="1:30" s="1" customFormat="1" ht="17.100000000000001" customHeight="1">
      <c r="A148" s="2">
        <v>146</v>
      </c>
      <c r="B148" s="3" t="s">
        <v>340</v>
      </c>
      <c r="C148" s="3" t="s">
        <v>341</v>
      </c>
      <c r="D148" s="4">
        <v>40</v>
      </c>
      <c r="E148" s="4">
        <v>29</v>
      </c>
      <c r="F148" s="4">
        <v>7</v>
      </c>
      <c r="G148" s="4">
        <v>39.5</v>
      </c>
      <c r="H148" s="4">
        <v>29</v>
      </c>
      <c r="I148" s="4">
        <v>28</v>
      </c>
      <c r="J148" s="5">
        <f t="shared" si="43"/>
        <v>3.2073999999999998E-2</v>
      </c>
      <c r="K148" s="19">
        <v>250</v>
      </c>
      <c r="L148" s="6">
        <v>10</v>
      </c>
      <c r="M148" s="7">
        <f t="shared" si="29"/>
        <v>2500</v>
      </c>
      <c r="N148" s="8">
        <v>5</v>
      </c>
      <c r="O148" s="6">
        <v>3</v>
      </c>
      <c r="P148" s="6">
        <f t="shared" si="36"/>
        <v>15</v>
      </c>
      <c r="Q148" s="8">
        <f t="shared" si="37"/>
        <v>37500</v>
      </c>
      <c r="R148" s="6">
        <v>9.8000000000000007</v>
      </c>
      <c r="S148" s="6" t="s">
        <v>57</v>
      </c>
      <c r="T148" s="6"/>
      <c r="U148" s="6"/>
      <c r="V148" s="6"/>
      <c r="W148" s="9"/>
      <c r="X148" s="6" t="s">
        <v>58</v>
      </c>
      <c r="Y148" s="9">
        <f t="shared" si="38"/>
        <v>0</v>
      </c>
      <c r="Z148" s="10">
        <f t="shared" si="39"/>
        <v>0</v>
      </c>
      <c r="AA148" s="10">
        <f t="shared" si="40"/>
        <v>0</v>
      </c>
      <c r="AB148" s="11">
        <f t="shared" si="41"/>
        <v>0</v>
      </c>
      <c r="AC148" s="11">
        <f t="shared" si="42"/>
        <v>0</v>
      </c>
      <c r="AD148" s="11" t="s">
        <v>59</v>
      </c>
    </row>
    <row r="149" spans="1:30" s="1" customFormat="1" ht="17.100000000000001" customHeight="1">
      <c r="A149" s="2">
        <v>147</v>
      </c>
      <c r="B149" s="3" t="s">
        <v>342</v>
      </c>
      <c r="C149" s="3" t="s">
        <v>343</v>
      </c>
      <c r="D149" s="4">
        <v>40</v>
      </c>
      <c r="E149" s="4">
        <v>29</v>
      </c>
      <c r="F149" s="4">
        <v>7</v>
      </c>
      <c r="G149" s="4">
        <v>39.5</v>
      </c>
      <c r="H149" s="4">
        <v>29</v>
      </c>
      <c r="I149" s="4">
        <v>28</v>
      </c>
      <c r="J149" s="5">
        <f t="shared" si="43"/>
        <v>3.2073999999999998E-2</v>
      </c>
      <c r="K149" s="19">
        <v>250</v>
      </c>
      <c r="L149" s="6">
        <v>10</v>
      </c>
      <c r="M149" s="7">
        <f t="shared" si="29"/>
        <v>2500</v>
      </c>
      <c r="N149" s="8">
        <v>5</v>
      </c>
      <c r="O149" s="6">
        <v>3</v>
      </c>
      <c r="P149" s="6">
        <f t="shared" si="36"/>
        <v>15</v>
      </c>
      <c r="Q149" s="8">
        <f t="shared" si="37"/>
        <v>37500</v>
      </c>
      <c r="R149" s="6">
        <v>9.8000000000000007</v>
      </c>
      <c r="S149" s="6" t="s">
        <v>57</v>
      </c>
      <c r="T149" s="6"/>
      <c r="U149" s="6"/>
      <c r="V149" s="6"/>
      <c r="W149" s="9"/>
      <c r="X149" s="6"/>
      <c r="Y149" s="9">
        <f t="shared" si="38"/>
        <v>0</v>
      </c>
      <c r="Z149" s="10">
        <f t="shared" si="39"/>
        <v>0</v>
      </c>
      <c r="AA149" s="10">
        <f t="shared" si="40"/>
        <v>0</v>
      </c>
      <c r="AB149" s="11">
        <f t="shared" si="41"/>
        <v>0</v>
      </c>
      <c r="AC149" s="11">
        <f t="shared" si="42"/>
        <v>0</v>
      </c>
      <c r="AD149" s="11" t="s">
        <v>59</v>
      </c>
    </row>
    <row r="150" spans="1:30" s="1" customFormat="1" ht="17.100000000000001" customHeight="1">
      <c r="A150" s="2">
        <v>148</v>
      </c>
      <c r="B150" s="3" t="s">
        <v>344</v>
      </c>
      <c r="C150" s="3" t="s">
        <v>345</v>
      </c>
      <c r="D150" s="4">
        <v>40</v>
      </c>
      <c r="E150" s="4">
        <v>29</v>
      </c>
      <c r="F150" s="4">
        <v>7</v>
      </c>
      <c r="G150" s="4">
        <v>39.5</v>
      </c>
      <c r="H150" s="4">
        <v>29</v>
      </c>
      <c r="I150" s="4">
        <v>28</v>
      </c>
      <c r="J150" s="5">
        <f t="shared" si="43"/>
        <v>3.2073999999999998E-2</v>
      </c>
      <c r="K150" s="19">
        <v>250</v>
      </c>
      <c r="L150" s="6">
        <v>10</v>
      </c>
      <c r="M150" s="7">
        <f t="shared" si="29"/>
        <v>2500</v>
      </c>
      <c r="N150" s="8">
        <v>5</v>
      </c>
      <c r="O150" s="6">
        <v>3</v>
      </c>
      <c r="P150" s="6">
        <f t="shared" si="36"/>
        <v>15</v>
      </c>
      <c r="Q150" s="8">
        <f t="shared" si="37"/>
        <v>37500</v>
      </c>
      <c r="R150" s="6">
        <v>11.6</v>
      </c>
      <c r="S150" s="6" t="s">
        <v>57</v>
      </c>
      <c r="T150" s="6"/>
      <c r="U150" s="6"/>
      <c r="V150" s="6"/>
      <c r="W150" s="9"/>
      <c r="X150" s="6"/>
      <c r="Y150" s="9">
        <f t="shared" si="38"/>
        <v>0</v>
      </c>
      <c r="Z150" s="10">
        <f t="shared" si="39"/>
        <v>0</v>
      </c>
      <c r="AA150" s="10">
        <f t="shared" si="40"/>
        <v>0</v>
      </c>
      <c r="AB150" s="11">
        <f t="shared" si="41"/>
        <v>0</v>
      </c>
      <c r="AC150" s="11">
        <f t="shared" si="42"/>
        <v>0</v>
      </c>
      <c r="AD150" s="11" t="s">
        <v>59</v>
      </c>
    </row>
    <row r="151" spans="1:30" s="1" customFormat="1" ht="17.100000000000001" customHeight="1">
      <c r="A151" s="2">
        <v>149</v>
      </c>
      <c r="B151" s="3" t="s">
        <v>346</v>
      </c>
      <c r="C151" s="3" t="s">
        <v>347</v>
      </c>
      <c r="D151" s="4">
        <v>40</v>
      </c>
      <c r="E151" s="4">
        <v>29</v>
      </c>
      <c r="F151" s="4">
        <v>7</v>
      </c>
      <c r="G151" s="4">
        <v>39.5</v>
      </c>
      <c r="H151" s="4">
        <v>29</v>
      </c>
      <c r="I151" s="4">
        <v>28</v>
      </c>
      <c r="J151" s="5">
        <f t="shared" si="43"/>
        <v>3.2073999999999998E-2</v>
      </c>
      <c r="K151" s="19">
        <v>250</v>
      </c>
      <c r="L151" s="6">
        <v>10</v>
      </c>
      <c r="M151" s="7">
        <f t="shared" si="29"/>
        <v>2500</v>
      </c>
      <c r="N151" s="8">
        <v>5</v>
      </c>
      <c r="O151" s="6">
        <v>3</v>
      </c>
      <c r="P151" s="6">
        <f t="shared" si="36"/>
        <v>15</v>
      </c>
      <c r="Q151" s="8">
        <f t="shared" si="37"/>
        <v>37500</v>
      </c>
      <c r="R151" s="6">
        <v>11.6</v>
      </c>
      <c r="S151" s="6" t="s">
        <v>57</v>
      </c>
      <c r="T151" s="6"/>
      <c r="U151" s="6"/>
      <c r="V151" s="6"/>
      <c r="W151" s="9"/>
      <c r="X151" s="6"/>
      <c r="Y151" s="9">
        <f t="shared" si="38"/>
        <v>0</v>
      </c>
      <c r="Z151" s="10">
        <f t="shared" si="39"/>
        <v>0</v>
      </c>
      <c r="AA151" s="10">
        <f t="shared" si="40"/>
        <v>0</v>
      </c>
      <c r="AB151" s="11">
        <f t="shared" si="41"/>
        <v>0</v>
      </c>
      <c r="AC151" s="11">
        <f t="shared" si="42"/>
        <v>0</v>
      </c>
      <c r="AD151" s="11" t="s">
        <v>59</v>
      </c>
    </row>
    <row r="152" spans="1:30" s="1" customFormat="1" ht="17.100000000000001" customHeight="1">
      <c r="A152" s="2">
        <v>150</v>
      </c>
      <c r="B152" s="3" t="s">
        <v>348</v>
      </c>
      <c r="C152" s="3" t="s">
        <v>349</v>
      </c>
      <c r="D152" s="4">
        <v>40</v>
      </c>
      <c r="E152" s="4">
        <v>29</v>
      </c>
      <c r="F152" s="4">
        <v>7</v>
      </c>
      <c r="G152" s="4">
        <v>39.5</v>
      </c>
      <c r="H152" s="4">
        <v>29</v>
      </c>
      <c r="I152" s="4">
        <v>28</v>
      </c>
      <c r="J152" s="5">
        <f t="shared" si="43"/>
        <v>3.2073999999999998E-2</v>
      </c>
      <c r="K152" s="19">
        <v>250</v>
      </c>
      <c r="L152" s="6">
        <v>10</v>
      </c>
      <c r="M152" s="7">
        <f t="shared" si="29"/>
        <v>2500</v>
      </c>
      <c r="N152" s="8">
        <v>5</v>
      </c>
      <c r="O152" s="6">
        <v>3</v>
      </c>
      <c r="P152" s="6">
        <f t="shared" si="36"/>
        <v>15</v>
      </c>
      <c r="Q152" s="8">
        <f t="shared" si="37"/>
        <v>37500</v>
      </c>
      <c r="R152" s="6">
        <v>11.6</v>
      </c>
      <c r="S152" s="6" t="s">
        <v>57</v>
      </c>
      <c r="T152" s="6"/>
      <c r="U152" s="6"/>
      <c r="V152" s="6"/>
      <c r="W152" s="9"/>
      <c r="X152" s="6"/>
      <c r="Y152" s="9">
        <f t="shared" si="38"/>
        <v>0</v>
      </c>
      <c r="Z152" s="10">
        <f t="shared" si="39"/>
        <v>0</v>
      </c>
      <c r="AA152" s="10">
        <f t="shared" si="40"/>
        <v>0</v>
      </c>
      <c r="AB152" s="11">
        <f t="shared" si="41"/>
        <v>0</v>
      </c>
      <c r="AC152" s="11">
        <f t="shared" si="42"/>
        <v>0</v>
      </c>
      <c r="AD152" s="11" t="s">
        <v>59</v>
      </c>
    </row>
    <row r="153" spans="1:30" s="1" customFormat="1" ht="17.100000000000001" customHeight="1">
      <c r="A153" s="2">
        <v>151</v>
      </c>
      <c r="B153" s="3" t="s">
        <v>350</v>
      </c>
      <c r="C153" s="3" t="s">
        <v>351</v>
      </c>
      <c r="D153" s="4">
        <v>38.5</v>
      </c>
      <c r="E153" s="4">
        <v>27.5</v>
      </c>
      <c r="F153" s="4">
        <v>5</v>
      </c>
      <c r="G153" s="4">
        <v>60</v>
      </c>
      <c r="H153" s="4">
        <v>41.5</v>
      </c>
      <c r="I153" s="4">
        <v>37</v>
      </c>
      <c r="J153" s="5">
        <f t="shared" si="43"/>
        <v>9.2130000000000004E-2</v>
      </c>
      <c r="K153" s="19">
        <v>250</v>
      </c>
      <c r="L153" s="6">
        <v>10</v>
      </c>
      <c r="M153" s="7">
        <f t="shared" si="29"/>
        <v>2500</v>
      </c>
      <c r="N153" s="8">
        <v>5</v>
      </c>
      <c r="O153" s="6">
        <v>3</v>
      </c>
      <c r="P153" s="6">
        <f t="shared" si="36"/>
        <v>15</v>
      </c>
      <c r="Q153" s="8">
        <f t="shared" si="37"/>
        <v>37500</v>
      </c>
      <c r="R153" s="6">
        <v>9.8000000000000007</v>
      </c>
      <c r="S153" s="6" t="s">
        <v>57</v>
      </c>
      <c r="T153" s="6"/>
      <c r="U153" s="6"/>
      <c r="V153" s="6"/>
      <c r="W153" s="9"/>
      <c r="X153" s="6" t="s">
        <v>58</v>
      </c>
      <c r="Y153" s="9">
        <f t="shared" si="38"/>
        <v>0</v>
      </c>
      <c r="Z153" s="10">
        <f t="shared" si="39"/>
        <v>0</v>
      </c>
      <c r="AA153" s="10">
        <f t="shared" si="40"/>
        <v>0</v>
      </c>
      <c r="AB153" s="11">
        <f t="shared" si="41"/>
        <v>0</v>
      </c>
      <c r="AC153" s="11">
        <f t="shared" si="42"/>
        <v>0</v>
      </c>
      <c r="AD153" s="11" t="s">
        <v>59</v>
      </c>
    </row>
    <row r="154" spans="1:30" s="1" customFormat="1" ht="17.100000000000001" customHeight="1">
      <c r="A154" s="2">
        <v>152</v>
      </c>
      <c r="B154" s="3" t="s">
        <v>352</v>
      </c>
      <c r="C154" s="3" t="s">
        <v>353</v>
      </c>
      <c r="D154" s="4">
        <v>38.5</v>
      </c>
      <c r="E154" s="4">
        <v>28</v>
      </c>
      <c r="F154" s="4">
        <v>5</v>
      </c>
      <c r="G154" s="4">
        <v>60</v>
      </c>
      <c r="H154" s="4">
        <v>41.5</v>
      </c>
      <c r="I154" s="4">
        <v>37</v>
      </c>
      <c r="J154" s="5">
        <f t="shared" si="43"/>
        <v>9.2130000000000004E-2</v>
      </c>
      <c r="K154" s="19">
        <v>250</v>
      </c>
      <c r="L154" s="6">
        <v>20</v>
      </c>
      <c r="M154" s="7">
        <f t="shared" si="29"/>
        <v>5000</v>
      </c>
      <c r="N154" s="8">
        <v>5</v>
      </c>
      <c r="O154" s="6">
        <v>3</v>
      </c>
      <c r="P154" s="6">
        <f t="shared" si="36"/>
        <v>15</v>
      </c>
      <c r="Q154" s="8">
        <f t="shared" si="37"/>
        <v>75000</v>
      </c>
      <c r="R154" s="6">
        <v>9.8000000000000007</v>
      </c>
      <c r="S154" s="6" t="s">
        <v>57</v>
      </c>
      <c r="T154" s="6"/>
      <c r="U154" s="6"/>
      <c r="V154" s="6"/>
      <c r="W154" s="9"/>
      <c r="X154" s="6"/>
      <c r="Y154" s="9">
        <f t="shared" si="38"/>
        <v>0</v>
      </c>
      <c r="Z154" s="10">
        <f t="shared" si="39"/>
        <v>0</v>
      </c>
      <c r="AA154" s="10">
        <f t="shared" si="40"/>
        <v>0</v>
      </c>
      <c r="AB154" s="11">
        <f t="shared" si="41"/>
        <v>0</v>
      </c>
      <c r="AC154" s="11">
        <f t="shared" si="42"/>
        <v>0</v>
      </c>
      <c r="AD154" s="11" t="s">
        <v>59</v>
      </c>
    </row>
    <row r="155" spans="1:30" s="1" customFormat="1" ht="17.100000000000001" customHeight="1">
      <c r="A155" s="2">
        <v>153</v>
      </c>
      <c r="B155" s="3" t="s">
        <v>354</v>
      </c>
      <c r="C155" s="3" t="s">
        <v>355</v>
      </c>
      <c r="D155" s="4">
        <v>38.5</v>
      </c>
      <c r="E155" s="4">
        <v>28</v>
      </c>
      <c r="F155" s="4">
        <v>5</v>
      </c>
      <c r="G155" s="4">
        <v>60</v>
      </c>
      <c r="H155" s="4">
        <v>41.5</v>
      </c>
      <c r="I155" s="4">
        <v>37</v>
      </c>
      <c r="J155" s="5">
        <f t="shared" si="43"/>
        <v>9.2130000000000004E-2</v>
      </c>
      <c r="K155" s="19">
        <v>250</v>
      </c>
      <c r="L155" s="6">
        <v>20</v>
      </c>
      <c r="M155" s="7">
        <f t="shared" si="29"/>
        <v>5000</v>
      </c>
      <c r="N155" s="8">
        <v>5</v>
      </c>
      <c r="O155" s="6">
        <v>3</v>
      </c>
      <c r="P155" s="6">
        <f t="shared" si="36"/>
        <v>15</v>
      </c>
      <c r="Q155" s="8">
        <f t="shared" si="37"/>
        <v>75000</v>
      </c>
      <c r="R155" s="6">
        <v>9.8000000000000007</v>
      </c>
      <c r="S155" s="6" t="s">
        <v>57</v>
      </c>
      <c r="T155" s="6"/>
      <c r="U155" s="6"/>
      <c r="V155" s="6"/>
      <c r="W155" s="9"/>
      <c r="X155" s="6"/>
      <c r="Y155" s="9">
        <f t="shared" si="38"/>
        <v>0</v>
      </c>
      <c r="Z155" s="10">
        <f t="shared" si="39"/>
        <v>0</v>
      </c>
      <c r="AA155" s="10">
        <f t="shared" si="40"/>
        <v>0</v>
      </c>
      <c r="AB155" s="11">
        <f t="shared" si="41"/>
        <v>0</v>
      </c>
      <c r="AC155" s="11">
        <f t="shared" si="42"/>
        <v>0</v>
      </c>
      <c r="AD155" s="11" t="s">
        <v>59</v>
      </c>
    </row>
    <row r="156" spans="1:30" s="1" customFormat="1" ht="17.100000000000001" customHeight="1">
      <c r="A156" s="2">
        <v>154</v>
      </c>
      <c r="B156" s="3" t="s">
        <v>356</v>
      </c>
      <c r="C156" s="3" t="s">
        <v>357</v>
      </c>
      <c r="D156" s="4">
        <v>38.5</v>
      </c>
      <c r="E156" s="4">
        <v>28</v>
      </c>
      <c r="F156" s="4">
        <v>5</v>
      </c>
      <c r="G156" s="4">
        <v>60</v>
      </c>
      <c r="H156" s="4">
        <v>41.5</v>
      </c>
      <c r="I156" s="4">
        <v>37</v>
      </c>
      <c r="J156" s="5">
        <f t="shared" si="43"/>
        <v>9.2130000000000004E-2</v>
      </c>
      <c r="K156" s="19">
        <v>250</v>
      </c>
      <c r="L156" s="6">
        <v>20</v>
      </c>
      <c r="M156" s="7">
        <f t="shared" si="29"/>
        <v>5000</v>
      </c>
      <c r="N156" s="8">
        <v>5</v>
      </c>
      <c r="O156" s="6">
        <v>3</v>
      </c>
      <c r="P156" s="6">
        <f t="shared" si="36"/>
        <v>15</v>
      </c>
      <c r="Q156" s="8">
        <f t="shared" si="37"/>
        <v>75000</v>
      </c>
      <c r="R156" s="6">
        <v>9.8000000000000007</v>
      </c>
      <c r="S156" s="6" t="s">
        <v>57</v>
      </c>
      <c r="T156" s="6"/>
      <c r="U156" s="6"/>
      <c r="V156" s="6"/>
      <c r="W156" s="9"/>
      <c r="X156" s="6"/>
      <c r="Y156" s="9">
        <f t="shared" si="38"/>
        <v>0</v>
      </c>
      <c r="Z156" s="10">
        <f t="shared" si="39"/>
        <v>0</v>
      </c>
      <c r="AA156" s="10">
        <f t="shared" si="40"/>
        <v>0</v>
      </c>
      <c r="AB156" s="11">
        <f t="shared" si="41"/>
        <v>0</v>
      </c>
      <c r="AC156" s="11">
        <f t="shared" si="42"/>
        <v>0</v>
      </c>
      <c r="AD156" s="11" t="s">
        <v>59</v>
      </c>
    </row>
    <row r="157" spans="1:30" s="1" customFormat="1" ht="17.100000000000001" customHeight="1">
      <c r="A157" s="2">
        <v>155</v>
      </c>
      <c r="B157" s="3" t="s">
        <v>358</v>
      </c>
      <c r="C157" s="3" t="s">
        <v>359</v>
      </c>
      <c r="D157" s="4">
        <v>34.5</v>
      </c>
      <c r="E157" s="4">
        <v>33.5</v>
      </c>
      <c r="F157" s="4">
        <v>6</v>
      </c>
      <c r="G157" s="4">
        <v>67</v>
      </c>
      <c r="H157" s="4">
        <v>35.5</v>
      </c>
      <c r="I157" s="4">
        <v>35.5</v>
      </c>
      <c r="J157" s="5">
        <f t="shared" si="43"/>
        <v>8.4436750000000005E-2</v>
      </c>
      <c r="K157" s="6">
        <v>150</v>
      </c>
      <c r="L157" s="6">
        <v>10</v>
      </c>
      <c r="M157" s="7">
        <f t="shared" si="29"/>
        <v>1500</v>
      </c>
      <c r="N157" s="8">
        <v>5</v>
      </c>
      <c r="O157" s="6">
        <v>6</v>
      </c>
      <c r="P157" s="6">
        <f t="shared" si="36"/>
        <v>30</v>
      </c>
      <c r="Q157" s="8">
        <f t="shared" si="37"/>
        <v>45000</v>
      </c>
      <c r="R157" s="6">
        <v>11.6</v>
      </c>
      <c r="S157" s="6" t="s">
        <v>57</v>
      </c>
      <c r="T157" s="6"/>
      <c r="U157" s="6"/>
      <c r="V157" s="6"/>
      <c r="W157" s="9"/>
      <c r="X157" s="6"/>
      <c r="Y157" s="9">
        <f t="shared" si="38"/>
        <v>0</v>
      </c>
      <c r="Z157" s="10">
        <f t="shared" si="39"/>
        <v>0</v>
      </c>
      <c r="AA157" s="10">
        <f t="shared" si="40"/>
        <v>0</v>
      </c>
      <c r="AB157" s="11">
        <f t="shared" si="41"/>
        <v>0</v>
      </c>
      <c r="AC157" s="11">
        <f t="shared" si="42"/>
        <v>0</v>
      </c>
      <c r="AD157" s="11" t="s">
        <v>59</v>
      </c>
    </row>
    <row r="158" spans="1:30" s="1" customFormat="1" ht="17.100000000000001" customHeight="1">
      <c r="A158" s="2">
        <v>156</v>
      </c>
      <c r="B158" s="3" t="s">
        <v>360</v>
      </c>
      <c r="C158" s="3" t="s">
        <v>361</v>
      </c>
      <c r="D158" s="4">
        <v>34.5</v>
      </c>
      <c r="E158" s="4">
        <v>33.5</v>
      </c>
      <c r="F158" s="4">
        <v>6</v>
      </c>
      <c r="G158" s="4">
        <v>67</v>
      </c>
      <c r="H158" s="4">
        <v>35.5</v>
      </c>
      <c r="I158" s="4">
        <v>35.5</v>
      </c>
      <c r="J158" s="5">
        <f t="shared" si="43"/>
        <v>8.4436750000000005E-2</v>
      </c>
      <c r="K158" s="6">
        <v>150</v>
      </c>
      <c r="L158" s="6">
        <v>10</v>
      </c>
      <c r="M158" s="7">
        <f t="shared" si="29"/>
        <v>1500</v>
      </c>
      <c r="N158" s="8">
        <v>5</v>
      </c>
      <c r="O158" s="6">
        <v>6</v>
      </c>
      <c r="P158" s="6">
        <f t="shared" si="36"/>
        <v>30</v>
      </c>
      <c r="Q158" s="8">
        <f t="shared" si="37"/>
        <v>45000</v>
      </c>
      <c r="R158" s="6">
        <v>11.6</v>
      </c>
      <c r="S158" s="6" t="s">
        <v>57</v>
      </c>
      <c r="T158" s="6"/>
      <c r="U158" s="6"/>
      <c r="V158" s="6"/>
      <c r="W158" s="9"/>
      <c r="X158" s="6"/>
      <c r="Y158" s="9">
        <f t="shared" si="38"/>
        <v>0</v>
      </c>
      <c r="Z158" s="10">
        <f t="shared" si="39"/>
        <v>0</v>
      </c>
      <c r="AA158" s="10">
        <f t="shared" si="40"/>
        <v>0</v>
      </c>
      <c r="AB158" s="11">
        <f t="shared" si="41"/>
        <v>0</v>
      </c>
      <c r="AC158" s="11">
        <f t="shared" si="42"/>
        <v>0</v>
      </c>
      <c r="AD158" s="11" t="s">
        <v>59</v>
      </c>
    </row>
    <row r="159" spans="1:30" s="1" customFormat="1" ht="17.100000000000001" customHeight="1">
      <c r="A159" s="2">
        <v>157</v>
      </c>
      <c r="B159" s="3" t="s">
        <v>362</v>
      </c>
      <c r="C159" s="3" t="s">
        <v>363</v>
      </c>
      <c r="D159" s="4"/>
      <c r="E159" s="4"/>
      <c r="F159" s="4"/>
      <c r="G159" s="4"/>
      <c r="H159" s="4"/>
      <c r="I159" s="4"/>
      <c r="J159" s="5"/>
      <c r="K159" s="6"/>
      <c r="L159" s="6"/>
      <c r="M159" s="7">
        <f t="shared" si="29"/>
        <v>0</v>
      </c>
      <c r="N159" s="8"/>
      <c r="O159" s="6"/>
      <c r="P159" s="6">
        <f t="shared" si="36"/>
        <v>0</v>
      </c>
      <c r="Q159" s="8">
        <f t="shared" si="37"/>
        <v>0</v>
      </c>
      <c r="R159" s="6"/>
      <c r="S159" s="6" t="s">
        <v>80</v>
      </c>
      <c r="T159" s="6"/>
      <c r="U159" s="6"/>
      <c r="V159" s="6"/>
      <c r="W159" s="9"/>
      <c r="X159" s="6"/>
      <c r="Y159" s="9" t="e">
        <f t="shared" si="38"/>
        <v>#DIV/0!</v>
      </c>
      <c r="Z159" s="10" t="e">
        <f t="shared" si="39"/>
        <v>#DIV/0!</v>
      </c>
      <c r="AA159" s="10" t="e">
        <f t="shared" si="40"/>
        <v>#DIV/0!</v>
      </c>
      <c r="AB159" s="11" t="e">
        <f t="shared" si="41"/>
        <v>#DIV/0!</v>
      </c>
      <c r="AC159" s="11" t="e">
        <f t="shared" si="42"/>
        <v>#DIV/0!</v>
      </c>
      <c r="AD159" s="11" t="s">
        <v>59</v>
      </c>
    </row>
    <row r="160" spans="1:30" s="1" customFormat="1" ht="17.100000000000001" customHeight="1">
      <c r="A160" s="2">
        <v>158</v>
      </c>
      <c r="B160" s="3" t="s">
        <v>364</v>
      </c>
      <c r="C160" s="3" t="s">
        <v>365</v>
      </c>
      <c r="D160" s="4">
        <v>40</v>
      </c>
      <c r="E160" s="4">
        <v>29</v>
      </c>
      <c r="F160" s="4">
        <v>7</v>
      </c>
      <c r="G160" s="4">
        <v>59</v>
      </c>
      <c r="H160" s="4">
        <v>38.5</v>
      </c>
      <c r="I160" s="4">
        <v>65.5</v>
      </c>
      <c r="J160" s="5">
        <f t="shared" ref="J160:J189" si="44">(G160*H160*I160)/1000000</f>
        <v>0.14878325000000001</v>
      </c>
      <c r="K160" s="6">
        <v>500</v>
      </c>
      <c r="L160" s="6"/>
      <c r="M160" s="7">
        <f t="shared" si="29"/>
        <v>0</v>
      </c>
      <c r="N160" s="8"/>
      <c r="O160" s="6"/>
      <c r="P160" s="6">
        <f t="shared" si="36"/>
        <v>0</v>
      </c>
      <c r="Q160" s="8">
        <f t="shared" si="37"/>
        <v>0</v>
      </c>
      <c r="R160" s="6"/>
      <c r="S160" s="6" t="s">
        <v>80</v>
      </c>
      <c r="T160" s="6" t="s">
        <v>200</v>
      </c>
      <c r="U160" s="6"/>
      <c r="V160" s="6"/>
      <c r="W160" s="9"/>
      <c r="X160" s="6"/>
      <c r="Y160" s="9" t="e">
        <f t="shared" si="38"/>
        <v>#DIV/0!</v>
      </c>
      <c r="Z160" s="10" t="e">
        <f t="shared" si="39"/>
        <v>#DIV/0!</v>
      </c>
      <c r="AA160" s="10" t="e">
        <f t="shared" si="40"/>
        <v>#DIV/0!</v>
      </c>
      <c r="AB160" s="11" t="e">
        <f t="shared" si="41"/>
        <v>#DIV/0!</v>
      </c>
      <c r="AC160" s="11" t="e">
        <f t="shared" si="42"/>
        <v>#DIV/0!</v>
      </c>
      <c r="AD160" s="11" t="s">
        <v>59</v>
      </c>
    </row>
    <row r="161" spans="1:30" s="1" customFormat="1" ht="17.100000000000001" customHeight="1">
      <c r="A161" s="2">
        <v>159</v>
      </c>
      <c r="B161" s="3" t="s">
        <v>366</v>
      </c>
      <c r="C161" s="3" t="s">
        <v>367</v>
      </c>
      <c r="D161" s="4">
        <v>40.5</v>
      </c>
      <c r="E161" s="4">
        <v>29</v>
      </c>
      <c r="F161" s="4">
        <v>7</v>
      </c>
      <c r="G161" s="4">
        <v>40</v>
      </c>
      <c r="H161" s="4">
        <v>29.5</v>
      </c>
      <c r="I161" s="4">
        <v>7</v>
      </c>
      <c r="J161" s="5">
        <f t="shared" si="44"/>
        <v>8.26E-3</v>
      </c>
      <c r="K161" s="6">
        <v>500</v>
      </c>
      <c r="L161" s="6"/>
      <c r="M161" s="7">
        <f t="shared" ref="M161:M175" si="45">K161*L161</f>
        <v>0</v>
      </c>
      <c r="N161" s="8"/>
      <c r="O161" s="6"/>
      <c r="P161" s="6">
        <f t="shared" si="36"/>
        <v>0</v>
      </c>
      <c r="Q161" s="8">
        <f t="shared" si="37"/>
        <v>0</v>
      </c>
      <c r="R161" s="6"/>
      <c r="S161" s="6" t="s">
        <v>80</v>
      </c>
      <c r="T161" s="6" t="s">
        <v>200</v>
      </c>
      <c r="U161" s="6"/>
      <c r="V161" s="6"/>
      <c r="W161" s="9"/>
      <c r="X161" s="6"/>
      <c r="Y161" s="9" t="e">
        <f t="shared" si="38"/>
        <v>#DIV/0!</v>
      </c>
      <c r="Z161" s="10" t="e">
        <f t="shared" si="39"/>
        <v>#DIV/0!</v>
      </c>
      <c r="AA161" s="10" t="e">
        <f t="shared" si="40"/>
        <v>#DIV/0!</v>
      </c>
      <c r="AB161" s="11" t="e">
        <f t="shared" si="41"/>
        <v>#DIV/0!</v>
      </c>
      <c r="AC161" s="11" t="e">
        <f t="shared" si="42"/>
        <v>#DIV/0!</v>
      </c>
      <c r="AD161" s="11" t="s">
        <v>59</v>
      </c>
    </row>
    <row r="162" spans="1:30" s="1" customFormat="1" ht="17.100000000000001" customHeight="1">
      <c r="A162" s="2">
        <v>160</v>
      </c>
      <c r="B162" s="3" t="s">
        <v>368</v>
      </c>
      <c r="C162" s="3" t="s">
        <v>369</v>
      </c>
      <c r="D162" s="4">
        <v>40</v>
      </c>
      <c r="E162" s="4">
        <v>29</v>
      </c>
      <c r="F162" s="4">
        <v>7</v>
      </c>
      <c r="G162" s="4">
        <v>59</v>
      </c>
      <c r="H162" s="4">
        <v>38.5</v>
      </c>
      <c r="I162" s="4">
        <v>65.5</v>
      </c>
      <c r="J162" s="5">
        <f t="shared" si="44"/>
        <v>0.14878325000000001</v>
      </c>
      <c r="K162" s="6">
        <v>500</v>
      </c>
      <c r="L162" s="6">
        <v>20</v>
      </c>
      <c r="M162" s="7">
        <f t="shared" si="45"/>
        <v>10000</v>
      </c>
      <c r="N162" s="8">
        <v>5</v>
      </c>
      <c r="O162" s="6">
        <v>3</v>
      </c>
      <c r="P162" s="6">
        <f t="shared" si="36"/>
        <v>15</v>
      </c>
      <c r="Q162" s="8">
        <f t="shared" si="37"/>
        <v>150000</v>
      </c>
      <c r="R162" s="6"/>
      <c r="S162" s="6" t="s">
        <v>57</v>
      </c>
      <c r="T162" s="6"/>
      <c r="U162" s="6"/>
      <c r="V162" s="6"/>
      <c r="W162" s="9"/>
      <c r="X162" s="6"/>
      <c r="Y162" s="9">
        <f t="shared" si="38"/>
        <v>0</v>
      </c>
      <c r="Z162" s="10">
        <f t="shared" si="39"/>
        <v>0</v>
      </c>
      <c r="AA162" s="10">
        <f t="shared" si="40"/>
        <v>0</v>
      </c>
      <c r="AB162" s="11">
        <f t="shared" si="41"/>
        <v>0</v>
      </c>
      <c r="AC162" s="11">
        <f t="shared" si="42"/>
        <v>0</v>
      </c>
      <c r="AD162" s="11" t="s">
        <v>59</v>
      </c>
    </row>
    <row r="163" spans="1:30" s="1" customFormat="1" ht="17.100000000000001" customHeight="1">
      <c r="A163" s="2">
        <v>161</v>
      </c>
      <c r="B163" s="3" t="s">
        <v>370</v>
      </c>
      <c r="C163" s="3" t="s">
        <v>371</v>
      </c>
      <c r="D163" s="4">
        <v>40</v>
      </c>
      <c r="E163" s="4">
        <v>29</v>
      </c>
      <c r="F163" s="4">
        <v>7</v>
      </c>
      <c r="G163" s="4">
        <v>59</v>
      </c>
      <c r="H163" s="4">
        <v>38.5</v>
      </c>
      <c r="I163" s="4">
        <v>65.5</v>
      </c>
      <c r="J163" s="5">
        <f t="shared" si="44"/>
        <v>0.14878325000000001</v>
      </c>
      <c r="K163" s="6">
        <v>500</v>
      </c>
      <c r="L163" s="6">
        <v>20</v>
      </c>
      <c r="M163" s="7">
        <f t="shared" si="45"/>
        <v>10000</v>
      </c>
      <c r="N163" s="8">
        <v>5</v>
      </c>
      <c r="O163" s="6">
        <v>3</v>
      </c>
      <c r="P163" s="6">
        <f t="shared" si="36"/>
        <v>15</v>
      </c>
      <c r="Q163" s="8">
        <f t="shared" si="37"/>
        <v>150000</v>
      </c>
      <c r="R163" s="6"/>
      <c r="S163" s="6" t="s">
        <v>57</v>
      </c>
      <c r="T163" s="6"/>
      <c r="U163" s="6"/>
      <c r="V163" s="6"/>
      <c r="W163" s="9"/>
      <c r="X163" s="6"/>
      <c r="Y163" s="9">
        <f t="shared" si="38"/>
        <v>0</v>
      </c>
      <c r="Z163" s="10">
        <f t="shared" si="39"/>
        <v>0</v>
      </c>
      <c r="AA163" s="10">
        <f t="shared" si="40"/>
        <v>0</v>
      </c>
      <c r="AB163" s="11">
        <f t="shared" si="41"/>
        <v>0</v>
      </c>
      <c r="AC163" s="11">
        <f t="shared" si="42"/>
        <v>0</v>
      </c>
      <c r="AD163" s="11" t="s">
        <v>59</v>
      </c>
    </row>
    <row r="164" spans="1:30" s="1" customFormat="1" ht="17.100000000000001" customHeight="1">
      <c r="A164" s="2">
        <v>162</v>
      </c>
      <c r="B164" s="3" t="s">
        <v>372</v>
      </c>
      <c r="C164" s="3" t="s">
        <v>373</v>
      </c>
      <c r="D164" s="4">
        <v>40</v>
      </c>
      <c r="E164" s="4">
        <v>29</v>
      </c>
      <c r="F164" s="4">
        <v>7</v>
      </c>
      <c r="G164" s="4"/>
      <c r="H164" s="4"/>
      <c r="I164" s="4"/>
      <c r="J164" s="5">
        <f t="shared" si="44"/>
        <v>0</v>
      </c>
      <c r="K164" s="6">
        <v>500</v>
      </c>
      <c r="L164" s="6">
        <v>20</v>
      </c>
      <c r="M164" s="7">
        <f t="shared" si="45"/>
        <v>10000</v>
      </c>
      <c r="N164" s="8">
        <v>5</v>
      </c>
      <c r="O164" s="6">
        <v>3</v>
      </c>
      <c r="P164" s="6">
        <f t="shared" si="36"/>
        <v>15</v>
      </c>
      <c r="Q164" s="8">
        <f t="shared" si="37"/>
        <v>150000</v>
      </c>
      <c r="R164" s="6"/>
      <c r="S164" s="6" t="s">
        <v>57</v>
      </c>
      <c r="T164" s="6" t="s">
        <v>200</v>
      </c>
      <c r="U164" s="6"/>
      <c r="V164" s="6"/>
      <c r="W164" s="9"/>
      <c r="X164" s="6"/>
      <c r="Y164" s="9">
        <f t="shared" si="38"/>
        <v>0</v>
      </c>
      <c r="Z164" s="10">
        <f t="shared" si="39"/>
        <v>0</v>
      </c>
      <c r="AA164" s="10">
        <f t="shared" si="40"/>
        <v>0</v>
      </c>
      <c r="AB164" s="11">
        <f t="shared" si="41"/>
        <v>0</v>
      </c>
      <c r="AC164" s="11">
        <f t="shared" si="42"/>
        <v>0</v>
      </c>
      <c r="AD164" s="11" t="s">
        <v>59</v>
      </c>
    </row>
    <row r="165" spans="1:30" s="1" customFormat="1" ht="17.100000000000001" customHeight="1">
      <c r="A165" s="2">
        <v>163</v>
      </c>
      <c r="B165" s="3" t="s">
        <v>374</v>
      </c>
      <c r="C165" s="3" t="s">
        <v>375</v>
      </c>
      <c r="D165" s="4">
        <v>40</v>
      </c>
      <c r="E165" s="4">
        <v>29</v>
      </c>
      <c r="F165" s="4">
        <v>7</v>
      </c>
      <c r="G165" s="4"/>
      <c r="H165" s="4"/>
      <c r="I165" s="4"/>
      <c r="J165" s="5">
        <f t="shared" si="44"/>
        <v>0</v>
      </c>
      <c r="K165" s="6">
        <v>500</v>
      </c>
      <c r="L165" s="6">
        <v>20</v>
      </c>
      <c r="M165" s="7">
        <f t="shared" si="45"/>
        <v>10000</v>
      </c>
      <c r="N165" s="8">
        <v>5</v>
      </c>
      <c r="O165" s="6">
        <v>3</v>
      </c>
      <c r="P165" s="6">
        <f t="shared" si="36"/>
        <v>15</v>
      </c>
      <c r="Q165" s="8">
        <f t="shared" si="37"/>
        <v>150000</v>
      </c>
      <c r="R165" s="6"/>
      <c r="S165" s="6" t="s">
        <v>57</v>
      </c>
      <c r="T165" s="6" t="s">
        <v>200</v>
      </c>
      <c r="U165" s="6"/>
      <c r="V165" s="6"/>
      <c r="W165" s="9"/>
      <c r="X165" s="6"/>
      <c r="Y165" s="9">
        <f t="shared" si="38"/>
        <v>0</v>
      </c>
      <c r="Z165" s="10">
        <f t="shared" si="39"/>
        <v>0</v>
      </c>
      <c r="AA165" s="10">
        <f t="shared" si="40"/>
        <v>0</v>
      </c>
      <c r="AB165" s="11">
        <f t="shared" si="41"/>
        <v>0</v>
      </c>
      <c r="AC165" s="11">
        <f t="shared" si="42"/>
        <v>0</v>
      </c>
      <c r="AD165" s="11" t="s">
        <v>59</v>
      </c>
    </row>
    <row r="166" spans="1:30" s="1" customFormat="1" ht="17.100000000000001" customHeight="1">
      <c r="A166" s="2">
        <v>164</v>
      </c>
      <c r="B166" s="3" t="s">
        <v>376</v>
      </c>
      <c r="C166" s="3" t="s">
        <v>377</v>
      </c>
      <c r="D166" s="4">
        <v>40</v>
      </c>
      <c r="E166" s="4">
        <v>29</v>
      </c>
      <c r="F166" s="4">
        <v>7</v>
      </c>
      <c r="G166" s="4"/>
      <c r="H166" s="4"/>
      <c r="I166" s="4"/>
      <c r="J166" s="5">
        <f t="shared" si="44"/>
        <v>0</v>
      </c>
      <c r="K166" s="6">
        <v>500</v>
      </c>
      <c r="L166" s="6">
        <v>20</v>
      </c>
      <c r="M166" s="7">
        <f t="shared" si="45"/>
        <v>10000</v>
      </c>
      <c r="N166" s="8">
        <v>5</v>
      </c>
      <c r="O166" s="6">
        <v>3</v>
      </c>
      <c r="P166" s="6">
        <f t="shared" si="36"/>
        <v>15</v>
      </c>
      <c r="Q166" s="8">
        <f t="shared" si="37"/>
        <v>150000</v>
      </c>
      <c r="R166" s="6"/>
      <c r="S166" s="6" t="s">
        <v>57</v>
      </c>
      <c r="T166" s="6" t="s">
        <v>200</v>
      </c>
      <c r="U166" s="6"/>
      <c r="V166" s="6"/>
      <c r="W166" s="9"/>
      <c r="X166" s="6"/>
      <c r="Y166" s="9">
        <f t="shared" si="38"/>
        <v>0</v>
      </c>
      <c r="Z166" s="10">
        <f t="shared" si="39"/>
        <v>0</v>
      </c>
      <c r="AA166" s="10">
        <f t="shared" si="40"/>
        <v>0</v>
      </c>
      <c r="AB166" s="11">
        <f t="shared" si="41"/>
        <v>0</v>
      </c>
      <c r="AC166" s="11">
        <f t="shared" si="42"/>
        <v>0</v>
      </c>
      <c r="AD166" s="11" t="s">
        <v>59</v>
      </c>
    </row>
    <row r="167" spans="1:30" s="1" customFormat="1" ht="17.100000000000001" customHeight="1">
      <c r="A167" s="2">
        <v>165</v>
      </c>
      <c r="B167" s="3" t="s">
        <v>378</v>
      </c>
      <c r="C167" s="3" t="s">
        <v>379</v>
      </c>
      <c r="D167" s="4">
        <v>40</v>
      </c>
      <c r="E167" s="4">
        <v>29</v>
      </c>
      <c r="F167" s="4">
        <v>7</v>
      </c>
      <c r="G167" s="4"/>
      <c r="H167" s="4"/>
      <c r="I167" s="4"/>
      <c r="J167" s="5">
        <f t="shared" si="44"/>
        <v>0</v>
      </c>
      <c r="K167" s="6">
        <v>500</v>
      </c>
      <c r="L167" s="6">
        <v>20</v>
      </c>
      <c r="M167" s="7">
        <f t="shared" si="45"/>
        <v>10000</v>
      </c>
      <c r="N167" s="8">
        <v>5</v>
      </c>
      <c r="O167" s="6">
        <v>3</v>
      </c>
      <c r="P167" s="6">
        <f t="shared" si="36"/>
        <v>15</v>
      </c>
      <c r="Q167" s="8">
        <f t="shared" si="37"/>
        <v>150000</v>
      </c>
      <c r="R167" s="6"/>
      <c r="S167" s="6" t="s">
        <v>57</v>
      </c>
      <c r="T167" s="6" t="s">
        <v>200</v>
      </c>
      <c r="U167" s="6"/>
      <c r="V167" s="6"/>
      <c r="W167" s="9"/>
      <c r="X167" s="6"/>
      <c r="Y167" s="9">
        <f t="shared" si="38"/>
        <v>0</v>
      </c>
      <c r="Z167" s="10">
        <f t="shared" si="39"/>
        <v>0</v>
      </c>
      <c r="AA167" s="10">
        <f t="shared" si="40"/>
        <v>0</v>
      </c>
      <c r="AB167" s="11">
        <f t="shared" si="41"/>
        <v>0</v>
      </c>
      <c r="AC167" s="11">
        <f t="shared" si="42"/>
        <v>0</v>
      </c>
      <c r="AD167" s="11" t="s">
        <v>59</v>
      </c>
    </row>
    <row r="168" spans="1:30" s="1" customFormat="1" ht="17.100000000000001" customHeight="1">
      <c r="A168" s="2">
        <v>166</v>
      </c>
      <c r="B168" s="3" t="s">
        <v>380</v>
      </c>
      <c r="C168" s="3" t="s">
        <v>381</v>
      </c>
      <c r="D168" s="4"/>
      <c r="E168" s="4"/>
      <c r="F168" s="4"/>
      <c r="G168" s="4"/>
      <c r="H168" s="4"/>
      <c r="I168" s="4"/>
      <c r="J168" s="5">
        <f t="shared" si="44"/>
        <v>0</v>
      </c>
      <c r="K168" s="6"/>
      <c r="L168" s="6"/>
      <c r="M168" s="7">
        <f t="shared" si="45"/>
        <v>0</v>
      </c>
      <c r="N168" s="8"/>
      <c r="O168" s="6"/>
      <c r="P168" s="6">
        <f t="shared" si="36"/>
        <v>0</v>
      </c>
      <c r="Q168" s="8">
        <f t="shared" si="37"/>
        <v>0</v>
      </c>
      <c r="R168" s="6"/>
      <c r="S168" s="6" t="s">
        <v>80</v>
      </c>
      <c r="T168" s="6"/>
      <c r="U168" s="6"/>
      <c r="V168" s="6"/>
      <c r="W168" s="9"/>
      <c r="X168" s="6"/>
      <c r="Y168" s="9" t="e">
        <f t="shared" si="38"/>
        <v>#DIV/0!</v>
      </c>
      <c r="Z168" s="10" t="e">
        <f t="shared" si="39"/>
        <v>#DIV/0!</v>
      </c>
      <c r="AA168" s="10" t="e">
        <f t="shared" si="40"/>
        <v>#DIV/0!</v>
      </c>
      <c r="AB168" s="11" t="e">
        <f t="shared" si="41"/>
        <v>#DIV/0!</v>
      </c>
      <c r="AC168" s="11" t="e">
        <f t="shared" si="42"/>
        <v>#DIV/0!</v>
      </c>
      <c r="AD168" s="11" t="s">
        <v>59</v>
      </c>
    </row>
    <row r="169" spans="1:30" s="1" customFormat="1" ht="17.100000000000001" customHeight="1">
      <c r="A169" s="2">
        <v>167</v>
      </c>
      <c r="B169" s="3" t="s">
        <v>382</v>
      </c>
      <c r="C169" s="3" t="s">
        <v>383</v>
      </c>
      <c r="D169" s="4"/>
      <c r="E169" s="4"/>
      <c r="F169" s="4"/>
      <c r="G169" s="4"/>
      <c r="H169" s="4"/>
      <c r="I169" s="4"/>
      <c r="J169" s="5">
        <f t="shared" si="44"/>
        <v>0</v>
      </c>
      <c r="K169" s="6"/>
      <c r="L169" s="6"/>
      <c r="M169" s="7">
        <f t="shared" si="45"/>
        <v>0</v>
      </c>
      <c r="N169" s="8"/>
      <c r="O169" s="6"/>
      <c r="P169" s="6">
        <f t="shared" si="36"/>
        <v>0</v>
      </c>
      <c r="Q169" s="8">
        <f t="shared" si="37"/>
        <v>0</v>
      </c>
      <c r="R169" s="6"/>
      <c r="S169" s="6" t="s">
        <v>80</v>
      </c>
      <c r="T169" s="6"/>
      <c r="U169" s="6"/>
      <c r="V169" s="6"/>
      <c r="W169" s="9"/>
      <c r="X169" s="6"/>
      <c r="Y169" s="9" t="e">
        <f t="shared" si="38"/>
        <v>#DIV/0!</v>
      </c>
      <c r="Z169" s="10" t="e">
        <f t="shared" si="39"/>
        <v>#DIV/0!</v>
      </c>
      <c r="AA169" s="10" t="e">
        <f t="shared" si="40"/>
        <v>#DIV/0!</v>
      </c>
      <c r="AB169" s="11" t="e">
        <f t="shared" si="41"/>
        <v>#DIV/0!</v>
      </c>
      <c r="AC169" s="11" t="e">
        <f t="shared" si="42"/>
        <v>#DIV/0!</v>
      </c>
      <c r="AD169" s="11" t="s">
        <v>59</v>
      </c>
    </row>
    <row r="170" spans="1:30" s="1" customFormat="1" ht="17.100000000000001" customHeight="1">
      <c r="A170" s="2">
        <v>168</v>
      </c>
      <c r="B170" s="3" t="s">
        <v>384</v>
      </c>
      <c r="C170" s="3" t="s">
        <v>385</v>
      </c>
      <c r="D170" s="4"/>
      <c r="E170" s="4"/>
      <c r="F170" s="4"/>
      <c r="G170" s="4"/>
      <c r="H170" s="4"/>
      <c r="I170" s="4"/>
      <c r="J170" s="5">
        <f t="shared" si="44"/>
        <v>0</v>
      </c>
      <c r="K170" s="6"/>
      <c r="L170" s="6"/>
      <c r="M170" s="7">
        <f t="shared" si="45"/>
        <v>0</v>
      </c>
      <c r="N170" s="8"/>
      <c r="O170" s="6"/>
      <c r="P170" s="6">
        <f t="shared" ref="P170:P191" si="46">N170*O170</f>
        <v>0</v>
      </c>
      <c r="Q170" s="8">
        <f t="shared" ref="Q170:Q191" si="47">M170*P170</f>
        <v>0</v>
      </c>
      <c r="R170" s="6"/>
      <c r="S170" s="6" t="s">
        <v>80</v>
      </c>
      <c r="T170" s="6"/>
      <c r="U170" s="6"/>
      <c r="V170" s="6"/>
      <c r="W170" s="9"/>
      <c r="X170" s="6"/>
      <c r="Y170" s="9" t="e">
        <f t="shared" si="38"/>
        <v>#DIV/0!</v>
      </c>
      <c r="Z170" s="10" t="e">
        <f t="shared" si="39"/>
        <v>#DIV/0!</v>
      </c>
      <c r="AA170" s="10" t="e">
        <f t="shared" si="40"/>
        <v>#DIV/0!</v>
      </c>
      <c r="AB170" s="11" t="e">
        <f t="shared" si="41"/>
        <v>#DIV/0!</v>
      </c>
      <c r="AC170" s="11" t="e">
        <f t="shared" si="42"/>
        <v>#DIV/0!</v>
      </c>
      <c r="AD170" s="11" t="s">
        <v>59</v>
      </c>
    </row>
    <row r="171" spans="1:30" s="1" customFormat="1" ht="17.100000000000001" customHeight="1">
      <c r="A171" s="2">
        <v>169</v>
      </c>
      <c r="B171" s="3" t="s">
        <v>386</v>
      </c>
      <c r="C171" s="3" t="s">
        <v>387</v>
      </c>
      <c r="D171" s="4">
        <v>34.5</v>
      </c>
      <c r="E171" s="4">
        <v>33.299999999999997</v>
      </c>
      <c r="F171" s="4">
        <v>6.5</v>
      </c>
      <c r="G171" s="4"/>
      <c r="H171" s="4"/>
      <c r="I171" s="4"/>
      <c r="J171" s="5">
        <f t="shared" si="44"/>
        <v>0</v>
      </c>
      <c r="K171" s="6">
        <v>100</v>
      </c>
      <c r="L171" s="6">
        <v>15</v>
      </c>
      <c r="M171" s="7">
        <f t="shared" si="45"/>
        <v>1500</v>
      </c>
      <c r="N171" s="8">
        <v>5</v>
      </c>
      <c r="O171" s="6">
        <v>3</v>
      </c>
      <c r="P171" s="6">
        <f t="shared" si="46"/>
        <v>15</v>
      </c>
      <c r="Q171" s="8">
        <f t="shared" si="47"/>
        <v>22500</v>
      </c>
      <c r="R171" s="6"/>
      <c r="S171" s="6" t="s">
        <v>57</v>
      </c>
      <c r="T171" s="6"/>
      <c r="U171" s="6"/>
      <c r="V171" s="6"/>
      <c r="W171" s="9"/>
      <c r="X171" s="6"/>
      <c r="Y171" s="9">
        <f t="shared" si="38"/>
        <v>0</v>
      </c>
      <c r="Z171" s="10">
        <f t="shared" si="39"/>
        <v>0</v>
      </c>
      <c r="AA171" s="10">
        <f t="shared" si="40"/>
        <v>0</v>
      </c>
      <c r="AB171" s="11">
        <f t="shared" si="41"/>
        <v>0</v>
      </c>
      <c r="AC171" s="11">
        <f t="shared" si="42"/>
        <v>0</v>
      </c>
      <c r="AD171" s="11" t="s">
        <v>59</v>
      </c>
    </row>
    <row r="172" spans="1:30" s="1" customFormat="1" ht="17.100000000000001" customHeight="1">
      <c r="A172" s="2">
        <v>170</v>
      </c>
      <c r="B172" s="3" t="s">
        <v>388</v>
      </c>
      <c r="C172" s="3" t="s">
        <v>389</v>
      </c>
      <c r="D172" s="4">
        <v>34.5</v>
      </c>
      <c r="E172" s="4">
        <v>33.299999999999997</v>
      </c>
      <c r="F172" s="4">
        <v>6.5</v>
      </c>
      <c r="G172" s="4"/>
      <c r="H172" s="4"/>
      <c r="I172" s="4"/>
      <c r="J172" s="5">
        <f t="shared" si="44"/>
        <v>0</v>
      </c>
      <c r="K172" s="6">
        <v>100</v>
      </c>
      <c r="L172" s="6">
        <v>15</v>
      </c>
      <c r="M172" s="7">
        <f t="shared" si="45"/>
        <v>1500</v>
      </c>
      <c r="N172" s="8">
        <v>5</v>
      </c>
      <c r="O172" s="6">
        <v>3</v>
      </c>
      <c r="P172" s="6">
        <f t="shared" si="46"/>
        <v>15</v>
      </c>
      <c r="Q172" s="8">
        <f t="shared" si="47"/>
        <v>22500</v>
      </c>
      <c r="R172" s="6"/>
      <c r="S172" s="6" t="s">
        <v>57</v>
      </c>
      <c r="T172" s="6"/>
      <c r="U172" s="6"/>
      <c r="V172" s="6"/>
      <c r="W172" s="9"/>
      <c r="X172" s="6"/>
      <c r="Y172" s="9">
        <f t="shared" si="38"/>
        <v>0</v>
      </c>
      <c r="Z172" s="10">
        <f t="shared" si="39"/>
        <v>0</v>
      </c>
      <c r="AA172" s="10">
        <f t="shared" si="40"/>
        <v>0</v>
      </c>
      <c r="AB172" s="11">
        <f t="shared" si="41"/>
        <v>0</v>
      </c>
      <c r="AC172" s="11">
        <f t="shared" si="42"/>
        <v>0</v>
      </c>
      <c r="AD172" s="11" t="s">
        <v>59</v>
      </c>
    </row>
    <row r="173" spans="1:30" s="1" customFormat="1" ht="17.100000000000001" customHeight="1">
      <c r="A173" s="2">
        <v>171</v>
      </c>
      <c r="B173" s="3" t="s">
        <v>390</v>
      </c>
      <c r="C173" s="3" t="s">
        <v>391</v>
      </c>
      <c r="D173" s="4">
        <v>38.5</v>
      </c>
      <c r="E173" s="4">
        <v>28</v>
      </c>
      <c r="F173" s="4">
        <v>6.5</v>
      </c>
      <c r="G173" s="4">
        <v>38.5</v>
      </c>
      <c r="H173" s="4">
        <v>28</v>
      </c>
      <c r="I173" s="4">
        <v>6.5</v>
      </c>
      <c r="J173" s="5">
        <f t="shared" si="44"/>
        <v>7.0070000000000002E-3</v>
      </c>
      <c r="K173" s="6">
        <v>500</v>
      </c>
      <c r="L173" s="6">
        <v>15</v>
      </c>
      <c r="M173" s="7">
        <f t="shared" si="45"/>
        <v>7500</v>
      </c>
      <c r="N173" s="8"/>
      <c r="O173" s="6"/>
      <c r="P173" s="6">
        <f t="shared" si="46"/>
        <v>0</v>
      </c>
      <c r="Q173" s="8">
        <f t="shared" si="47"/>
        <v>0</v>
      </c>
      <c r="R173" s="6">
        <v>1.6</v>
      </c>
      <c r="S173" s="6" t="s">
        <v>57</v>
      </c>
      <c r="T173" s="6" t="s">
        <v>200</v>
      </c>
      <c r="U173" s="6"/>
      <c r="V173" s="6"/>
      <c r="W173" s="9"/>
      <c r="X173" s="6"/>
      <c r="Y173" s="9">
        <f t="shared" si="38"/>
        <v>0</v>
      </c>
      <c r="Z173" s="10">
        <f t="shared" si="39"/>
        <v>0</v>
      </c>
      <c r="AA173" s="10">
        <f t="shared" si="40"/>
        <v>0</v>
      </c>
      <c r="AB173" s="11">
        <f t="shared" si="41"/>
        <v>0</v>
      </c>
      <c r="AC173" s="11">
        <f t="shared" si="42"/>
        <v>0</v>
      </c>
      <c r="AD173" s="11" t="s">
        <v>59</v>
      </c>
    </row>
    <row r="174" spans="1:30" s="1" customFormat="1" ht="17.100000000000001" customHeight="1">
      <c r="A174" s="2">
        <v>172</v>
      </c>
      <c r="B174" s="3" t="s">
        <v>392</v>
      </c>
      <c r="C174" s="3" t="s">
        <v>393</v>
      </c>
      <c r="D174" s="4">
        <v>38.5</v>
      </c>
      <c r="E174" s="4">
        <v>28</v>
      </c>
      <c r="F174" s="4">
        <v>6.5</v>
      </c>
      <c r="G174" s="4">
        <v>38.5</v>
      </c>
      <c r="H174" s="4">
        <v>28</v>
      </c>
      <c r="I174" s="4">
        <v>6.5</v>
      </c>
      <c r="J174" s="5">
        <f t="shared" si="44"/>
        <v>7.0070000000000002E-3</v>
      </c>
      <c r="K174" s="6">
        <v>500</v>
      </c>
      <c r="L174" s="6">
        <v>15</v>
      </c>
      <c r="M174" s="7">
        <f t="shared" si="45"/>
        <v>7500</v>
      </c>
      <c r="N174" s="8"/>
      <c r="O174" s="6"/>
      <c r="P174" s="6">
        <f t="shared" si="46"/>
        <v>0</v>
      </c>
      <c r="Q174" s="8">
        <f t="shared" si="47"/>
        <v>0</v>
      </c>
      <c r="R174" s="6">
        <v>1.6</v>
      </c>
      <c r="S174" s="6" t="s">
        <v>57</v>
      </c>
      <c r="T174" s="6" t="s">
        <v>200</v>
      </c>
      <c r="U174" s="6"/>
      <c r="V174" s="6"/>
      <c r="W174" s="9"/>
      <c r="X174" s="6"/>
      <c r="Y174" s="9">
        <f t="shared" si="38"/>
        <v>0</v>
      </c>
      <c r="Z174" s="10">
        <f t="shared" si="39"/>
        <v>0</v>
      </c>
      <c r="AA174" s="10">
        <f t="shared" si="40"/>
        <v>0</v>
      </c>
      <c r="AB174" s="11">
        <f t="shared" si="41"/>
        <v>0</v>
      </c>
      <c r="AC174" s="11">
        <f t="shared" si="42"/>
        <v>0</v>
      </c>
      <c r="AD174" s="11" t="s">
        <v>59</v>
      </c>
    </row>
    <row r="175" spans="1:30" s="1" customFormat="1" ht="17.100000000000001" customHeight="1">
      <c r="A175" s="2">
        <v>173</v>
      </c>
      <c r="B175" s="3" t="s">
        <v>394</v>
      </c>
      <c r="C175" s="3" t="s">
        <v>395</v>
      </c>
      <c r="D175" s="4">
        <v>38.5</v>
      </c>
      <c r="E175" s="4">
        <v>28</v>
      </c>
      <c r="F175" s="4">
        <v>6.5</v>
      </c>
      <c r="G175" s="4">
        <v>38.5</v>
      </c>
      <c r="H175" s="4">
        <v>28</v>
      </c>
      <c r="I175" s="4">
        <v>6.5</v>
      </c>
      <c r="J175" s="5">
        <f t="shared" si="44"/>
        <v>7.0070000000000002E-3</v>
      </c>
      <c r="K175" s="6">
        <v>500</v>
      </c>
      <c r="L175" s="6">
        <v>15</v>
      </c>
      <c r="M175" s="7">
        <f t="shared" si="45"/>
        <v>7500</v>
      </c>
      <c r="N175" s="8"/>
      <c r="O175" s="6"/>
      <c r="P175" s="6">
        <f t="shared" si="46"/>
        <v>0</v>
      </c>
      <c r="Q175" s="8">
        <f t="shared" si="47"/>
        <v>0</v>
      </c>
      <c r="R175" s="6">
        <v>1.6</v>
      </c>
      <c r="S175" s="6" t="s">
        <v>57</v>
      </c>
      <c r="T175" s="6" t="s">
        <v>200</v>
      </c>
      <c r="U175" s="6"/>
      <c r="V175" s="6"/>
      <c r="W175" s="9"/>
      <c r="X175" s="6"/>
      <c r="Y175" s="9">
        <f t="shared" si="38"/>
        <v>0</v>
      </c>
      <c r="Z175" s="10">
        <f t="shared" si="39"/>
        <v>0</v>
      </c>
      <c r="AA175" s="10">
        <f t="shared" si="40"/>
        <v>0</v>
      </c>
      <c r="AB175" s="11">
        <f t="shared" si="41"/>
        <v>0</v>
      </c>
      <c r="AC175" s="11">
        <f t="shared" si="42"/>
        <v>0</v>
      </c>
      <c r="AD175" s="11" t="s">
        <v>59</v>
      </c>
    </row>
    <row r="176" spans="1:30" s="1" customFormat="1" ht="17.100000000000001" customHeight="1">
      <c r="A176" s="2">
        <v>174</v>
      </c>
      <c r="B176" s="3" t="s">
        <v>396</v>
      </c>
      <c r="C176" s="3" t="s">
        <v>397</v>
      </c>
      <c r="D176" s="4">
        <v>39</v>
      </c>
      <c r="E176" s="4">
        <v>28</v>
      </c>
      <c r="F176" s="4">
        <v>6.2</v>
      </c>
      <c r="G176" s="4">
        <v>38.5</v>
      </c>
      <c r="H176" s="4">
        <v>28</v>
      </c>
      <c r="I176" s="4">
        <v>6.5</v>
      </c>
      <c r="J176" s="5">
        <f t="shared" si="44"/>
        <v>7.0070000000000002E-3</v>
      </c>
      <c r="K176" s="6">
        <v>500</v>
      </c>
      <c r="L176" s="6">
        <v>15</v>
      </c>
      <c r="M176" s="7">
        <v>0</v>
      </c>
      <c r="N176" s="8"/>
      <c r="O176" s="6"/>
      <c r="P176" s="6">
        <f t="shared" si="46"/>
        <v>0</v>
      </c>
      <c r="Q176" s="8">
        <f t="shared" si="47"/>
        <v>0</v>
      </c>
      <c r="R176" s="6">
        <v>1.6</v>
      </c>
      <c r="S176" s="6" t="s">
        <v>57</v>
      </c>
      <c r="T176" s="6" t="s">
        <v>200</v>
      </c>
      <c r="U176" s="6"/>
      <c r="V176" s="6"/>
      <c r="W176" s="9"/>
      <c r="X176" s="6"/>
      <c r="Y176" s="9" t="e">
        <f t="shared" si="38"/>
        <v>#DIV/0!</v>
      </c>
      <c r="Z176" s="10" t="e">
        <f t="shared" si="39"/>
        <v>#DIV/0!</v>
      </c>
      <c r="AA176" s="10" t="e">
        <f t="shared" si="40"/>
        <v>#DIV/0!</v>
      </c>
      <c r="AB176" s="11" t="e">
        <f t="shared" si="41"/>
        <v>#DIV/0!</v>
      </c>
      <c r="AC176" s="11" t="e">
        <f t="shared" si="42"/>
        <v>#DIV/0!</v>
      </c>
      <c r="AD176" s="11" t="s">
        <v>59</v>
      </c>
    </row>
    <row r="177" spans="1:30" s="1" customFormat="1" ht="17.100000000000001" customHeight="1">
      <c r="A177" s="2">
        <v>175</v>
      </c>
      <c r="B177" s="3" t="s">
        <v>398</v>
      </c>
      <c r="C177" s="3" t="s">
        <v>399</v>
      </c>
      <c r="D177" s="4">
        <v>39</v>
      </c>
      <c r="E177" s="4">
        <v>28</v>
      </c>
      <c r="F177" s="4">
        <v>6.2</v>
      </c>
      <c r="G177" s="4">
        <v>38.5</v>
      </c>
      <c r="H177" s="4">
        <v>28</v>
      </c>
      <c r="I177" s="4">
        <v>6.5</v>
      </c>
      <c r="J177" s="5">
        <f t="shared" si="44"/>
        <v>7.0070000000000002E-3</v>
      </c>
      <c r="K177" s="6">
        <v>500</v>
      </c>
      <c r="L177" s="6">
        <v>15</v>
      </c>
      <c r="M177" s="7">
        <f t="shared" ref="M177:M194" si="48">K177*L177</f>
        <v>7500</v>
      </c>
      <c r="N177" s="8"/>
      <c r="O177" s="6"/>
      <c r="P177" s="6">
        <f t="shared" si="46"/>
        <v>0</v>
      </c>
      <c r="Q177" s="8">
        <f t="shared" si="47"/>
        <v>0</v>
      </c>
      <c r="R177" s="6">
        <v>1.6</v>
      </c>
      <c r="S177" s="6" t="s">
        <v>57</v>
      </c>
      <c r="T177" s="6" t="s">
        <v>200</v>
      </c>
      <c r="U177" s="6"/>
      <c r="V177" s="6"/>
      <c r="W177" s="9"/>
      <c r="X177" s="6"/>
      <c r="Y177" s="9">
        <f t="shared" si="38"/>
        <v>0</v>
      </c>
      <c r="Z177" s="10">
        <f t="shared" si="39"/>
        <v>0</v>
      </c>
      <c r="AA177" s="10">
        <f t="shared" si="40"/>
        <v>0</v>
      </c>
      <c r="AB177" s="11">
        <f t="shared" si="41"/>
        <v>0</v>
      </c>
      <c r="AC177" s="11">
        <f t="shared" si="42"/>
        <v>0</v>
      </c>
      <c r="AD177" s="11" t="s">
        <v>59</v>
      </c>
    </row>
    <row r="178" spans="1:30" s="1" customFormat="1" ht="17.100000000000001" customHeight="1">
      <c r="A178" s="2">
        <v>176</v>
      </c>
      <c r="B178" s="3" t="s">
        <v>400</v>
      </c>
      <c r="C178" s="3" t="s">
        <v>401</v>
      </c>
      <c r="D178" s="4">
        <v>38.5</v>
      </c>
      <c r="E178" s="4">
        <v>28</v>
      </c>
      <c r="F178" s="4">
        <v>6.5</v>
      </c>
      <c r="G178" s="4">
        <v>38.5</v>
      </c>
      <c r="H178" s="4">
        <v>28</v>
      </c>
      <c r="I178" s="4">
        <v>6.5</v>
      </c>
      <c r="J178" s="5">
        <f t="shared" si="44"/>
        <v>7.0070000000000002E-3</v>
      </c>
      <c r="K178" s="6">
        <v>500</v>
      </c>
      <c r="L178" s="6">
        <v>15</v>
      </c>
      <c r="M178" s="7">
        <f t="shared" si="48"/>
        <v>7500</v>
      </c>
      <c r="N178" s="8"/>
      <c r="O178" s="6"/>
      <c r="P178" s="6">
        <f t="shared" si="46"/>
        <v>0</v>
      </c>
      <c r="Q178" s="8">
        <f t="shared" si="47"/>
        <v>0</v>
      </c>
      <c r="R178" s="6">
        <v>1.6</v>
      </c>
      <c r="S178" s="6" t="s">
        <v>57</v>
      </c>
      <c r="T178" s="6" t="s">
        <v>200</v>
      </c>
      <c r="U178" s="6"/>
      <c r="V178" s="6"/>
      <c r="W178" s="9"/>
      <c r="X178" s="6"/>
      <c r="Y178" s="9">
        <f t="shared" si="38"/>
        <v>0</v>
      </c>
      <c r="Z178" s="10">
        <f t="shared" si="39"/>
        <v>0</v>
      </c>
      <c r="AA178" s="10">
        <f t="shared" si="40"/>
        <v>0</v>
      </c>
      <c r="AB178" s="11">
        <f t="shared" si="41"/>
        <v>0</v>
      </c>
      <c r="AC178" s="11">
        <f t="shared" si="42"/>
        <v>0</v>
      </c>
      <c r="AD178" s="11" t="s">
        <v>59</v>
      </c>
    </row>
    <row r="179" spans="1:30" s="1" customFormat="1" ht="17.100000000000001" customHeight="1">
      <c r="A179" s="2">
        <v>177</v>
      </c>
      <c r="B179" s="3" t="s">
        <v>402</v>
      </c>
      <c r="C179" s="3" t="s">
        <v>403</v>
      </c>
      <c r="D179" s="4">
        <v>38.5</v>
      </c>
      <c r="E179" s="4">
        <v>28</v>
      </c>
      <c r="F179" s="4">
        <v>6.5</v>
      </c>
      <c r="G179" s="4">
        <v>38.5</v>
      </c>
      <c r="H179" s="4">
        <v>28</v>
      </c>
      <c r="I179" s="4">
        <v>6.5</v>
      </c>
      <c r="J179" s="5">
        <f t="shared" si="44"/>
        <v>7.0070000000000002E-3</v>
      </c>
      <c r="K179" s="6">
        <v>500</v>
      </c>
      <c r="L179" s="6">
        <v>15</v>
      </c>
      <c r="M179" s="7">
        <f t="shared" si="48"/>
        <v>7500</v>
      </c>
      <c r="N179" s="8"/>
      <c r="O179" s="6"/>
      <c r="P179" s="6">
        <f t="shared" si="46"/>
        <v>0</v>
      </c>
      <c r="Q179" s="8">
        <f t="shared" si="47"/>
        <v>0</v>
      </c>
      <c r="R179" s="6">
        <v>1.6</v>
      </c>
      <c r="S179" s="6" t="s">
        <v>57</v>
      </c>
      <c r="T179" s="6" t="s">
        <v>200</v>
      </c>
      <c r="U179" s="6"/>
      <c r="V179" s="6"/>
      <c r="W179" s="9"/>
      <c r="X179" s="6"/>
      <c r="Y179" s="9">
        <f t="shared" si="38"/>
        <v>0</v>
      </c>
      <c r="Z179" s="10">
        <f t="shared" si="39"/>
        <v>0</v>
      </c>
      <c r="AA179" s="10">
        <f t="shared" si="40"/>
        <v>0</v>
      </c>
      <c r="AB179" s="11">
        <f t="shared" si="41"/>
        <v>0</v>
      </c>
      <c r="AC179" s="11">
        <f t="shared" si="42"/>
        <v>0</v>
      </c>
      <c r="AD179" s="11" t="s">
        <v>59</v>
      </c>
    </row>
    <row r="180" spans="1:30" s="1" customFormat="1" ht="17.100000000000001" customHeight="1">
      <c r="A180" s="2">
        <v>178</v>
      </c>
      <c r="B180" s="3" t="s">
        <v>404</v>
      </c>
      <c r="C180" s="3" t="s">
        <v>405</v>
      </c>
      <c r="D180" s="4">
        <v>38.5</v>
      </c>
      <c r="E180" s="4">
        <v>28</v>
      </c>
      <c r="F180" s="4">
        <v>16.5</v>
      </c>
      <c r="G180" s="4">
        <v>38.5</v>
      </c>
      <c r="H180" s="4">
        <v>28</v>
      </c>
      <c r="I180" s="4">
        <v>6.5</v>
      </c>
      <c r="J180" s="5">
        <f t="shared" si="44"/>
        <v>7.0070000000000002E-3</v>
      </c>
      <c r="K180" s="6">
        <v>500</v>
      </c>
      <c r="L180" s="6">
        <v>15</v>
      </c>
      <c r="M180" s="7">
        <f t="shared" si="48"/>
        <v>7500</v>
      </c>
      <c r="N180" s="8"/>
      <c r="O180" s="6"/>
      <c r="P180" s="6">
        <f t="shared" si="46"/>
        <v>0</v>
      </c>
      <c r="Q180" s="8">
        <f t="shared" si="47"/>
        <v>0</v>
      </c>
      <c r="R180" s="6">
        <v>1.6</v>
      </c>
      <c r="S180" s="6" t="s">
        <v>57</v>
      </c>
      <c r="T180" s="6" t="s">
        <v>200</v>
      </c>
      <c r="U180" s="6"/>
      <c r="V180" s="6"/>
      <c r="W180" s="9"/>
      <c r="X180" s="6"/>
      <c r="Y180" s="9">
        <f t="shared" si="38"/>
        <v>0</v>
      </c>
      <c r="Z180" s="10">
        <f t="shared" si="39"/>
        <v>0</v>
      </c>
      <c r="AA180" s="10">
        <f t="shared" si="40"/>
        <v>0</v>
      </c>
      <c r="AB180" s="11">
        <f t="shared" si="41"/>
        <v>0</v>
      </c>
      <c r="AC180" s="11">
        <f t="shared" si="42"/>
        <v>0</v>
      </c>
      <c r="AD180" s="11" t="s">
        <v>59</v>
      </c>
    </row>
    <row r="181" spans="1:30" s="1" customFormat="1" ht="17.100000000000001" customHeight="1">
      <c r="A181" s="2">
        <v>179</v>
      </c>
      <c r="B181" s="3" t="s">
        <v>406</v>
      </c>
      <c r="C181" s="3" t="s">
        <v>407</v>
      </c>
      <c r="D181" s="4">
        <v>38.5</v>
      </c>
      <c r="E181" s="4">
        <v>28</v>
      </c>
      <c r="F181" s="4">
        <v>6.5</v>
      </c>
      <c r="G181" s="4">
        <v>38.5</v>
      </c>
      <c r="H181" s="4">
        <v>30</v>
      </c>
      <c r="I181" s="4">
        <v>5</v>
      </c>
      <c r="J181" s="5">
        <f t="shared" si="44"/>
        <v>5.7749999999999998E-3</v>
      </c>
      <c r="K181" s="6">
        <v>500</v>
      </c>
      <c r="L181" s="6">
        <v>15</v>
      </c>
      <c r="M181" s="7">
        <f t="shared" si="48"/>
        <v>7500</v>
      </c>
      <c r="N181" s="8"/>
      <c r="O181" s="6"/>
      <c r="P181" s="6">
        <f t="shared" si="46"/>
        <v>0</v>
      </c>
      <c r="Q181" s="8">
        <f t="shared" si="47"/>
        <v>0</v>
      </c>
      <c r="R181" s="6">
        <v>1.7</v>
      </c>
      <c r="S181" s="6" t="s">
        <v>57</v>
      </c>
      <c r="T181" s="6" t="s">
        <v>200</v>
      </c>
      <c r="U181" s="6"/>
      <c r="V181" s="6"/>
      <c r="W181" s="9"/>
      <c r="X181" s="6"/>
      <c r="Y181" s="9">
        <f t="shared" si="38"/>
        <v>0</v>
      </c>
      <c r="Z181" s="10">
        <f t="shared" si="39"/>
        <v>0</v>
      </c>
      <c r="AA181" s="10">
        <f t="shared" si="40"/>
        <v>0</v>
      </c>
      <c r="AB181" s="11">
        <f t="shared" si="41"/>
        <v>0</v>
      </c>
      <c r="AC181" s="11">
        <f t="shared" si="42"/>
        <v>0</v>
      </c>
      <c r="AD181" s="11" t="s">
        <v>59</v>
      </c>
    </row>
    <row r="182" spans="1:30" s="1" customFormat="1" ht="17.100000000000001" customHeight="1">
      <c r="A182" s="2">
        <v>180</v>
      </c>
      <c r="B182" s="3" t="s">
        <v>408</v>
      </c>
      <c r="C182" s="3" t="s">
        <v>409</v>
      </c>
      <c r="D182" s="4">
        <v>38.5</v>
      </c>
      <c r="E182" s="4">
        <v>30</v>
      </c>
      <c r="F182" s="4">
        <v>5</v>
      </c>
      <c r="G182" s="4">
        <v>38.5</v>
      </c>
      <c r="H182" s="4">
        <v>30</v>
      </c>
      <c r="I182" s="4">
        <v>5</v>
      </c>
      <c r="J182" s="5">
        <f t="shared" si="44"/>
        <v>5.7749999999999998E-3</v>
      </c>
      <c r="K182" s="6">
        <v>500</v>
      </c>
      <c r="L182" s="6">
        <v>15</v>
      </c>
      <c r="M182" s="7">
        <f t="shared" si="48"/>
        <v>7500</v>
      </c>
      <c r="N182" s="8"/>
      <c r="O182" s="6"/>
      <c r="P182" s="6">
        <f t="shared" si="46"/>
        <v>0</v>
      </c>
      <c r="Q182" s="8">
        <f t="shared" si="47"/>
        <v>0</v>
      </c>
      <c r="R182" s="6">
        <v>1.7</v>
      </c>
      <c r="S182" s="6" t="s">
        <v>57</v>
      </c>
      <c r="T182" s="6" t="s">
        <v>200</v>
      </c>
      <c r="U182" s="6"/>
      <c r="V182" s="6"/>
      <c r="W182" s="9"/>
      <c r="X182" s="6"/>
      <c r="Y182" s="9">
        <f t="shared" si="38"/>
        <v>0</v>
      </c>
      <c r="Z182" s="10">
        <f t="shared" si="39"/>
        <v>0</v>
      </c>
      <c r="AA182" s="10">
        <f t="shared" si="40"/>
        <v>0</v>
      </c>
      <c r="AB182" s="11">
        <f t="shared" si="41"/>
        <v>0</v>
      </c>
      <c r="AC182" s="11">
        <f t="shared" si="42"/>
        <v>0</v>
      </c>
      <c r="AD182" s="11" t="s">
        <v>59</v>
      </c>
    </row>
    <row r="183" spans="1:30" s="1" customFormat="1" ht="17.100000000000001" customHeight="1">
      <c r="A183" s="2">
        <v>181</v>
      </c>
      <c r="B183" s="3" t="s">
        <v>410</v>
      </c>
      <c r="C183" s="3" t="s">
        <v>411</v>
      </c>
      <c r="D183" s="4">
        <v>38.700000000000003</v>
      </c>
      <c r="E183" s="4">
        <v>30</v>
      </c>
      <c r="F183" s="4">
        <v>5</v>
      </c>
      <c r="G183" s="4">
        <v>38.5</v>
      </c>
      <c r="H183" s="4">
        <v>30</v>
      </c>
      <c r="I183" s="4">
        <v>5</v>
      </c>
      <c r="J183" s="5">
        <f t="shared" si="44"/>
        <v>5.7749999999999998E-3</v>
      </c>
      <c r="K183" s="6">
        <v>500</v>
      </c>
      <c r="L183" s="6">
        <v>15</v>
      </c>
      <c r="M183" s="7">
        <f t="shared" si="48"/>
        <v>7500</v>
      </c>
      <c r="N183" s="8"/>
      <c r="O183" s="6"/>
      <c r="P183" s="6">
        <f t="shared" si="46"/>
        <v>0</v>
      </c>
      <c r="Q183" s="8">
        <f t="shared" si="47"/>
        <v>0</v>
      </c>
      <c r="R183" s="6">
        <v>1.7</v>
      </c>
      <c r="S183" s="6" t="s">
        <v>57</v>
      </c>
      <c r="T183" s="6" t="s">
        <v>200</v>
      </c>
      <c r="U183" s="6"/>
      <c r="V183" s="6"/>
      <c r="W183" s="9"/>
      <c r="X183" s="6"/>
      <c r="Y183" s="9">
        <f t="shared" si="38"/>
        <v>0</v>
      </c>
      <c r="Z183" s="10">
        <f t="shared" si="39"/>
        <v>0</v>
      </c>
      <c r="AA183" s="10">
        <f t="shared" si="40"/>
        <v>0</v>
      </c>
      <c r="AB183" s="11">
        <f t="shared" si="41"/>
        <v>0</v>
      </c>
      <c r="AC183" s="11">
        <f t="shared" si="42"/>
        <v>0</v>
      </c>
      <c r="AD183" s="11" t="s">
        <v>59</v>
      </c>
    </row>
    <row r="184" spans="1:30" s="1" customFormat="1" ht="17.100000000000001" customHeight="1">
      <c r="A184" s="2">
        <v>182</v>
      </c>
      <c r="B184" s="3" t="s">
        <v>412</v>
      </c>
      <c r="C184" s="3" t="s">
        <v>413</v>
      </c>
      <c r="D184" s="4">
        <v>38.5</v>
      </c>
      <c r="E184" s="4">
        <v>28</v>
      </c>
      <c r="F184" s="4">
        <v>6.5</v>
      </c>
      <c r="G184" s="4">
        <v>38.5</v>
      </c>
      <c r="H184" s="4">
        <v>30</v>
      </c>
      <c r="I184" s="4">
        <v>5</v>
      </c>
      <c r="J184" s="5">
        <f t="shared" si="44"/>
        <v>5.7749999999999998E-3</v>
      </c>
      <c r="K184" s="6">
        <v>500</v>
      </c>
      <c r="L184" s="6">
        <v>15</v>
      </c>
      <c r="M184" s="7">
        <f t="shared" si="48"/>
        <v>7500</v>
      </c>
      <c r="N184" s="8"/>
      <c r="O184" s="6"/>
      <c r="P184" s="6">
        <f t="shared" si="46"/>
        <v>0</v>
      </c>
      <c r="Q184" s="8">
        <f t="shared" si="47"/>
        <v>0</v>
      </c>
      <c r="R184" s="6">
        <v>1.7</v>
      </c>
      <c r="S184" s="6" t="s">
        <v>57</v>
      </c>
      <c r="T184" s="6" t="s">
        <v>200</v>
      </c>
      <c r="U184" s="6"/>
      <c r="V184" s="6"/>
      <c r="W184" s="9"/>
      <c r="X184" s="6"/>
      <c r="Y184" s="9">
        <f t="shared" si="38"/>
        <v>0</v>
      </c>
      <c r="Z184" s="10">
        <f t="shared" si="39"/>
        <v>0</v>
      </c>
      <c r="AA184" s="10">
        <f t="shared" si="40"/>
        <v>0</v>
      </c>
      <c r="AB184" s="11">
        <f t="shared" si="41"/>
        <v>0</v>
      </c>
      <c r="AC184" s="11">
        <f t="shared" si="42"/>
        <v>0</v>
      </c>
      <c r="AD184" s="11" t="s">
        <v>59</v>
      </c>
    </row>
    <row r="185" spans="1:30" s="1" customFormat="1" ht="17.100000000000001" customHeight="1">
      <c r="A185" s="2">
        <v>183</v>
      </c>
      <c r="B185" s="3" t="s">
        <v>414</v>
      </c>
      <c r="C185" s="3" t="s">
        <v>415</v>
      </c>
      <c r="D185" s="4">
        <v>38.5</v>
      </c>
      <c r="E185" s="4">
        <v>28</v>
      </c>
      <c r="F185" s="4">
        <v>6.5</v>
      </c>
      <c r="G185" s="4">
        <v>38.5</v>
      </c>
      <c r="H185" s="4">
        <v>30</v>
      </c>
      <c r="I185" s="4">
        <v>5</v>
      </c>
      <c r="J185" s="5">
        <f t="shared" si="44"/>
        <v>5.7749999999999998E-3</v>
      </c>
      <c r="K185" s="6">
        <v>500</v>
      </c>
      <c r="L185" s="6">
        <v>15</v>
      </c>
      <c r="M185" s="7">
        <f t="shared" si="48"/>
        <v>7500</v>
      </c>
      <c r="N185" s="8"/>
      <c r="O185" s="6"/>
      <c r="P185" s="6">
        <f t="shared" si="46"/>
        <v>0</v>
      </c>
      <c r="Q185" s="8">
        <f t="shared" si="47"/>
        <v>0</v>
      </c>
      <c r="R185" s="6">
        <v>1.7</v>
      </c>
      <c r="S185" s="6" t="s">
        <v>57</v>
      </c>
      <c r="T185" s="6" t="s">
        <v>200</v>
      </c>
      <c r="U185" s="6"/>
      <c r="V185" s="6"/>
      <c r="W185" s="9"/>
      <c r="X185" s="6"/>
      <c r="Y185" s="9">
        <f t="shared" si="38"/>
        <v>0</v>
      </c>
      <c r="Z185" s="10">
        <f t="shared" si="39"/>
        <v>0</v>
      </c>
      <c r="AA185" s="10">
        <f t="shared" si="40"/>
        <v>0</v>
      </c>
      <c r="AB185" s="11">
        <f t="shared" si="41"/>
        <v>0</v>
      </c>
      <c r="AC185" s="11">
        <f t="shared" si="42"/>
        <v>0</v>
      </c>
      <c r="AD185" s="11" t="s">
        <v>59</v>
      </c>
    </row>
    <row r="186" spans="1:30" s="1" customFormat="1" ht="17.100000000000001" customHeight="1">
      <c r="A186" s="2">
        <v>184</v>
      </c>
      <c r="B186" s="3" t="s">
        <v>416</v>
      </c>
      <c r="C186" s="3" t="s">
        <v>417</v>
      </c>
      <c r="D186" s="4">
        <v>39</v>
      </c>
      <c r="E186" s="4">
        <v>30</v>
      </c>
      <c r="F186" s="4">
        <v>5</v>
      </c>
      <c r="G186" s="4"/>
      <c r="H186" s="4"/>
      <c r="I186" s="4"/>
      <c r="J186" s="5">
        <f t="shared" si="44"/>
        <v>0</v>
      </c>
      <c r="K186" s="6">
        <v>500</v>
      </c>
      <c r="L186" s="6">
        <v>15</v>
      </c>
      <c r="M186" s="7">
        <f t="shared" si="48"/>
        <v>7500</v>
      </c>
      <c r="N186" s="8"/>
      <c r="O186" s="6"/>
      <c r="P186" s="6">
        <f t="shared" si="46"/>
        <v>0</v>
      </c>
      <c r="Q186" s="8">
        <f t="shared" si="47"/>
        <v>0</v>
      </c>
      <c r="R186" s="6"/>
      <c r="S186" s="6" t="s">
        <v>57</v>
      </c>
      <c r="T186" s="6" t="s">
        <v>200</v>
      </c>
      <c r="U186" s="6"/>
      <c r="V186" s="6"/>
      <c r="W186" s="9"/>
      <c r="X186" s="6"/>
      <c r="Y186" s="9">
        <f t="shared" si="38"/>
        <v>0</v>
      </c>
      <c r="Z186" s="10">
        <f t="shared" si="39"/>
        <v>0</v>
      </c>
      <c r="AA186" s="10">
        <f t="shared" si="40"/>
        <v>0</v>
      </c>
      <c r="AB186" s="11">
        <f t="shared" si="41"/>
        <v>0</v>
      </c>
      <c r="AC186" s="11">
        <f t="shared" si="42"/>
        <v>0</v>
      </c>
      <c r="AD186" s="11" t="s">
        <v>59</v>
      </c>
    </row>
    <row r="187" spans="1:30" s="1" customFormat="1" ht="17.100000000000001" customHeight="1">
      <c r="A187" s="2">
        <v>185</v>
      </c>
      <c r="B187" s="3" t="s">
        <v>418</v>
      </c>
      <c r="C187" s="3" t="s">
        <v>419</v>
      </c>
      <c r="D187" s="4">
        <v>33.5</v>
      </c>
      <c r="E187" s="4">
        <v>31.5</v>
      </c>
      <c r="F187" s="4">
        <v>6.5</v>
      </c>
      <c r="G187" s="4"/>
      <c r="H187" s="4"/>
      <c r="I187" s="4"/>
      <c r="J187" s="5">
        <f t="shared" si="44"/>
        <v>0</v>
      </c>
      <c r="K187" s="6">
        <v>500</v>
      </c>
      <c r="L187" s="6">
        <v>15</v>
      </c>
      <c r="M187" s="7">
        <f t="shared" si="48"/>
        <v>7500</v>
      </c>
      <c r="N187" s="8"/>
      <c r="O187" s="6"/>
      <c r="P187" s="6">
        <f t="shared" si="46"/>
        <v>0</v>
      </c>
      <c r="Q187" s="8">
        <f t="shared" si="47"/>
        <v>0</v>
      </c>
      <c r="R187" s="6"/>
      <c r="S187" s="6" t="s">
        <v>57</v>
      </c>
      <c r="T187" s="6" t="s">
        <v>200</v>
      </c>
      <c r="U187" s="6"/>
      <c r="V187" s="6"/>
      <c r="W187" s="9"/>
      <c r="X187" s="6"/>
      <c r="Y187" s="9">
        <f t="shared" si="38"/>
        <v>0</v>
      </c>
      <c r="Z187" s="10">
        <f t="shared" si="39"/>
        <v>0</v>
      </c>
      <c r="AA187" s="10">
        <f t="shared" si="40"/>
        <v>0</v>
      </c>
      <c r="AB187" s="11">
        <f t="shared" si="41"/>
        <v>0</v>
      </c>
      <c r="AC187" s="11">
        <f t="shared" si="42"/>
        <v>0</v>
      </c>
      <c r="AD187" s="11" t="s">
        <v>59</v>
      </c>
    </row>
    <row r="188" spans="1:30" s="1" customFormat="1" ht="17.100000000000001" customHeight="1">
      <c r="A188" s="2">
        <v>186</v>
      </c>
      <c r="B188" s="3" t="s">
        <v>420</v>
      </c>
      <c r="C188" s="3" t="s">
        <v>421</v>
      </c>
      <c r="D188" s="4">
        <v>40</v>
      </c>
      <c r="E188" s="4">
        <v>30</v>
      </c>
      <c r="F188" s="4">
        <v>7</v>
      </c>
      <c r="G188" s="4"/>
      <c r="H188" s="4"/>
      <c r="I188" s="4"/>
      <c r="J188" s="5">
        <f t="shared" si="44"/>
        <v>0</v>
      </c>
      <c r="K188" s="6">
        <v>500</v>
      </c>
      <c r="L188" s="6">
        <v>15</v>
      </c>
      <c r="M188" s="7">
        <f t="shared" si="48"/>
        <v>7500</v>
      </c>
      <c r="N188" s="8"/>
      <c r="O188" s="6"/>
      <c r="P188" s="6">
        <f t="shared" si="46"/>
        <v>0</v>
      </c>
      <c r="Q188" s="8">
        <f t="shared" si="47"/>
        <v>0</v>
      </c>
      <c r="R188" s="6"/>
      <c r="S188" s="6" t="s">
        <v>57</v>
      </c>
      <c r="T188" s="6" t="s">
        <v>200</v>
      </c>
      <c r="U188" s="6"/>
      <c r="V188" s="6"/>
      <c r="W188" s="9"/>
      <c r="X188" s="6"/>
      <c r="Y188" s="9">
        <f t="shared" si="38"/>
        <v>0</v>
      </c>
      <c r="Z188" s="10">
        <f t="shared" si="39"/>
        <v>0</v>
      </c>
      <c r="AA188" s="10">
        <f t="shared" si="40"/>
        <v>0</v>
      </c>
      <c r="AB188" s="11">
        <f t="shared" si="41"/>
        <v>0</v>
      </c>
      <c r="AC188" s="11">
        <f t="shared" si="42"/>
        <v>0</v>
      </c>
      <c r="AD188" s="11" t="s">
        <v>59</v>
      </c>
    </row>
    <row r="189" spans="1:30" s="1" customFormat="1" ht="17.100000000000001" customHeight="1">
      <c r="A189" s="2">
        <v>187</v>
      </c>
      <c r="B189" s="3" t="s">
        <v>422</v>
      </c>
      <c r="C189" s="3" t="s">
        <v>423</v>
      </c>
      <c r="D189" s="4">
        <v>33</v>
      </c>
      <c r="E189" s="4">
        <v>29</v>
      </c>
      <c r="F189" s="4">
        <v>7</v>
      </c>
      <c r="G189" s="4"/>
      <c r="H189" s="4"/>
      <c r="I189" s="4"/>
      <c r="J189" s="5">
        <f t="shared" si="44"/>
        <v>0</v>
      </c>
      <c r="K189" s="6">
        <v>500</v>
      </c>
      <c r="L189" s="6">
        <v>15</v>
      </c>
      <c r="M189" s="7">
        <f t="shared" si="48"/>
        <v>7500</v>
      </c>
      <c r="N189" s="8"/>
      <c r="O189" s="6"/>
      <c r="P189" s="6">
        <f t="shared" si="46"/>
        <v>0</v>
      </c>
      <c r="Q189" s="8">
        <f t="shared" si="47"/>
        <v>0</v>
      </c>
      <c r="R189" s="6"/>
      <c r="S189" s="6" t="s">
        <v>57</v>
      </c>
      <c r="T189" s="6" t="s">
        <v>200</v>
      </c>
      <c r="U189" s="6"/>
      <c r="V189" s="6"/>
      <c r="W189" s="9"/>
      <c r="X189" s="6"/>
      <c r="Y189" s="9">
        <f t="shared" si="38"/>
        <v>0</v>
      </c>
      <c r="Z189" s="10">
        <f t="shared" si="39"/>
        <v>0</v>
      </c>
      <c r="AA189" s="10">
        <f t="shared" si="40"/>
        <v>0</v>
      </c>
      <c r="AB189" s="11">
        <f t="shared" si="41"/>
        <v>0</v>
      </c>
      <c r="AC189" s="11">
        <f t="shared" si="42"/>
        <v>0</v>
      </c>
      <c r="AD189" s="11" t="s">
        <v>59</v>
      </c>
    </row>
    <row r="190" spans="1:30" s="1" customFormat="1" ht="17.100000000000001" customHeight="1">
      <c r="A190" s="2">
        <v>188</v>
      </c>
      <c r="B190" s="3" t="s">
        <v>424</v>
      </c>
      <c r="C190" s="3" t="s">
        <v>424</v>
      </c>
      <c r="D190" s="4"/>
      <c r="E190" s="4"/>
      <c r="F190" s="4"/>
      <c r="G190" s="4"/>
      <c r="H190" s="4"/>
      <c r="I190" s="4"/>
      <c r="J190" s="5"/>
      <c r="K190" s="6"/>
      <c r="L190" s="6"/>
      <c r="M190" s="7">
        <f t="shared" si="48"/>
        <v>0</v>
      </c>
      <c r="N190" s="8"/>
      <c r="O190" s="6"/>
      <c r="P190" s="6">
        <f t="shared" si="46"/>
        <v>0</v>
      </c>
      <c r="Q190" s="8">
        <f t="shared" si="47"/>
        <v>0</v>
      </c>
      <c r="R190" s="6">
        <v>8.5</v>
      </c>
      <c r="S190" s="6" t="s">
        <v>80</v>
      </c>
      <c r="T190" s="6"/>
      <c r="U190" s="6"/>
      <c r="V190" s="6"/>
      <c r="W190" s="9"/>
      <c r="X190" s="6"/>
      <c r="Y190" s="9" t="e">
        <f t="shared" si="38"/>
        <v>#DIV/0!</v>
      </c>
      <c r="Z190" s="10" t="e">
        <f t="shared" si="39"/>
        <v>#DIV/0!</v>
      </c>
      <c r="AA190" s="10" t="e">
        <f t="shared" si="40"/>
        <v>#DIV/0!</v>
      </c>
      <c r="AB190" s="11" t="e">
        <f t="shared" si="41"/>
        <v>#DIV/0!</v>
      </c>
      <c r="AC190" s="11" t="e">
        <f t="shared" si="42"/>
        <v>#DIV/0!</v>
      </c>
      <c r="AD190" s="11" t="s">
        <v>59</v>
      </c>
    </row>
    <row r="191" spans="1:30" s="1" customFormat="1" ht="17.100000000000001" customHeight="1">
      <c r="A191" s="2">
        <v>189</v>
      </c>
      <c r="B191" s="3" t="s">
        <v>425</v>
      </c>
      <c r="C191" s="3" t="s">
        <v>426</v>
      </c>
      <c r="D191" s="4">
        <v>42</v>
      </c>
      <c r="E191" s="4">
        <v>11</v>
      </c>
      <c r="F191" s="4">
        <v>14</v>
      </c>
      <c r="G191" s="4">
        <v>58</v>
      </c>
      <c r="H191" s="4">
        <v>43</v>
      </c>
      <c r="I191" s="4">
        <v>30</v>
      </c>
      <c r="J191" s="5">
        <f>(G191*H191*I191)/1000000</f>
        <v>7.4819999999999998E-2</v>
      </c>
      <c r="K191" s="6">
        <v>50</v>
      </c>
      <c r="L191" s="6">
        <v>10</v>
      </c>
      <c r="M191" s="7">
        <f t="shared" si="48"/>
        <v>500</v>
      </c>
      <c r="N191" s="8">
        <v>4</v>
      </c>
      <c r="O191" s="6">
        <v>6</v>
      </c>
      <c r="P191" s="6">
        <f t="shared" si="46"/>
        <v>24</v>
      </c>
      <c r="Q191" s="8">
        <f t="shared" si="47"/>
        <v>12000</v>
      </c>
      <c r="R191" s="6">
        <v>8.5</v>
      </c>
      <c r="S191" s="6" t="s">
        <v>57</v>
      </c>
      <c r="T191" s="6"/>
      <c r="U191" s="6"/>
      <c r="V191" s="6"/>
      <c r="W191" s="9"/>
      <c r="X191" s="6"/>
      <c r="Y191" s="9">
        <f t="shared" si="38"/>
        <v>0</v>
      </c>
      <c r="Z191" s="10">
        <f t="shared" si="39"/>
        <v>0</v>
      </c>
      <c r="AA191" s="10">
        <f t="shared" si="40"/>
        <v>0</v>
      </c>
      <c r="AB191" s="11">
        <f t="shared" si="41"/>
        <v>0</v>
      </c>
      <c r="AC191" s="11">
        <f t="shared" si="42"/>
        <v>0</v>
      </c>
      <c r="AD191" s="11" t="s">
        <v>59</v>
      </c>
    </row>
    <row r="192" spans="1:30" s="1" customFormat="1" ht="17.100000000000001" customHeight="1">
      <c r="A192" s="2">
        <v>190</v>
      </c>
      <c r="B192" s="3" t="s">
        <v>427</v>
      </c>
      <c r="C192" s="3" t="s">
        <v>428</v>
      </c>
      <c r="D192" s="24">
        <v>10</v>
      </c>
      <c r="E192" s="24">
        <v>10</v>
      </c>
      <c r="F192" s="24">
        <v>24</v>
      </c>
      <c r="G192" s="24">
        <v>40</v>
      </c>
      <c r="H192" s="24">
        <v>26</v>
      </c>
      <c r="I192" s="24">
        <v>20</v>
      </c>
      <c r="J192" s="5">
        <f>(G192*H192*I192)/1000000</f>
        <v>2.0799999999999999E-2</v>
      </c>
      <c r="K192" s="6">
        <v>1</v>
      </c>
      <c r="L192" s="6">
        <v>10</v>
      </c>
      <c r="M192" s="6">
        <f t="shared" si="48"/>
        <v>10</v>
      </c>
      <c r="N192" s="8">
        <v>10</v>
      </c>
      <c r="O192" s="6">
        <v>10</v>
      </c>
      <c r="P192" s="6">
        <v>80</v>
      </c>
      <c r="Q192" s="8">
        <v>800</v>
      </c>
      <c r="R192" s="6">
        <v>11.5</v>
      </c>
      <c r="S192" s="6" t="s">
        <v>57</v>
      </c>
      <c r="T192" s="6"/>
      <c r="U192" s="6"/>
      <c r="V192" s="6"/>
      <c r="W192" s="9"/>
      <c r="X192" s="6" t="s">
        <v>58</v>
      </c>
      <c r="Y192" s="9">
        <f t="shared" si="38"/>
        <v>0</v>
      </c>
      <c r="Z192" s="10">
        <f t="shared" si="39"/>
        <v>0</v>
      </c>
      <c r="AA192" s="10">
        <f t="shared" si="40"/>
        <v>0</v>
      </c>
      <c r="AB192" s="11">
        <f t="shared" si="41"/>
        <v>0</v>
      </c>
      <c r="AC192" s="11">
        <f t="shared" si="42"/>
        <v>0</v>
      </c>
      <c r="AD192" s="11" t="s">
        <v>212</v>
      </c>
    </row>
    <row r="193" spans="1:30" s="1" customFormat="1" ht="17.100000000000001" customHeight="1">
      <c r="A193" s="2">
        <v>191</v>
      </c>
      <c r="B193" s="3" t="s">
        <v>429</v>
      </c>
      <c r="C193" s="3" t="s">
        <v>430</v>
      </c>
      <c r="D193" s="4"/>
      <c r="E193" s="4"/>
      <c r="F193" s="4"/>
      <c r="G193" s="4"/>
      <c r="H193" s="4"/>
      <c r="I193" s="4"/>
      <c r="J193" s="5"/>
      <c r="K193" s="6"/>
      <c r="L193" s="6"/>
      <c r="M193" s="7">
        <f t="shared" si="48"/>
        <v>0</v>
      </c>
      <c r="N193" s="8"/>
      <c r="O193" s="6"/>
      <c r="P193" s="6">
        <f>N193*O193</f>
        <v>0</v>
      </c>
      <c r="Q193" s="8">
        <f>M193*P193</f>
        <v>0</v>
      </c>
      <c r="R193" s="6">
        <v>8.5</v>
      </c>
      <c r="S193" s="6" t="s">
        <v>80</v>
      </c>
      <c r="T193" s="6"/>
      <c r="U193" s="6"/>
      <c r="V193" s="6"/>
      <c r="W193" s="9"/>
      <c r="X193" s="6"/>
      <c r="Y193" s="9" t="e">
        <f t="shared" si="38"/>
        <v>#DIV/0!</v>
      </c>
      <c r="Z193" s="10" t="e">
        <f t="shared" si="39"/>
        <v>#DIV/0!</v>
      </c>
      <c r="AA193" s="10" t="e">
        <f t="shared" si="40"/>
        <v>#DIV/0!</v>
      </c>
      <c r="AB193" s="11" t="e">
        <f t="shared" si="41"/>
        <v>#DIV/0!</v>
      </c>
      <c r="AC193" s="11" t="e">
        <f t="shared" si="42"/>
        <v>#DIV/0!</v>
      </c>
      <c r="AD193" s="11" t="s">
        <v>59</v>
      </c>
    </row>
    <row r="194" spans="1:30" s="1" customFormat="1" ht="17.100000000000001" customHeight="1">
      <c r="A194" s="2">
        <v>192</v>
      </c>
      <c r="B194" s="3" t="s">
        <v>431</v>
      </c>
      <c r="C194" s="3" t="s">
        <v>432</v>
      </c>
      <c r="D194" s="4">
        <v>42</v>
      </c>
      <c r="E194" s="4">
        <v>11</v>
      </c>
      <c r="F194" s="4">
        <v>14</v>
      </c>
      <c r="G194" s="4">
        <v>58</v>
      </c>
      <c r="H194" s="4">
        <v>43</v>
      </c>
      <c r="I194" s="4">
        <v>30</v>
      </c>
      <c r="J194" s="5">
        <f>(G194*H194*I194)/1000000</f>
        <v>7.4819999999999998E-2</v>
      </c>
      <c r="K194" s="6">
        <v>50</v>
      </c>
      <c r="L194" s="6">
        <v>10</v>
      </c>
      <c r="M194" s="7">
        <f t="shared" si="48"/>
        <v>500</v>
      </c>
      <c r="N194" s="8">
        <v>4</v>
      </c>
      <c r="O194" s="6">
        <v>6</v>
      </c>
      <c r="P194" s="6">
        <f>N194*O194</f>
        <v>24</v>
      </c>
      <c r="Q194" s="8">
        <f>M194*P194</f>
        <v>12000</v>
      </c>
      <c r="R194" s="6">
        <v>8.5</v>
      </c>
      <c r="S194" s="6" t="s">
        <v>57</v>
      </c>
      <c r="T194" s="6"/>
      <c r="U194" s="6"/>
      <c r="V194" s="6"/>
      <c r="W194" s="9"/>
      <c r="X194" s="6"/>
      <c r="Y194" s="9">
        <f t="shared" si="38"/>
        <v>0</v>
      </c>
      <c r="Z194" s="10">
        <f t="shared" si="39"/>
        <v>0</v>
      </c>
      <c r="AA194" s="10">
        <f t="shared" si="40"/>
        <v>0</v>
      </c>
      <c r="AB194" s="11">
        <f t="shared" si="41"/>
        <v>0</v>
      </c>
      <c r="AC194" s="11">
        <f t="shared" si="42"/>
        <v>0</v>
      </c>
      <c r="AD194" s="11" t="s">
        <v>59</v>
      </c>
    </row>
    <row r="195" spans="1:30" s="1" customFormat="1" ht="17.100000000000001" customHeight="1">
      <c r="A195" s="2">
        <v>193</v>
      </c>
      <c r="B195" s="3" t="s">
        <v>433</v>
      </c>
      <c r="C195" s="3" t="s">
        <v>434</v>
      </c>
      <c r="D195" s="24">
        <v>23</v>
      </c>
      <c r="E195" s="24">
        <v>14.5</v>
      </c>
      <c r="F195" s="24">
        <v>6</v>
      </c>
      <c r="G195" s="24">
        <v>53</v>
      </c>
      <c r="H195" s="24">
        <v>38</v>
      </c>
      <c r="I195" s="24">
        <v>33.5</v>
      </c>
      <c r="J195" s="5">
        <f>(G195*H195*I195)/1000000</f>
        <v>6.7469000000000001E-2</v>
      </c>
      <c r="K195" s="6">
        <v>1</v>
      </c>
      <c r="L195" s="6">
        <v>50</v>
      </c>
      <c r="M195" s="6">
        <v>50</v>
      </c>
      <c r="N195" s="8"/>
      <c r="O195" s="6">
        <v>5</v>
      </c>
      <c r="P195" s="6">
        <v>40</v>
      </c>
      <c r="Q195" s="8">
        <v>2000</v>
      </c>
      <c r="R195" s="6">
        <v>7.5</v>
      </c>
      <c r="S195" s="6" t="s">
        <v>57</v>
      </c>
      <c r="T195" s="6"/>
      <c r="U195" s="6"/>
      <c r="V195" s="6"/>
      <c r="W195" s="9"/>
      <c r="X195" s="6" t="s">
        <v>58</v>
      </c>
      <c r="Y195" s="9">
        <f t="shared" si="38"/>
        <v>0</v>
      </c>
      <c r="Z195" s="10">
        <f t="shared" si="39"/>
        <v>0</v>
      </c>
      <c r="AA195" s="10">
        <f t="shared" si="40"/>
        <v>0</v>
      </c>
      <c r="AB195" s="11">
        <f t="shared" si="41"/>
        <v>0</v>
      </c>
      <c r="AC195" s="11">
        <f t="shared" si="42"/>
        <v>0</v>
      </c>
      <c r="AD195" s="11" t="s">
        <v>212</v>
      </c>
    </row>
    <row r="196" spans="1:30" s="1" customFormat="1" ht="17.100000000000001" customHeight="1">
      <c r="A196" s="2">
        <v>194</v>
      </c>
      <c r="B196" s="3" t="s">
        <v>435</v>
      </c>
      <c r="C196" s="3" t="s">
        <v>436</v>
      </c>
      <c r="D196" s="4">
        <v>42</v>
      </c>
      <c r="E196" s="4">
        <v>11</v>
      </c>
      <c r="F196" s="4">
        <v>14</v>
      </c>
      <c r="G196" s="4">
        <v>58</v>
      </c>
      <c r="H196" s="4">
        <v>43</v>
      </c>
      <c r="I196" s="4">
        <v>30</v>
      </c>
      <c r="J196" s="5">
        <f>(G196*H196*I196)/1000000</f>
        <v>7.4819999999999998E-2</v>
      </c>
      <c r="K196" s="6">
        <v>50</v>
      </c>
      <c r="L196" s="6">
        <v>10</v>
      </c>
      <c r="M196" s="7">
        <f t="shared" ref="M196:M202" si="49">K196*L196</f>
        <v>500</v>
      </c>
      <c r="N196" s="8">
        <v>4</v>
      </c>
      <c r="O196" s="6">
        <v>6</v>
      </c>
      <c r="P196" s="6">
        <f t="shared" ref="P196:P202" si="50">N196*O196</f>
        <v>24</v>
      </c>
      <c r="Q196" s="8">
        <f t="shared" ref="Q196:Q202" si="51">M196*P196</f>
        <v>12000</v>
      </c>
      <c r="R196" s="6">
        <v>8.5</v>
      </c>
      <c r="S196" s="6" t="s">
        <v>57</v>
      </c>
      <c r="T196" s="6"/>
      <c r="U196" s="6"/>
      <c r="V196" s="6"/>
      <c r="W196" s="9"/>
      <c r="X196" s="6"/>
      <c r="Y196" s="9">
        <f t="shared" si="38"/>
        <v>0</v>
      </c>
      <c r="Z196" s="10">
        <f t="shared" si="39"/>
        <v>0</v>
      </c>
      <c r="AA196" s="10">
        <f t="shared" si="40"/>
        <v>0</v>
      </c>
      <c r="AB196" s="11">
        <f t="shared" si="41"/>
        <v>0</v>
      </c>
      <c r="AC196" s="11">
        <f t="shared" si="42"/>
        <v>0</v>
      </c>
      <c r="AD196" s="11" t="s">
        <v>59</v>
      </c>
    </row>
    <row r="197" spans="1:30" s="1" customFormat="1" ht="17.100000000000001" customHeight="1">
      <c r="A197" s="2">
        <v>195</v>
      </c>
      <c r="B197" s="3" t="s">
        <v>437</v>
      </c>
      <c r="C197" s="3" t="s">
        <v>438</v>
      </c>
      <c r="D197" s="4">
        <v>42</v>
      </c>
      <c r="E197" s="4">
        <v>11</v>
      </c>
      <c r="F197" s="4">
        <v>14</v>
      </c>
      <c r="G197" s="4">
        <v>58</v>
      </c>
      <c r="H197" s="4">
        <v>43</v>
      </c>
      <c r="I197" s="4">
        <v>30</v>
      </c>
      <c r="J197" s="5">
        <f>(G197*H197*I197)/1000000</f>
        <v>7.4819999999999998E-2</v>
      </c>
      <c r="K197" s="6">
        <v>50</v>
      </c>
      <c r="L197" s="6">
        <v>10</v>
      </c>
      <c r="M197" s="7">
        <f t="shared" si="49"/>
        <v>500</v>
      </c>
      <c r="N197" s="8">
        <v>4</v>
      </c>
      <c r="O197" s="6">
        <v>6</v>
      </c>
      <c r="P197" s="6">
        <f t="shared" si="50"/>
        <v>24</v>
      </c>
      <c r="Q197" s="8">
        <f t="shared" si="51"/>
        <v>12000</v>
      </c>
      <c r="R197" s="6">
        <v>8.5</v>
      </c>
      <c r="S197" s="6" t="s">
        <v>57</v>
      </c>
      <c r="T197" s="6"/>
      <c r="U197" s="6"/>
      <c r="V197" s="6"/>
      <c r="W197" s="9"/>
      <c r="X197" s="6"/>
      <c r="Y197" s="9">
        <f t="shared" si="38"/>
        <v>0</v>
      </c>
      <c r="Z197" s="10">
        <f t="shared" si="39"/>
        <v>0</v>
      </c>
      <c r="AA197" s="10">
        <f t="shared" si="40"/>
        <v>0</v>
      </c>
      <c r="AB197" s="11">
        <f t="shared" si="41"/>
        <v>0</v>
      </c>
      <c r="AC197" s="11">
        <f t="shared" si="42"/>
        <v>0</v>
      </c>
      <c r="AD197" s="11" t="s">
        <v>59</v>
      </c>
    </row>
    <row r="198" spans="1:30" s="1" customFormat="1" ht="17.100000000000001" customHeight="1">
      <c r="A198" s="2">
        <v>196</v>
      </c>
      <c r="B198" s="3" t="s">
        <v>439</v>
      </c>
      <c r="C198" s="3" t="s">
        <v>440</v>
      </c>
      <c r="D198" s="4">
        <v>42</v>
      </c>
      <c r="E198" s="4">
        <v>11</v>
      </c>
      <c r="F198" s="4">
        <v>14</v>
      </c>
      <c r="G198" s="4">
        <v>58</v>
      </c>
      <c r="H198" s="4">
        <v>43</v>
      </c>
      <c r="I198" s="4">
        <v>30</v>
      </c>
      <c r="J198" s="5">
        <f>(G198*H198*I198)/1000000</f>
        <v>7.4819999999999998E-2</v>
      </c>
      <c r="K198" s="6">
        <v>50</v>
      </c>
      <c r="L198" s="6">
        <v>10</v>
      </c>
      <c r="M198" s="7">
        <f t="shared" si="49"/>
        <v>500</v>
      </c>
      <c r="N198" s="8">
        <v>4</v>
      </c>
      <c r="O198" s="6">
        <v>6</v>
      </c>
      <c r="P198" s="6">
        <f t="shared" si="50"/>
        <v>24</v>
      </c>
      <c r="Q198" s="8">
        <f t="shared" si="51"/>
        <v>12000</v>
      </c>
      <c r="R198" s="6">
        <v>8.5</v>
      </c>
      <c r="S198" s="6" t="s">
        <v>57</v>
      </c>
      <c r="T198" s="6"/>
      <c r="U198" s="6"/>
      <c r="V198" s="6"/>
      <c r="W198" s="9"/>
      <c r="X198" s="6"/>
      <c r="Y198" s="9">
        <f t="shared" si="38"/>
        <v>0</v>
      </c>
      <c r="Z198" s="10">
        <f t="shared" si="39"/>
        <v>0</v>
      </c>
      <c r="AA198" s="10">
        <f t="shared" si="40"/>
        <v>0</v>
      </c>
      <c r="AB198" s="11">
        <f t="shared" si="41"/>
        <v>0</v>
      </c>
      <c r="AC198" s="11">
        <f t="shared" si="42"/>
        <v>0</v>
      </c>
      <c r="AD198" s="11" t="s">
        <v>59</v>
      </c>
    </row>
    <row r="199" spans="1:30" s="1" customFormat="1" ht="17.100000000000001" customHeight="1">
      <c r="A199" s="2">
        <v>197</v>
      </c>
      <c r="B199" s="3" t="s">
        <v>441</v>
      </c>
      <c r="C199" s="3" t="s">
        <v>442</v>
      </c>
      <c r="D199" s="4"/>
      <c r="E199" s="4"/>
      <c r="F199" s="4"/>
      <c r="G199" s="4"/>
      <c r="H199" s="4"/>
      <c r="I199" s="4"/>
      <c r="J199" s="5"/>
      <c r="K199" s="6"/>
      <c r="L199" s="6"/>
      <c r="M199" s="7">
        <f t="shared" si="49"/>
        <v>0</v>
      </c>
      <c r="N199" s="8"/>
      <c r="O199" s="6"/>
      <c r="P199" s="6">
        <f t="shared" si="50"/>
        <v>0</v>
      </c>
      <c r="Q199" s="8">
        <f t="shared" si="51"/>
        <v>0</v>
      </c>
      <c r="R199" s="6">
        <v>8.5</v>
      </c>
      <c r="S199" s="6" t="s">
        <v>80</v>
      </c>
      <c r="T199" s="6"/>
      <c r="U199" s="6"/>
      <c r="V199" s="6"/>
      <c r="W199" s="9"/>
      <c r="X199" s="6"/>
      <c r="Y199" s="9" t="e">
        <f t="shared" si="38"/>
        <v>#DIV/0!</v>
      </c>
      <c r="Z199" s="10" t="e">
        <f t="shared" si="39"/>
        <v>#DIV/0!</v>
      </c>
      <c r="AA199" s="10" t="e">
        <f t="shared" si="40"/>
        <v>#DIV/0!</v>
      </c>
      <c r="AB199" s="11" t="e">
        <f t="shared" si="41"/>
        <v>#DIV/0!</v>
      </c>
      <c r="AC199" s="11" t="e">
        <f t="shared" si="42"/>
        <v>#DIV/0!</v>
      </c>
      <c r="AD199" s="11" t="s">
        <v>59</v>
      </c>
    </row>
    <row r="200" spans="1:30" s="1" customFormat="1" ht="17.100000000000001" customHeight="1">
      <c r="A200" s="2">
        <v>198</v>
      </c>
      <c r="B200" s="3" t="s">
        <v>443</v>
      </c>
      <c r="C200" s="3" t="s">
        <v>444</v>
      </c>
      <c r="D200" s="4"/>
      <c r="E200" s="4"/>
      <c r="F200" s="4"/>
      <c r="G200" s="4"/>
      <c r="H200" s="4"/>
      <c r="I200" s="4"/>
      <c r="J200" s="5"/>
      <c r="K200" s="6"/>
      <c r="L200" s="6"/>
      <c r="M200" s="7">
        <f t="shared" si="49"/>
        <v>0</v>
      </c>
      <c r="N200" s="8"/>
      <c r="O200" s="6"/>
      <c r="P200" s="6">
        <f t="shared" si="50"/>
        <v>0</v>
      </c>
      <c r="Q200" s="8">
        <f t="shared" si="51"/>
        <v>0</v>
      </c>
      <c r="R200" s="6">
        <v>8.5</v>
      </c>
      <c r="S200" s="6" t="s">
        <v>80</v>
      </c>
      <c r="T200" s="6"/>
      <c r="U200" s="6"/>
      <c r="V200" s="6"/>
      <c r="W200" s="9"/>
      <c r="X200" s="6"/>
      <c r="Y200" s="9" t="e">
        <f t="shared" si="38"/>
        <v>#DIV/0!</v>
      </c>
      <c r="Z200" s="10" t="e">
        <f t="shared" si="39"/>
        <v>#DIV/0!</v>
      </c>
      <c r="AA200" s="10" t="e">
        <f t="shared" si="40"/>
        <v>#DIV/0!</v>
      </c>
      <c r="AB200" s="11" t="e">
        <f t="shared" si="41"/>
        <v>#DIV/0!</v>
      </c>
      <c r="AC200" s="11" t="e">
        <f t="shared" si="42"/>
        <v>#DIV/0!</v>
      </c>
      <c r="AD200" s="11" t="s">
        <v>59</v>
      </c>
    </row>
    <row r="201" spans="1:30" s="1" customFormat="1" ht="17.100000000000001" customHeight="1">
      <c r="A201" s="2">
        <v>199</v>
      </c>
      <c r="B201" s="3" t="s">
        <v>445</v>
      </c>
      <c r="C201" s="3" t="s">
        <v>446</v>
      </c>
      <c r="D201" s="4">
        <v>45.5</v>
      </c>
      <c r="E201" s="4">
        <v>24.7</v>
      </c>
      <c r="F201" s="4">
        <v>9.5</v>
      </c>
      <c r="G201" s="4">
        <v>45.5</v>
      </c>
      <c r="H201" s="4">
        <v>24.7</v>
      </c>
      <c r="I201" s="4">
        <v>9.5</v>
      </c>
      <c r="J201" s="5">
        <f>(G201*H201*I201)/1000000</f>
        <v>1.0676574999999999E-2</v>
      </c>
      <c r="K201" s="6">
        <v>10</v>
      </c>
      <c r="L201" s="6">
        <v>1</v>
      </c>
      <c r="M201" s="7">
        <f t="shared" si="49"/>
        <v>10</v>
      </c>
      <c r="N201" s="8">
        <v>10</v>
      </c>
      <c r="O201" s="6">
        <v>10</v>
      </c>
      <c r="P201" s="6">
        <f t="shared" si="50"/>
        <v>100</v>
      </c>
      <c r="Q201" s="8">
        <f t="shared" si="51"/>
        <v>1000</v>
      </c>
      <c r="R201" s="6">
        <v>1.2</v>
      </c>
      <c r="S201" s="6" t="s">
        <v>57</v>
      </c>
      <c r="T201" s="6"/>
      <c r="U201" s="6"/>
      <c r="V201" s="6"/>
      <c r="W201" s="9"/>
      <c r="X201" s="6" t="s">
        <v>58</v>
      </c>
      <c r="Y201" s="9">
        <f>R201/M201*W201</f>
        <v>0</v>
      </c>
      <c r="Z201" s="10">
        <f>(G201*H201*I201/4000)*(W201/M201)</f>
        <v>0</v>
      </c>
      <c r="AA201" s="10">
        <f>(G201*H201*I201/6000)*(W201/M201)</f>
        <v>0</v>
      </c>
      <c r="AB201" s="11">
        <f>(G201*H201*I201/1000000)*(W201/M201)</f>
        <v>0</v>
      </c>
      <c r="AC201" s="11">
        <f>ROUNDUP(W201/M201,0)</f>
        <v>0</v>
      </c>
      <c r="AD201" s="11" t="s">
        <v>212</v>
      </c>
    </row>
    <row r="202" spans="1:30" s="1" customFormat="1" ht="17.100000000000001" customHeight="1">
      <c r="A202" s="2">
        <v>200</v>
      </c>
      <c r="B202" s="3" t="s">
        <v>447</v>
      </c>
      <c r="C202" s="3" t="s">
        <v>448</v>
      </c>
      <c r="D202" s="4">
        <v>45.5</v>
      </c>
      <c r="E202" s="4">
        <v>24.7</v>
      </c>
      <c r="F202" s="4">
        <v>9.5</v>
      </c>
      <c r="G202" s="4">
        <v>45.5</v>
      </c>
      <c r="H202" s="4">
        <v>24.7</v>
      </c>
      <c r="I202" s="4">
        <v>9.5</v>
      </c>
      <c r="J202" s="5">
        <f>(G202*H202*I202)/1000000</f>
        <v>1.0676574999999999E-2</v>
      </c>
      <c r="K202" s="6">
        <v>10</v>
      </c>
      <c r="L202" s="6">
        <v>1</v>
      </c>
      <c r="M202" s="7">
        <f t="shared" si="49"/>
        <v>10</v>
      </c>
      <c r="N202" s="8">
        <v>10</v>
      </c>
      <c r="O202" s="6">
        <v>10</v>
      </c>
      <c r="P202" s="6">
        <f t="shared" si="50"/>
        <v>100</v>
      </c>
      <c r="Q202" s="8">
        <f t="shared" si="51"/>
        <v>1000</v>
      </c>
      <c r="R202" s="6">
        <v>1.2</v>
      </c>
      <c r="S202" s="6" t="s">
        <v>57</v>
      </c>
      <c r="T202" s="6"/>
      <c r="U202" s="6"/>
      <c r="V202" s="6"/>
      <c r="W202" s="9"/>
      <c r="X202" s="6" t="s">
        <v>58</v>
      </c>
      <c r="Y202" s="9">
        <f>R202/M202*W202</f>
        <v>0</v>
      </c>
      <c r="Z202" s="10">
        <f>(G202*H202*I202/4000)*(W202/M202)</f>
        <v>0</v>
      </c>
      <c r="AA202" s="10">
        <f>(G202*H202*I202/6000)*(W202/M202)</f>
        <v>0</v>
      </c>
      <c r="AB202" s="11">
        <f>(G202*H202*I202/1000000)*(W202/M202)</f>
        <v>0</v>
      </c>
      <c r="AC202" s="11">
        <f>ROUNDUP(W202/M202,0)</f>
        <v>0</v>
      </c>
      <c r="AD202" s="11" t="s">
        <v>212</v>
      </c>
    </row>
    <row r="203" spans="1:30" s="1" customFormat="1" ht="17.100000000000001" customHeight="1">
      <c r="A203" s="2">
        <v>201</v>
      </c>
      <c r="B203" s="3" t="s">
        <v>449</v>
      </c>
      <c r="C203" s="3" t="s">
        <v>450</v>
      </c>
      <c r="D203" s="4">
        <v>31</v>
      </c>
      <c r="E203" s="4">
        <v>25</v>
      </c>
      <c r="F203" s="4">
        <v>5</v>
      </c>
      <c r="G203" s="4">
        <v>65</v>
      </c>
      <c r="H203" s="4">
        <v>52.5</v>
      </c>
      <c r="I203" s="4">
        <v>23.5</v>
      </c>
      <c r="J203" s="5">
        <f t="shared" ref="J203:J266" si="52">(G203*H203*I203)/1000000</f>
        <v>8.0193749999999994E-2</v>
      </c>
      <c r="K203" s="6">
        <v>1</v>
      </c>
      <c r="L203" s="6">
        <v>44</v>
      </c>
      <c r="M203" s="7">
        <f t="shared" ref="M203:M210" si="53">K203*L203</f>
        <v>44</v>
      </c>
      <c r="N203" s="8">
        <v>8</v>
      </c>
      <c r="O203" s="6">
        <v>4</v>
      </c>
      <c r="P203" s="6">
        <f t="shared" ref="P203:P210" si="54">N203*O203</f>
        <v>32</v>
      </c>
      <c r="Q203" s="8">
        <f t="shared" ref="Q203:Q210" si="55">M203*P203</f>
        <v>1408</v>
      </c>
      <c r="R203" s="6">
        <v>12.9</v>
      </c>
      <c r="S203" s="6" t="s">
        <v>57</v>
      </c>
      <c r="T203" s="6"/>
      <c r="U203" s="6"/>
      <c r="V203" s="6"/>
      <c r="W203" s="9"/>
      <c r="X203" s="6" t="s">
        <v>58</v>
      </c>
      <c r="Y203" s="29">
        <f t="shared" ref="Y203:Y266" si="56">R203/M203*W203</f>
        <v>0</v>
      </c>
      <c r="Z203" s="29">
        <f t="shared" ref="Z203:Z266" si="57">(G203*H203*I203/4000)*(W203/M203)</f>
        <v>0</v>
      </c>
      <c r="AA203" s="29">
        <f t="shared" ref="AA203:AA266" si="58">(G203*H203*I203/6000)*(W203/M203)</f>
        <v>0</v>
      </c>
      <c r="AB203" s="29">
        <f t="shared" ref="AB203:AB266" si="59">(G203*H203*I203/1000000)*(W203/M203)</f>
        <v>0</v>
      </c>
      <c r="AC203" s="29">
        <f t="shared" ref="AC203:AC266" si="60">ROUNDUP(W203/M203,0)</f>
        <v>0</v>
      </c>
      <c r="AD203" s="29" t="s">
        <v>212</v>
      </c>
    </row>
    <row r="204" spans="1:30" s="1" customFormat="1" ht="17.100000000000001" customHeight="1">
      <c r="A204" s="2">
        <v>202</v>
      </c>
      <c r="B204" s="3" t="s">
        <v>451</v>
      </c>
      <c r="C204" s="3" t="s">
        <v>452</v>
      </c>
      <c r="D204" s="4"/>
      <c r="E204" s="4"/>
      <c r="F204" s="4"/>
      <c r="G204" s="4"/>
      <c r="H204" s="4"/>
      <c r="I204" s="4"/>
      <c r="J204" s="5">
        <f t="shared" si="52"/>
        <v>0</v>
      </c>
      <c r="K204" s="6"/>
      <c r="L204" s="6"/>
      <c r="M204" s="7">
        <f t="shared" si="53"/>
        <v>0</v>
      </c>
      <c r="N204" s="8"/>
      <c r="O204" s="6"/>
      <c r="P204" s="6">
        <f t="shared" si="54"/>
        <v>0</v>
      </c>
      <c r="Q204" s="8">
        <f t="shared" si="55"/>
        <v>0</v>
      </c>
      <c r="R204" s="6"/>
      <c r="S204" s="6" t="s">
        <v>80</v>
      </c>
      <c r="T204" s="6"/>
      <c r="U204" s="6"/>
      <c r="V204" s="6"/>
      <c r="W204" s="9"/>
      <c r="X204" s="6"/>
      <c r="Y204" s="9" t="e">
        <f t="shared" si="56"/>
        <v>#DIV/0!</v>
      </c>
      <c r="Z204" s="10" t="e">
        <f t="shared" si="57"/>
        <v>#DIV/0!</v>
      </c>
      <c r="AA204" s="10" t="e">
        <f t="shared" si="58"/>
        <v>#DIV/0!</v>
      </c>
      <c r="AB204" s="11" t="e">
        <f t="shared" si="59"/>
        <v>#DIV/0!</v>
      </c>
      <c r="AC204" s="11" t="e">
        <f t="shared" si="60"/>
        <v>#DIV/0!</v>
      </c>
      <c r="AD204" s="11" t="s">
        <v>59</v>
      </c>
    </row>
    <row r="205" spans="1:30" s="1" customFormat="1" ht="17.100000000000001" customHeight="1">
      <c r="A205" s="2">
        <v>203</v>
      </c>
      <c r="B205" s="3" t="s">
        <v>453</v>
      </c>
      <c r="C205" s="3" t="s">
        <v>454</v>
      </c>
      <c r="D205" s="4"/>
      <c r="E205" s="4"/>
      <c r="F205" s="4"/>
      <c r="G205" s="4"/>
      <c r="H205" s="4"/>
      <c r="I205" s="4"/>
      <c r="J205" s="5">
        <f t="shared" si="52"/>
        <v>0</v>
      </c>
      <c r="K205" s="6"/>
      <c r="L205" s="6"/>
      <c r="M205" s="7">
        <f t="shared" si="53"/>
        <v>0</v>
      </c>
      <c r="N205" s="8"/>
      <c r="O205" s="6"/>
      <c r="P205" s="6">
        <f t="shared" si="54"/>
        <v>0</v>
      </c>
      <c r="Q205" s="8">
        <f t="shared" si="55"/>
        <v>0</v>
      </c>
      <c r="R205" s="6"/>
      <c r="S205" s="6" t="s">
        <v>80</v>
      </c>
      <c r="T205" s="6"/>
      <c r="U205" s="6"/>
      <c r="V205" s="6"/>
      <c r="W205" s="9"/>
      <c r="X205" s="6"/>
      <c r="Y205" s="9" t="e">
        <f t="shared" si="56"/>
        <v>#DIV/0!</v>
      </c>
      <c r="Z205" s="10" t="e">
        <f t="shared" si="57"/>
        <v>#DIV/0!</v>
      </c>
      <c r="AA205" s="10" t="e">
        <f t="shared" si="58"/>
        <v>#DIV/0!</v>
      </c>
      <c r="AB205" s="11" t="e">
        <f t="shared" si="59"/>
        <v>#DIV/0!</v>
      </c>
      <c r="AC205" s="11" t="e">
        <f t="shared" si="60"/>
        <v>#DIV/0!</v>
      </c>
      <c r="AD205" s="11" t="s">
        <v>59</v>
      </c>
    </row>
    <row r="206" spans="1:30" s="1" customFormat="1" ht="17.100000000000001" customHeight="1">
      <c r="A206" s="2">
        <v>204</v>
      </c>
      <c r="B206" s="3" t="s">
        <v>455</v>
      </c>
      <c r="C206" s="3" t="s">
        <v>456</v>
      </c>
      <c r="D206" s="4"/>
      <c r="E206" s="4"/>
      <c r="F206" s="4"/>
      <c r="G206" s="4"/>
      <c r="H206" s="4"/>
      <c r="I206" s="4"/>
      <c r="J206" s="5">
        <f t="shared" si="52"/>
        <v>0</v>
      </c>
      <c r="K206" s="6"/>
      <c r="L206" s="6"/>
      <c r="M206" s="7">
        <f t="shared" si="53"/>
        <v>0</v>
      </c>
      <c r="N206" s="8"/>
      <c r="O206" s="6"/>
      <c r="P206" s="6">
        <f t="shared" si="54"/>
        <v>0</v>
      </c>
      <c r="Q206" s="8">
        <f t="shared" si="55"/>
        <v>0</v>
      </c>
      <c r="R206" s="6"/>
      <c r="S206" s="6" t="s">
        <v>80</v>
      </c>
      <c r="T206" s="6"/>
      <c r="U206" s="6"/>
      <c r="V206" s="6"/>
      <c r="W206" s="9"/>
      <c r="X206" s="6"/>
      <c r="Y206" s="9" t="e">
        <f t="shared" si="56"/>
        <v>#DIV/0!</v>
      </c>
      <c r="Z206" s="10" t="e">
        <f t="shared" si="57"/>
        <v>#DIV/0!</v>
      </c>
      <c r="AA206" s="10" t="e">
        <f t="shared" si="58"/>
        <v>#DIV/0!</v>
      </c>
      <c r="AB206" s="11" t="e">
        <f t="shared" si="59"/>
        <v>#DIV/0!</v>
      </c>
      <c r="AC206" s="11" t="e">
        <f t="shared" si="60"/>
        <v>#DIV/0!</v>
      </c>
      <c r="AD206" s="11" t="s">
        <v>59</v>
      </c>
    </row>
    <row r="207" spans="1:30" s="1" customFormat="1" ht="17.100000000000001" customHeight="1">
      <c r="A207" s="2">
        <v>205</v>
      </c>
      <c r="B207" s="3" t="s">
        <v>457</v>
      </c>
      <c r="C207" s="3" t="s">
        <v>458</v>
      </c>
      <c r="D207" s="4">
        <v>31</v>
      </c>
      <c r="E207" s="4">
        <v>25</v>
      </c>
      <c r="F207" s="4">
        <v>3</v>
      </c>
      <c r="G207" s="4">
        <v>52.5</v>
      </c>
      <c r="H207" s="4">
        <v>44</v>
      </c>
      <c r="I207" s="4">
        <v>24.3</v>
      </c>
      <c r="J207" s="5">
        <f t="shared" si="52"/>
        <v>5.6133000000000002E-2</v>
      </c>
      <c r="K207" s="6">
        <v>24</v>
      </c>
      <c r="L207" s="6">
        <v>24</v>
      </c>
      <c r="M207" s="7">
        <f t="shared" si="53"/>
        <v>576</v>
      </c>
      <c r="N207" s="8">
        <v>5</v>
      </c>
      <c r="O207" s="6">
        <v>7</v>
      </c>
      <c r="P207" s="6">
        <f t="shared" si="54"/>
        <v>35</v>
      </c>
      <c r="Q207" s="8">
        <f t="shared" si="55"/>
        <v>20160</v>
      </c>
      <c r="R207" s="6">
        <v>5.4</v>
      </c>
      <c r="S207" s="6" t="s">
        <v>57</v>
      </c>
      <c r="T207" s="6"/>
      <c r="U207" s="6"/>
      <c r="V207" s="6"/>
      <c r="W207" s="9"/>
      <c r="X207" s="6" t="s">
        <v>58</v>
      </c>
      <c r="Y207" s="9">
        <f t="shared" si="56"/>
        <v>0</v>
      </c>
      <c r="Z207" s="10">
        <f t="shared" si="57"/>
        <v>0</v>
      </c>
      <c r="AA207" s="10">
        <f t="shared" si="58"/>
        <v>0</v>
      </c>
      <c r="AB207" s="11">
        <f t="shared" si="59"/>
        <v>0</v>
      </c>
      <c r="AC207" s="11">
        <f t="shared" si="60"/>
        <v>0</v>
      </c>
      <c r="AD207" s="11" t="s">
        <v>212</v>
      </c>
    </row>
    <row r="208" spans="1:30" s="1" customFormat="1" ht="17.100000000000001" customHeight="1">
      <c r="A208" s="2">
        <v>206</v>
      </c>
      <c r="B208" s="3" t="s">
        <v>459</v>
      </c>
      <c r="C208" s="3" t="s">
        <v>460</v>
      </c>
      <c r="D208" s="4"/>
      <c r="E208" s="4"/>
      <c r="F208" s="4"/>
      <c r="G208" s="4"/>
      <c r="H208" s="4"/>
      <c r="I208" s="4"/>
      <c r="J208" s="5">
        <f t="shared" si="52"/>
        <v>0</v>
      </c>
      <c r="K208" s="6"/>
      <c r="L208" s="6"/>
      <c r="M208" s="7">
        <f t="shared" si="53"/>
        <v>0</v>
      </c>
      <c r="N208" s="8"/>
      <c r="O208" s="6"/>
      <c r="P208" s="6">
        <f t="shared" si="54"/>
        <v>0</v>
      </c>
      <c r="Q208" s="8">
        <f t="shared" si="55"/>
        <v>0</v>
      </c>
      <c r="R208" s="6"/>
      <c r="S208" s="6" t="s">
        <v>80</v>
      </c>
      <c r="T208" s="6"/>
      <c r="U208" s="6"/>
      <c r="V208" s="6"/>
      <c r="W208" s="9"/>
      <c r="X208" s="6"/>
      <c r="Y208" s="9" t="e">
        <f t="shared" si="56"/>
        <v>#DIV/0!</v>
      </c>
      <c r="Z208" s="10" t="e">
        <f t="shared" si="57"/>
        <v>#DIV/0!</v>
      </c>
      <c r="AA208" s="10" t="e">
        <f t="shared" si="58"/>
        <v>#DIV/0!</v>
      </c>
      <c r="AB208" s="11" t="e">
        <f t="shared" si="59"/>
        <v>#DIV/0!</v>
      </c>
      <c r="AC208" s="11" t="e">
        <f t="shared" si="60"/>
        <v>#DIV/0!</v>
      </c>
      <c r="AD208" s="11" t="s">
        <v>59</v>
      </c>
    </row>
    <row r="209" spans="1:30" s="1" customFormat="1" ht="17.100000000000001" customHeight="1">
      <c r="A209" s="2">
        <v>207</v>
      </c>
      <c r="B209" s="3" t="s">
        <v>461</v>
      </c>
      <c r="C209" s="3" t="s">
        <v>462</v>
      </c>
      <c r="D209" s="4">
        <v>31</v>
      </c>
      <c r="E209" s="4">
        <v>24</v>
      </c>
      <c r="F209" s="4">
        <v>4</v>
      </c>
      <c r="G209" s="4">
        <v>65</v>
      </c>
      <c r="H209" s="4">
        <v>52.5</v>
      </c>
      <c r="I209" s="4">
        <v>23.5</v>
      </c>
      <c r="J209" s="5">
        <f t="shared" si="52"/>
        <v>8.0193749999999994E-2</v>
      </c>
      <c r="K209" s="6">
        <v>44</v>
      </c>
      <c r="L209" s="6">
        <v>44</v>
      </c>
      <c r="M209" s="7">
        <f t="shared" si="53"/>
        <v>1936</v>
      </c>
      <c r="N209" s="8">
        <v>5</v>
      </c>
      <c r="O209" s="6">
        <v>6</v>
      </c>
      <c r="P209" s="6">
        <f t="shared" si="54"/>
        <v>30</v>
      </c>
      <c r="Q209" s="8">
        <f t="shared" si="55"/>
        <v>58080</v>
      </c>
      <c r="R209" s="6">
        <v>12.9</v>
      </c>
      <c r="S209" s="6" t="s">
        <v>57</v>
      </c>
      <c r="T209" s="6"/>
      <c r="U209" s="6"/>
      <c r="V209" s="6"/>
      <c r="W209" s="9"/>
      <c r="X209" s="6"/>
      <c r="Y209" s="9">
        <f t="shared" si="56"/>
        <v>0</v>
      </c>
      <c r="Z209" s="10">
        <f t="shared" si="57"/>
        <v>0</v>
      </c>
      <c r="AA209" s="10">
        <f t="shared" si="58"/>
        <v>0</v>
      </c>
      <c r="AB209" s="11">
        <f t="shared" si="59"/>
        <v>0</v>
      </c>
      <c r="AC209" s="11">
        <f t="shared" si="60"/>
        <v>0</v>
      </c>
      <c r="AD209" s="11" t="s">
        <v>59</v>
      </c>
    </row>
    <row r="210" spans="1:30" s="1" customFormat="1" ht="17.100000000000001" customHeight="1">
      <c r="A210" s="2">
        <v>208</v>
      </c>
      <c r="B210" s="3" t="s">
        <v>463</v>
      </c>
      <c r="C210" s="3" t="s">
        <v>464</v>
      </c>
      <c r="D210" s="4">
        <v>31</v>
      </c>
      <c r="E210" s="4">
        <v>24</v>
      </c>
      <c r="F210" s="4">
        <v>4</v>
      </c>
      <c r="G210" s="4">
        <v>65</v>
      </c>
      <c r="H210" s="4">
        <v>52.5</v>
      </c>
      <c r="I210" s="4">
        <v>23.5</v>
      </c>
      <c r="J210" s="5">
        <f t="shared" si="52"/>
        <v>8.0193749999999994E-2</v>
      </c>
      <c r="K210" s="6">
        <v>44</v>
      </c>
      <c r="L210" s="6">
        <v>44</v>
      </c>
      <c r="M210" s="7">
        <f t="shared" si="53"/>
        <v>1936</v>
      </c>
      <c r="N210" s="8">
        <v>5</v>
      </c>
      <c r="O210" s="6">
        <v>6</v>
      </c>
      <c r="P210" s="6">
        <f t="shared" si="54"/>
        <v>30</v>
      </c>
      <c r="Q210" s="8">
        <f t="shared" si="55"/>
        <v>58080</v>
      </c>
      <c r="R210" s="6">
        <v>12.9</v>
      </c>
      <c r="S210" s="6" t="s">
        <v>57</v>
      </c>
      <c r="T210" s="6"/>
      <c r="U210" s="6"/>
      <c r="V210" s="6"/>
      <c r="W210" s="9"/>
      <c r="X210" s="6"/>
      <c r="Y210" s="9">
        <f t="shared" si="56"/>
        <v>0</v>
      </c>
      <c r="Z210" s="10">
        <f t="shared" si="57"/>
        <v>0</v>
      </c>
      <c r="AA210" s="10">
        <f t="shared" si="58"/>
        <v>0</v>
      </c>
      <c r="AB210" s="11">
        <f t="shared" si="59"/>
        <v>0</v>
      </c>
      <c r="AC210" s="11">
        <f t="shared" si="60"/>
        <v>0</v>
      </c>
      <c r="AD210" s="11" t="s">
        <v>59</v>
      </c>
    </row>
    <row r="211" spans="1:30" s="1" customFormat="1" ht="17.100000000000001" customHeight="1">
      <c r="A211" s="2">
        <v>209</v>
      </c>
      <c r="B211" s="3" t="s">
        <v>465</v>
      </c>
      <c r="C211" s="3" t="s">
        <v>466</v>
      </c>
      <c r="D211" s="24">
        <v>23</v>
      </c>
      <c r="E211" s="24">
        <v>14.5</v>
      </c>
      <c r="F211" s="24">
        <v>6</v>
      </c>
      <c r="G211" s="24">
        <v>53</v>
      </c>
      <c r="H211" s="24">
        <v>38</v>
      </c>
      <c r="I211" s="24">
        <v>33.5</v>
      </c>
      <c r="J211" s="5">
        <f t="shared" si="52"/>
        <v>6.7469000000000001E-2</v>
      </c>
      <c r="K211" s="6">
        <v>1</v>
      </c>
      <c r="L211" s="6">
        <v>50</v>
      </c>
      <c r="M211" s="6">
        <v>50</v>
      </c>
      <c r="N211" s="8"/>
      <c r="O211" s="6">
        <v>5</v>
      </c>
      <c r="P211" s="6">
        <v>40</v>
      </c>
      <c r="Q211" s="8">
        <v>2000</v>
      </c>
      <c r="R211" s="6">
        <v>7.5</v>
      </c>
      <c r="S211" s="6" t="s">
        <v>57</v>
      </c>
      <c r="T211" s="6"/>
      <c r="U211" s="6"/>
      <c r="V211" s="6"/>
      <c r="W211" s="9"/>
      <c r="X211" s="6" t="s">
        <v>58</v>
      </c>
      <c r="Y211" s="9">
        <f t="shared" si="56"/>
        <v>0</v>
      </c>
      <c r="Z211" s="10">
        <f t="shared" si="57"/>
        <v>0</v>
      </c>
      <c r="AA211" s="10">
        <f t="shared" si="58"/>
        <v>0</v>
      </c>
      <c r="AB211" s="11">
        <f t="shared" si="59"/>
        <v>0</v>
      </c>
      <c r="AC211" s="11">
        <f t="shared" si="60"/>
        <v>0</v>
      </c>
      <c r="AD211" s="11" t="s">
        <v>212</v>
      </c>
    </row>
    <row r="212" spans="1:30" s="1" customFormat="1" ht="17.100000000000001" customHeight="1">
      <c r="A212" s="2">
        <v>210</v>
      </c>
      <c r="B212" s="3" t="s">
        <v>467</v>
      </c>
      <c r="C212" s="3" t="s">
        <v>468</v>
      </c>
      <c r="D212" s="4">
        <v>36.5</v>
      </c>
      <c r="E212" s="4">
        <v>22</v>
      </c>
      <c r="F212" s="4">
        <v>18.5</v>
      </c>
      <c r="G212" s="4">
        <v>66.5</v>
      </c>
      <c r="H212" s="4">
        <v>38.799999999999997</v>
      </c>
      <c r="I212" s="4">
        <v>37.5</v>
      </c>
      <c r="J212" s="5">
        <f t="shared" si="52"/>
        <v>9.6757499999999996E-2</v>
      </c>
      <c r="K212" s="6">
        <v>10</v>
      </c>
      <c r="L212" s="19">
        <v>18</v>
      </c>
      <c r="M212" s="7">
        <f t="shared" ref="M212:M260" si="61">K212*L212</f>
        <v>180</v>
      </c>
      <c r="N212" s="8">
        <v>18</v>
      </c>
      <c r="O212" s="6">
        <v>25</v>
      </c>
      <c r="P212" s="6">
        <f>N212*O212</f>
        <v>450</v>
      </c>
      <c r="Q212" s="8">
        <f t="shared" ref="Q212:Q265" si="62">M212*P212</f>
        <v>81000</v>
      </c>
      <c r="R212" s="6">
        <v>10.1</v>
      </c>
      <c r="S212" s="6" t="s">
        <v>57</v>
      </c>
      <c r="T212" s="6"/>
      <c r="U212" s="6"/>
      <c r="V212" s="6"/>
      <c r="W212" s="9"/>
      <c r="X212" s="6"/>
      <c r="Y212" s="9">
        <f t="shared" si="56"/>
        <v>0</v>
      </c>
      <c r="Z212" s="10">
        <f t="shared" si="57"/>
        <v>0</v>
      </c>
      <c r="AA212" s="10">
        <f t="shared" si="58"/>
        <v>0</v>
      </c>
      <c r="AB212" s="11">
        <f t="shared" si="59"/>
        <v>0</v>
      </c>
      <c r="AC212" s="11">
        <f t="shared" si="60"/>
        <v>0</v>
      </c>
      <c r="AD212" s="11" t="s">
        <v>59</v>
      </c>
    </row>
    <row r="213" spans="1:30" s="1" customFormat="1" ht="17.100000000000001" customHeight="1">
      <c r="A213" s="2">
        <v>211</v>
      </c>
      <c r="B213" s="3" t="s">
        <v>469</v>
      </c>
      <c r="C213" s="3" t="s">
        <v>470</v>
      </c>
      <c r="D213" s="4">
        <v>7</v>
      </c>
      <c r="E213" s="4">
        <v>7</v>
      </c>
      <c r="F213" s="4">
        <v>1</v>
      </c>
      <c r="G213" s="4">
        <v>45.5</v>
      </c>
      <c r="H213" s="4">
        <v>30.5</v>
      </c>
      <c r="I213" s="4">
        <v>24</v>
      </c>
      <c r="J213" s="5">
        <f t="shared" si="52"/>
        <v>3.3306000000000002E-2</v>
      </c>
      <c r="K213" s="6">
        <v>1</v>
      </c>
      <c r="L213" s="6">
        <v>250</v>
      </c>
      <c r="M213" s="7">
        <f t="shared" si="61"/>
        <v>250</v>
      </c>
      <c r="N213" s="8"/>
      <c r="O213" s="6"/>
      <c r="P213" s="6">
        <f>N213*O213</f>
        <v>0</v>
      </c>
      <c r="Q213" s="8">
        <f t="shared" si="62"/>
        <v>0</v>
      </c>
      <c r="R213" s="6"/>
      <c r="S213" s="6" t="s">
        <v>57</v>
      </c>
      <c r="T213" s="6" t="s">
        <v>200</v>
      </c>
      <c r="U213" s="6"/>
      <c r="V213" s="6"/>
      <c r="W213" s="9"/>
      <c r="X213" s="6" t="s">
        <v>201</v>
      </c>
      <c r="Y213" s="9">
        <f t="shared" si="56"/>
        <v>0</v>
      </c>
      <c r="Z213" s="10">
        <f t="shared" si="57"/>
        <v>0</v>
      </c>
      <c r="AA213" s="10">
        <f t="shared" si="58"/>
        <v>0</v>
      </c>
      <c r="AB213" s="11">
        <f t="shared" si="59"/>
        <v>0</v>
      </c>
      <c r="AC213" s="11">
        <f t="shared" si="60"/>
        <v>0</v>
      </c>
      <c r="AD213" s="11" t="s">
        <v>59</v>
      </c>
    </row>
    <row r="214" spans="1:30" s="1" customFormat="1" ht="17.100000000000001" customHeight="1">
      <c r="A214" s="2">
        <v>212</v>
      </c>
      <c r="B214" s="3" t="s">
        <v>471</v>
      </c>
      <c r="C214" s="3" t="s">
        <v>472</v>
      </c>
      <c r="D214" s="4">
        <v>27</v>
      </c>
      <c r="E214" s="4">
        <v>16</v>
      </c>
      <c r="F214" s="4">
        <v>19.5</v>
      </c>
      <c r="G214" s="4">
        <v>57</v>
      </c>
      <c r="H214" s="4">
        <v>42</v>
      </c>
      <c r="I214" s="4">
        <v>34.5</v>
      </c>
      <c r="J214" s="5">
        <f t="shared" si="52"/>
        <v>8.2593E-2</v>
      </c>
      <c r="K214" s="6">
        <v>50</v>
      </c>
      <c r="L214" s="6">
        <v>8</v>
      </c>
      <c r="M214" s="7">
        <f t="shared" si="61"/>
        <v>400</v>
      </c>
      <c r="N214" s="8"/>
      <c r="O214" s="6">
        <v>5</v>
      </c>
      <c r="P214" s="6">
        <v>25</v>
      </c>
      <c r="Q214" s="8">
        <f t="shared" si="62"/>
        <v>10000</v>
      </c>
      <c r="R214" s="6">
        <v>12.3</v>
      </c>
      <c r="S214" s="6" t="s">
        <v>473</v>
      </c>
      <c r="T214" s="6"/>
      <c r="U214" s="6"/>
      <c r="V214" s="6"/>
      <c r="W214" s="9"/>
      <c r="X214" s="6"/>
      <c r="Y214" s="9">
        <f t="shared" si="56"/>
        <v>0</v>
      </c>
      <c r="Z214" s="10">
        <f t="shared" si="57"/>
        <v>0</v>
      </c>
      <c r="AA214" s="10">
        <f t="shared" si="58"/>
        <v>0</v>
      </c>
      <c r="AB214" s="11">
        <f t="shared" si="59"/>
        <v>0</v>
      </c>
      <c r="AC214" s="11">
        <f t="shared" si="60"/>
        <v>0</v>
      </c>
      <c r="AD214" s="11" t="s">
        <v>59</v>
      </c>
    </row>
    <row r="215" spans="1:30" s="1" customFormat="1" ht="17.100000000000001" customHeight="1">
      <c r="A215" s="2">
        <v>213</v>
      </c>
      <c r="B215" s="3" t="s">
        <v>474</v>
      </c>
      <c r="C215" s="3" t="s">
        <v>475</v>
      </c>
      <c r="D215" s="4"/>
      <c r="E215" s="4"/>
      <c r="F215" s="4"/>
      <c r="G215" s="4"/>
      <c r="H215" s="4"/>
      <c r="I215" s="4"/>
      <c r="J215" s="5">
        <f t="shared" si="52"/>
        <v>0</v>
      </c>
      <c r="K215" s="6"/>
      <c r="L215" s="6"/>
      <c r="M215" s="7">
        <f t="shared" si="61"/>
        <v>0</v>
      </c>
      <c r="N215" s="8"/>
      <c r="O215" s="6"/>
      <c r="P215" s="6">
        <f t="shared" ref="P215:P273" si="63">N215*O215</f>
        <v>0</v>
      </c>
      <c r="Q215" s="8">
        <f t="shared" si="62"/>
        <v>0</v>
      </c>
      <c r="R215" s="6"/>
      <c r="S215" s="6" t="s">
        <v>80</v>
      </c>
      <c r="T215" s="6"/>
      <c r="U215" s="6"/>
      <c r="V215" s="6"/>
      <c r="W215" s="9"/>
      <c r="X215" s="6"/>
      <c r="Y215" s="9" t="e">
        <f t="shared" si="56"/>
        <v>#DIV/0!</v>
      </c>
      <c r="Z215" s="10" t="e">
        <f t="shared" si="57"/>
        <v>#DIV/0!</v>
      </c>
      <c r="AA215" s="10" t="e">
        <f t="shared" si="58"/>
        <v>#DIV/0!</v>
      </c>
      <c r="AB215" s="11" t="e">
        <f t="shared" si="59"/>
        <v>#DIV/0!</v>
      </c>
      <c r="AC215" s="11" t="e">
        <f t="shared" si="60"/>
        <v>#DIV/0!</v>
      </c>
      <c r="AD215" s="11" t="s">
        <v>59</v>
      </c>
    </row>
    <row r="216" spans="1:30" s="1" customFormat="1" ht="17.100000000000001" customHeight="1">
      <c r="A216" s="2">
        <v>214</v>
      </c>
      <c r="B216" s="3" t="s">
        <v>476</v>
      </c>
      <c r="C216" s="3" t="s">
        <v>477</v>
      </c>
      <c r="D216" s="4"/>
      <c r="E216" s="4"/>
      <c r="F216" s="4"/>
      <c r="G216" s="4"/>
      <c r="H216" s="4"/>
      <c r="I216" s="4"/>
      <c r="J216" s="5">
        <f t="shared" si="52"/>
        <v>0</v>
      </c>
      <c r="K216" s="6"/>
      <c r="L216" s="6"/>
      <c r="M216" s="7">
        <f t="shared" si="61"/>
        <v>0</v>
      </c>
      <c r="N216" s="8"/>
      <c r="O216" s="6"/>
      <c r="P216" s="6">
        <f t="shared" si="63"/>
        <v>0</v>
      </c>
      <c r="Q216" s="8">
        <f t="shared" si="62"/>
        <v>0</v>
      </c>
      <c r="R216" s="6"/>
      <c r="S216" s="6" t="s">
        <v>80</v>
      </c>
      <c r="T216" s="6"/>
      <c r="U216" s="6"/>
      <c r="V216" s="6"/>
      <c r="W216" s="9"/>
      <c r="X216" s="6"/>
      <c r="Y216" s="9" t="e">
        <f t="shared" si="56"/>
        <v>#DIV/0!</v>
      </c>
      <c r="Z216" s="10" t="e">
        <f t="shared" si="57"/>
        <v>#DIV/0!</v>
      </c>
      <c r="AA216" s="10" t="e">
        <f t="shared" si="58"/>
        <v>#DIV/0!</v>
      </c>
      <c r="AB216" s="11" t="e">
        <f t="shared" si="59"/>
        <v>#DIV/0!</v>
      </c>
      <c r="AC216" s="11" t="e">
        <f t="shared" si="60"/>
        <v>#DIV/0!</v>
      </c>
      <c r="AD216" s="11" t="s">
        <v>59</v>
      </c>
    </row>
    <row r="217" spans="1:30" s="1" customFormat="1" ht="17.100000000000001" customHeight="1">
      <c r="A217" s="2">
        <v>215</v>
      </c>
      <c r="B217" s="3" t="s">
        <v>478</v>
      </c>
      <c r="C217" s="3" t="s">
        <v>479</v>
      </c>
      <c r="D217" s="4"/>
      <c r="E217" s="4"/>
      <c r="F217" s="4"/>
      <c r="G217" s="4"/>
      <c r="H217" s="4"/>
      <c r="I217" s="4"/>
      <c r="J217" s="5">
        <f t="shared" si="52"/>
        <v>0</v>
      </c>
      <c r="K217" s="6"/>
      <c r="L217" s="6"/>
      <c r="M217" s="7">
        <f t="shared" si="61"/>
        <v>0</v>
      </c>
      <c r="N217" s="8"/>
      <c r="O217" s="6"/>
      <c r="P217" s="6">
        <f t="shared" si="63"/>
        <v>0</v>
      </c>
      <c r="Q217" s="8">
        <f t="shared" si="62"/>
        <v>0</v>
      </c>
      <c r="R217" s="6"/>
      <c r="S217" s="6" t="s">
        <v>80</v>
      </c>
      <c r="T217" s="6"/>
      <c r="U217" s="6"/>
      <c r="V217" s="6"/>
      <c r="W217" s="9"/>
      <c r="X217" s="6"/>
      <c r="Y217" s="9" t="e">
        <f t="shared" si="56"/>
        <v>#DIV/0!</v>
      </c>
      <c r="Z217" s="10" t="e">
        <f t="shared" si="57"/>
        <v>#DIV/0!</v>
      </c>
      <c r="AA217" s="10" t="e">
        <f t="shared" si="58"/>
        <v>#DIV/0!</v>
      </c>
      <c r="AB217" s="11" t="e">
        <f t="shared" si="59"/>
        <v>#DIV/0!</v>
      </c>
      <c r="AC217" s="11" t="e">
        <f t="shared" si="60"/>
        <v>#DIV/0!</v>
      </c>
      <c r="AD217" s="11" t="s">
        <v>59</v>
      </c>
    </row>
    <row r="218" spans="1:30" s="1" customFormat="1" ht="17.100000000000001" customHeight="1">
      <c r="A218" s="2">
        <v>216</v>
      </c>
      <c r="B218" s="3" t="s">
        <v>480</v>
      </c>
      <c r="C218" s="3" t="s">
        <v>481</v>
      </c>
      <c r="D218" s="4"/>
      <c r="E218" s="4"/>
      <c r="F218" s="4"/>
      <c r="G218" s="4"/>
      <c r="H218" s="4"/>
      <c r="I218" s="4"/>
      <c r="J218" s="5">
        <f t="shared" si="52"/>
        <v>0</v>
      </c>
      <c r="K218" s="6"/>
      <c r="L218" s="6"/>
      <c r="M218" s="7">
        <f t="shared" si="61"/>
        <v>0</v>
      </c>
      <c r="N218" s="8"/>
      <c r="O218" s="6"/>
      <c r="P218" s="6">
        <f t="shared" si="63"/>
        <v>0</v>
      </c>
      <c r="Q218" s="8">
        <f t="shared" si="62"/>
        <v>0</v>
      </c>
      <c r="R218" s="6"/>
      <c r="S218" s="6" t="s">
        <v>80</v>
      </c>
      <c r="T218" s="6"/>
      <c r="U218" s="6"/>
      <c r="V218" s="6"/>
      <c r="W218" s="9"/>
      <c r="X218" s="6"/>
      <c r="Y218" s="9" t="e">
        <f t="shared" si="56"/>
        <v>#DIV/0!</v>
      </c>
      <c r="Z218" s="10" t="e">
        <f t="shared" si="57"/>
        <v>#DIV/0!</v>
      </c>
      <c r="AA218" s="10" t="e">
        <f t="shared" si="58"/>
        <v>#DIV/0!</v>
      </c>
      <c r="AB218" s="11" t="e">
        <f t="shared" si="59"/>
        <v>#DIV/0!</v>
      </c>
      <c r="AC218" s="11" t="e">
        <f t="shared" si="60"/>
        <v>#DIV/0!</v>
      </c>
      <c r="AD218" s="11" t="s">
        <v>59</v>
      </c>
    </row>
    <row r="219" spans="1:30" s="1" customFormat="1" ht="17.100000000000001" customHeight="1">
      <c r="A219" s="2">
        <v>217</v>
      </c>
      <c r="B219" s="3" t="s">
        <v>482</v>
      </c>
      <c r="C219" s="3" t="s">
        <v>483</v>
      </c>
      <c r="D219" s="4"/>
      <c r="E219" s="4"/>
      <c r="F219" s="4"/>
      <c r="G219" s="4"/>
      <c r="H219" s="4"/>
      <c r="I219" s="4"/>
      <c r="J219" s="5">
        <f t="shared" si="52"/>
        <v>0</v>
      </c>
      <c r="K219" s="6"/>
      <c r="L219" s="6"/>
      <c r="M219" s="7">
        <f t="shared" si="61"/>
        <v>0</v>
      </c>
      <c r="N219" s="8"/>
      <c r="O219" s="6"/>
      <c r="P219" s="6">
        <f t="shared" si="63"/>
        <v>0</v>
      </c>
      <c r="Q219" s="8">
        <f t="shared" si="62"/>
        <v>0</v>
      </c>
      <c r="R219" s="6"/>
      <c r="S219" s="6" t="s">
        <v>80</v>
      </c>
      <c r="T219" s="6"/>
      <c r="U219" s="6"/>
      <c r="V219" s="6"/>
      <c r="W219" s="9"/>
      <c r="X219" s="6"/>
      <c r="Y219" s="9" t="e">
        <f t="shared" si="56"/>
        <v>#DIV/0!</v>
      </c>
      <c r="Z219" s="10" t="e">
        <f t="shared" si="57"/>
        <v>#DIV/0!</v>
      </c>
      <c r="AA219" s="10" t="e">
        <f t="shared" si="58"/>
        <v>#DIV/0!</v>
      </c>
      <c r="AB219" s="11" t="e">
        <f t="shared" si="59"/>
        <v>#DIV/0!</v>
      </c>
      <c r="AC219" s="11" t="e">
        <f t="shared" si="60"/>
        <v>#DIV/0!</v>
      </c>
      <c r="AD219" s="11" t="s">
        <v>59</v>
      </c>
    </row>
    <row r="220" spans="1:30" s="1" customFormat="1" ht="17.100000000000001" customHeight="1">
      <c r="A220" s="2">
        <v>218</v>
      </c>
      <c r="B220" s="3" t="s">
        <v>484</v>
      </c>
      <c r="C220" s="3" t="s">
        <v>485</v>
      </c>
      <c r="D220" s="4"/>
      <c r="E220" s="4"/>
      <c r="F220" s="4"/>
      <c r="G220" s="4"/>
      <c r="H220" s="4"/>
      <c r="I220" s="4"/>
      <c r="J220" s="5">
        <f t="shared" si="52"/>
        <v>0</v>
      </c>
      <c r="K220" s="6"/>
      <c r="L220" s="6"/>
      <c r="M220" s="7">
        <f t="shared" si="61"/>
        <v>0</v>
      </c>
      <c r="N220" s="8"/>
      <c r="O220" s="6"/>
      <c r="P220" s="6">
        <f t="shared" si="63"/>
        <v>0</v>
      </c>
      <c r="Q220" s="8">
        <f t="shared" si="62"/>
        <v>0</v>
      </c>
      <c r="R220" s="6"/>
      <c r="S220" s="6" t="s">
        <v>80</v>
      </c>
      <c r="T220" s="6"/>
      <c r="U220" s="6"/>
      <c r="V220" s="6"/>
      <c r="W220" s="9"/>
      <c r="X220" s="6"/>
      <c r="Y220" s="9" t="e">
        <f t="shared" si="56"/>
        <v>#DIV/0!</v>
      </c>
      <c r="Z220" s="10" t="e">
        <f t="shared" si="57"/>
        <v>#DIV/0!</v>
      </c>
      <c r="AA220" s="10" t="e">
        <f t="shared" si="58"/>
        <v>#DIV/0!</v>
      </c>
      <c r="AB220" s="11" t="e">
        <f t="shared" si="59"/>
        <v>#DIV/0!</v>
      </c>
      <c r="AC220" s="11" t="e">
        <f t="shared" si="60"/>
        <v>#DIV/0!</v>
      </c>
      <c r="AD220" s="11" t="s">
        <v>59</v>
      </c>
    </row>
    <row r="221" spans="1:30" s="1" customFormat="1" ht="17.100000000000001" customHeight="1">
      <c r="A221" s="2">
        <v>219</v>
      </c>
      <c r="B221" s="3" t="s">
        <v>486</v>
      </c>
      <c r="C221" s="3" t="s">
        <v>487</v>
      </c>
      <c r="D221" s="4"/>
      <c r="E221" s="4"/>
      <c r="F221" s="4"/>
      <c r="G221" s="4"/>
      <c r="H221" s="4"/>
      <c r="I221" s="4"/>
      <c r="J221" s="5">
        <f t="shared" si="52"/>
        <v>0</v>
      </c>
      <c r="K221" s="6"/>
      <c r="L221" s="6"/>
      <c r="M221" s="7">
        <f t="shared" si="61"/>
        <v>0</v>
      </c>
      <c r="N221" s="8"/>
      <c r="O221" s="6"/>
      <c r="P221" s="6">
        <f t="shared" si="63"/>
        <v>0</v>
      </c>
      <c r="Q221" s="8">
        <f t="shared" si="62"/>
        <v>0</v>
      </c>
      <c r="R221" s="6"/>
      <c r="S221" s="6" t="s">
        <v>80</v>
      </c>
      <c r="T221" s="6"/>
      <c r="U221" s="6"/>
      <c r="V221" s="6"/>
      <c r="W221" s="9"/>
      <c r="X221" s="6"/>
      <c r="Y221" s="9" t="e">
        <f t="shared" si="56"/>
        <v>#DIV/0!</v>
      </c>
      <c r="Z221" s="10" t="e">
        <f t="shared" si="57"/>
        <v>#DIV/0!</v>
      </c>
      <c r="AA221" s="10" t="e">
        <f t="shared" si="58"/>
        <v>#DIV/0!</v>
      </c>
      <c r="AB221" s="11" t="e">
        <f t="shared" si="59"/>
        <v>#DIV/0!</v>
      </c>
      <c r="AC221" s="11" t="e">
        <f t="shared" si="60"/>
        <v>#DIV/0!</v>
      </c>
      <c r="AD221" s="11" t="s">
        <v>59</v>
      </c>
    </row>
    <row r="222" spans="1:30" s="1" customFormat="1" ht="17.100000000000001" customHeight="1">
      <c r="A222" s="2">
        <v>220</v>
      </c>
      <c r="B222" s="3" t="s">
        <v>488</v>
      </c>
      <c r="C222" s="3" t="s">
        <v>489</v>
      </c>
      <c r="D222" s="4"/>
      <c r="E222" s="4"/>
      <c r="F222" s="4"/>
      <c r="G222" s="4"/>
      <c r="H222" s="4"/>
      <c r="I222" s="4"/>
      <c r="J222" s="5">
        <f t="shared" si="52"/>
        <v>0</v>
      </c>
      <c r="K222" s="6"/>
      <c r="L222" s="6"/>
      <c r="M222" s="7">
        <f t="shared" si="61"/>
        <v>0</v>
      </c>
      <c r="N222" s="8"/>
      <c r="O222" s="6"/>
      <c r="P222" s="6">
        <f t="shared" si="63"/>
        <v>0</v>
      </c>
      <c r="Q222" s="8">
        <f t="shared" si="62"/>
        <v>0</v>
      </c>
      <c r="R222" s="6"/>
      <c r="S222" s="6" t="s">
        <v>80</v>
      </c>
      <c r="T222" s="6"/>
      <c r="U222" s="6"/>
      <c r="V222" s="6"/>
      <c r="W222" s="9"/>
      <c r="X222" s="6"/>
      <c r="Y222" s="9" t="e">
        <f t="shared" si="56"/>
        <v>#DIV/0!</v>
      </c>
      <c r="Z222" s="10" t="e">
        <f t="shared" si="57"/>
        <v>#DIV/0!</v>
      </c>
      <c r="AA222" s="10" t="e">
        <f t="shared" si="58"/>
        <v>#DIV/0!</v>
      </c>
      <c r="AB222" s="11" t="e">
        <f t="shared" si="59"/>
        <v>#DIV/0!</v>
      </c>
      <c r="AC222" s="11" t="e">
        <f t="shared" si="60"/>
        <v>#DIV/0!</v>
      </c>
      <c r="AD222" s="11" t="s">
        <v>59</v>
      </c>
    </row>
    <row r="223" spans="1:30" s="1" customFormat="1" ht="17.100000000000001" customHeight="1">
      <c r="A223" s="2">
        <v>221</v>
      </c>
      <c r="B223" s="3" t="s">
        <v>490</v>
      </c>
      <c r="C223" s="3" t="s">
        <v>491</v>
      </c>
      <c r="D223" s="4"/>
      <c r="E223" s="4"/>
      <c r="F223" s="4"/>
      <c r="G223" s="4"/>
      <c r="H223" s="4"/>
      <c r="I223" s="4"/>
      <c r="J223" s="5">
        <f t="shared" si="52"/>
        <v>0</v>
      </c>
      <c r="K223" s="6"/>
      <c r="L223" s="19"/>
      <c r="M223" s="7">
        <f t="shared" si="61"/>
        <v>0</v>
      </c>
      <c r="N223" s="8"/>
      <c r="O223" s="6"/>
      <c r="P223" s="6">
        <f t="shared" si="63"/>
        <v>0</v>
      </c>
      <c r="Q223" s="8">
        <f t="shared" si="62"/>
        <v>0</v>
      </c>
      <c r="R223" s="6"/>
      <c r="S223" s="6" t="s">
        <v>80</v>
      </c>
      <c r="T223" s="6"/>
      <c r="U223" s="6"/>
      <c r="V223" s="6"/>
      <c r="W223" s="9"/>
      <c r="X223" s="6"/>
      <c r="Y223" s="9" t="e">
        <f t="shared" si="56"/>
        <v>#DIV/0!</v>
      </c>
      <c r="Z223" s="10" t="e">
        <f t="shared" si="57"/>
        <v>#DIV/0!</v>
      </c>
      <c r="AA223" s="10" t="e">
        <f t="shared" si="58"/>
        <v>#DIV/0!</v>
      </c>
      <c r="AB223" s="11" t="e">
        <f t="shared" si="59"/>
        <v>#DIV/0!</v>
      </c>
      <c r="AC223" s="11" t="e">
        <f t="shared" si="60"/>
        <v>#DIV/0!</v>
      </c>
      <c r="AD223" s="11" t="s">
        <v>59</v>
      </c>
    </row>
    <row r="224" spans="1:30" s="1" customFormat="1" ht="17.100000000000001" customHeight="1">
      <c r="A224" s="2">
        <v>222</v>
      </c>
      <c r="B224" s="3" t="s">
        <v>492</v>
      </c>
      <c r="C224" s="3" t="s">
        <v>493</v>
      </c>
      <c r="D224" s="4"/>
      <c r="E224" s="4"/>
      <c r="F224" s="4"/>
      <c r="G224" s="4"/>
      <c r="H224" s="4"/>
      <c r="I224" s="4"/>
      <c r="J224" s="5">
        <f t="shared" si="52"/>
        <v>0</v>
      </c>
      <c r="K224" s="6"/>
      <c r="L224" s="6"/>
      <c r="M224" s="7">
        <f t="shared" si="61"/>
        <v>0</v>
      </c>
      <c r="N224" s="8"/>
      <c r="O224" s="6"/>
      <c r="P224" s="6">
        <f t="shared" si="63"/>
        <v>0</v>
      </c>
      <c r="Q224" s="8">
        <f t="shared" si="62"/>
        <v>0</v>
      </c>
      <c r="R224" s="6"/>
      <c r="S224" s="6" t="s">
        <v>80</v>
      </c>
      <c r="T224" s="6"/>
      <c r="U224" s="6"/>
      <c r="V224" s="6"/>
      <c r="W224" s="9"/>
      <c r="X224" s="6"/>
      <c r="Y224" s="9" t="e">
        <f t="shared" si="56"/>
        <v>#DIV/0!</v>
      </c>
      <c r="Z224" s="10" t="e">
        <f t="shared" si="57"/>
        <v>#DIV/0!</v>
      </c>
      <c r="AA224" s="10" t="e">
        <f t="shared" si="58"/>
        <v>#DIV/0!</v>
      </c>
      <c r="AB224" s="11" t="e">
        <f t="shared" si="59"/>
        <v>#DIV/0!</v>
      </c>
      <c r="AC224" s="11" t="e">
        <f t="shared" si="60"/>
        <v>#DIV/0!</v>
      </c>
      <c r="AD224" s="11" t="s">
        <v>59</v>
      </c>
    </row>
    <row r="225" spans="1:30" s="1" customFormat="1" ht="17.100000000000001" customHeight="1">
      <c r="A225" s="2">
        <v>223</v>
      </c>
      <c r="B225" s="3" t="s">
        <v>494</v>
      </c>
      <c r="C225" s="3" t="s">
        <v>495</v>
      </c>
      <c r="D225" s="4"/>
      <c r="E225" s="4"/>
      <c r="F225" s="4"/>
      <c r="G225" s="4"/>
      <c r="H225" s="4"/>
      <c r="I225" s="4"/>
      <c r="J225" s="5">
        <f t="shared" si="52"/>
        <v>0</v>
      </c>
      <c r="K225" s="6"/>
      <c r="L225" s="19"/>
      <c r="M225" s="7">
        <f t="shared" si="61"/>
        <v>0</v>
      </c>
      <c r="N225" s="8"/>
      <c r="O225" s="6"/>
      <c r="P225" s="6">
        <f t="shared" si="63"/>
        <v>0</v>
      </c>
      <c r="Q225" s="8">
        <f t="shared" si="62"/>
        <v>0</v>
      </c>
      <c r="R225" s="6"/>
      <c r="S225" s="6" t="s">
        <v>80</v>
      </c>
      <c r="T225" s="6"/>
      <c r="U225" s="6"/>
      <c r="V225" s="6"/>
      <c r="W225" s="9"/>
      <c r="X225" s="6"/>
      <c r="Y225" s="9" t="e">
        <f t="shared" si="56"/>
        <v>#DIV/0!</v>
      </c>
      <c r="Z225" s="10" t="e">
        <f t="shared" si="57"/>
        <v>#DIV/0!</v>
      </c>
      <c r="AA225" s="10" t="e">
        <f t="shared" si="58"/>
        <v>#DIV/0!</v>
      </c>
      <c r="AB225" s="11" t="e">
        <f t="shared" si="59"/>
        <v>#DIV/0!</v>
      </c>
      <c r="AC225" s="11" t="e">
        <f t="shared" si="60"/>
        <v>#DIV/0!</v>
      </c>
      <c r="AD225" s="11" t="s">
        <v>59</v>
      </c>
    </row>
    <row r="226" spans="1:30" s="1" customFormat="1" ht="17.100000000000001" customHeight="1">
      <c r="A226" s="2">
        <v>224</v>
      </c>
      <c r="B226" s="3" t="s">
        <v>496</v>
      </c>
      <c r="C226" s="3" t="s">
        <v>497</v>
      </c>
      <c r="D226" s="4"/>
      <c r="E226" s="4"/>
      <c r="F226" s="4"/>
      <c r="G226" s="4"/>
      <c r="H226" s="4"/>
      <c r="I226" s="4"/>
      <c r="J226" s="5">
        <f t="shared" si="52"/>
        <v>0</v>
      </c>
      <c r="K226" s="6"/>
      <c r="L226" s="19"/>
      <c r="M226" s="7">
        <f t="shared" si="61"/>
        <v>0</v>
      </c>
      <c r="N226" s="8"/>
      <c r="O226" s="6"/>
      <c r="P226" s="6">
        <f t="shared" si="63"/>
        <v>0</v>
      </c>
      <c r="Q226" s="8">
        <f t="shared" si="62"/>
        <v>0</v>
      </c>
      <c r="R226" s="6"/>
      <c r="S226" s="6" t="s">
        <v>80</v>
      </c>
      <c r="T226" s="6"/>
      <c r="U226" s="6"/>
      <c r="V226" s="6"/>
      <c r="W226" s="9"/>
      <c r="X226" s="6"/>
      <c r="Y226" s="9" t="e">
        <f t="shared" si="56"/>
        <v>#DIV/0!</v>
      </c>
      <c r="Z226" s="10" t="e">
        <f t="shared" si="57"/>
        <v>#DIV/0!</v>
      </c>
      <c r="AA226" s="10" t="e">
        <f t="shared" si="58"/>
        <v>#DIV/0!</v>
      </c>
      <c r="AB226" s="11" t="e">
        <f t="shared" si="59"/>
        <v>#DIV/0!</v>
      </c>
      <c r="AC226" s="11" t="e">
        <f t="shared" si="60"/>
        <v>#DIV/0!</v>
      </c>
      <c r="AD226" s="11" t="s">
        <v>59</v>
      </c>
    </row>
    <row r="227" spans="1:30" s="1" customFormat="1" ht="17.100000000000001" customHeight="1">
      <c r="A227" s="2">
        <v>225</v>
      </c>
      <c r="B227" s="3" t="s">
        <v>498</v>
      </c>
      <c r="C227" s="3" t="s">
        <v>499</v>
      </c>
      <c r="D227" s="4"/>
      <c r="E227" s="4"/>
      <c r="F227" s="4"/>
      <c r="G227" s="4"/>
      <c r="H227" s="4"/>
      <c r="I227" s="4"/>
      <c r="J227" s="5">
        <f t="shared" si="52"/>
        <v>0</v>
      </c>
      <c r="K227" s="6"/>
      <c r="L227" s="19"/>
      <c r="M227" s="7">
        <f t="shared" si="61"/>
        <v>0</v>
      </c>
      <c r="N227" s="8"/>
      <c r="O227" s="6"/>
      <c r="P227" s="6">
        <f t="shared" si="63"/>
        <v>0</v>
      </c>
      <c r="Q227" s="8">
        <f t="shared" si="62"/>
        <v>0</v>
      </c>
      <c r="R227" s="6"/>
      <c r="S227" s="6" t="s">
        <v>80</v>
      </c>
      <c r="T227" s="6"/>
      <c r="U227" s="6"/>
      <c r="V227" s="6"/>
      <c r="W227" s="9"/>
      <c r="X227" s="6"/>
      <c r="Y227" s="9" t="e">
        <f t="shared" si="56"/>
        <v>#DIV/0!</v>
      </c>
      <c r="Z227" s="10" t="e">
        <f t="shared" si="57"/>
        <v>#DIV/0!</v>
      </c>
      <c r="AA227" s="10" t="e">
        <f t="shared" si="58"/>
        <v>#DIV/0!</v>
      </c>
      <c r="AB227" s="11" t="e">
        <f t="shared" si="59"/>
        <v>#DIV/0!</v>
      </c>
      <c r="AC227" s="11" t="e">
        <f t="shared" si="60"/>
        <v>#DIV/0!</v>
      </c>
      <c r="AD227" s="11" t="s">
        <v>59</v>
      </c>
    </row>
    <row r="228" spans="1:30" s="1" customFormat="1" ht="17.100000000000001" customHeight="1">
      <c r="A228" s="2">
        <v>226</v>
      </c>
      <c r="B228" s="3" t="s">
        <v>500</v>
      </c>
      <c r="C228" s="3" t="s">
        <v>501</v>
      </c>
      <c r="D228" s="4"/>
      <c r="E228" s="4"/>
      <c r="F228" s="4"/>
      <c r="G228" s="4"/>
      <c r="H228" s="4"/>
      <c r="I228" s="4"/>
      <c r="J228" s="5">
        <f t="shared" si="52"/>
        <v>0</v>
      </c>
      <c r="K228" s="6"/>
      <c r="L228" s="6"/>
      <c r="M228" s="7">
        <f t="shared" si="61"/>
        <v>0</v>
      </c>
      <c r="N228" s="8"/>
      <c r="O228" s="6"/>
      <c r="P228" s="6">
        <f t="shared" si="63"/>
        <v>0</v>
      </c>
      <c r="Q228" s="8">
        <f t="shared" si="62"/>
        <v>0</v>
      </c>
      <c r="R228" s="6"/>
      <c r="S228" s="6" t="s">
        <v>80</v>
      </c>
      <c r="T228" s="6"/>
      <c r="U228" s="6"/>
      <c r="V228" s="6"/>
      <c r="W228" s="9"/>
      <c r="X228" s="6"/>
      <c r="Y228" s="9" t="e">
        <f t="shared" si="56"/>
        <v>#DIV/0!</v>
      </c>
      <c r="Z228" s="10" t="e">
        <f t="shared" si="57"/>
        <v>#DIV/0!</v>
      </c>
      <c r="AA228" s="10" t="e">
        <f t="shared" si="58"/>
        <v>#DIV/0!</v>
      </c>
      <c r="AB228" s="11" t="e">
        <f t="shared" si="59"/>
        <v>#DIV/0!</v>
      </c>
      <c r="AC228" s="11" t="e">
        <f t="shared" si="60"/>
        <v>#DIV/0!</v>
      </c>
      <c r="AD228" s="11" t="s">
        <v>59</v>
      </c>
    </row>
    <row r="229" spans="1:30" s="1" customFormat="1" ht="17.100000000000001" customHeight="1">
      <c r="A229" s="2">
        <v>227</v>
      </c>
      <c r="B229" s="3" t="s">
        <v>502</v>
      </c>
      <c r="C229" s="3" t="s">
        <v>503</v>
      </c>
      <c r="D229" s="4"/>
      <c r="E229" s="4"/>
      <c r="F229" s="4"/>
      <c r="G229" s="4"/>
      <c r="H229" s="4"/>
      <c r="I229" s="4"/>
      <c r="J229" s="5">
        <f t="shared" si="52"/>
        <v>0</v>
      </c>
      <c r="K229" s="6"/>
      <c r="L229" s="6"/>
      <c r="M229" s="7">
        <f t="shared" si="61"/>
        <v>0</v>
      </c>
      <c r="N229" s="8"/>
      <c r="O229" s="6"/>
      <c r="P229" s="6">
        <f t="shared" si="63"/>
        <v>0</v>
      </c>
      <c r="Q229" s="8">
        <f t="shared" si="62"/>
        <v>0</v>
      </c>
      <c r="R229" s="6"/>
      <c r="S229" s="6" t="s">
        <v>80</v>
      </c>
      <c r="T229" s="6"/>
      <c r="U229" s="6"/>
      <c r="V229" s="6"/>
      <c r="W229" s="9"/>
      <c r="X229" s="6"/>
      <c r="Y229" s="9" t="e">
        <f t="shared" si="56"/>
        <v>#DIV/0!</v>
      </c>
      <c r="Z229" s="10" t="e">
        <f t="shared" si="57"/>
        <v>#DIV/0!</v>
      </c>
      <c r="AA229" s="10" t="e">
        <f t="shared" si="58"/>
        <v>#DIV/0!</v>
      </c>
      <c r="AB229" s="11" t="e">
        <f t="shared" si="59"/>
        <v>#DIV/0!</v>
      </c>
      <c r="AC229" s="11" t="e">
        <f t="shared" si="60"/>
        <v>#DIV/0!</v>
      </c>
      <c r="AD229" s="11" t="s">
        <v>59</v>
      </c>
    </row>
    <row r="230" spans="1:30" s="1" customFormat="1" ht="17.100000000000001" customHeight="1">
      <c r="A230" s="2">
        <v>228</v>
      </c>
      <c r="B230" s="3" t="s">
        <v>504</v>
      </c>
      <c r="C230" s="3" t="s">
        <v>505</v>
      </c>
      <c r="D230" s="4"/>
      <c r="E230" s="4"/>
      <c r="F230" s="4"/>
      <c r="G230" s="4"/>
      <c r="H230" s="4"/>
      <c r="I230" s="4"/>
      <c r="J230" s="5">
        <f t="shared" si="52"/>
        <v>0</v>
      </c>
      <c r="K230" s="6"/>
      <c r="L230" s="6"/>
      <c r="M230" s="7">
        <f t="shared" si="61"/>
        <v>0</v>
      </c>
      <c r="N230" s="8"/>
      <c r="O230" s="6"/>
      <c r="P230" s="6">
        <f t="shared" si="63"/>
        <v>0</v>
      </c>
      <c r="Q230" s="8">
        <f t="shared" si="62"/>
        <v>0</v>
      </c>
      <c r="R230" s="6"/>
      <c r="S230" s="6" t="s">
        <v>80</v>
      </c>
      <c r="T230" s="6"/>
      <c r="U230" s="6"/>
      <c r="V230" s="6"/>
      <c r="W230" s="9"/>
      <c r="X230" s="6"/>
      <c r="Y230" s="9" t="e">
        <f t="shared" si="56"/>
        <v>#DIV/0!</v>
      </c>
      <c r="Z230" s="10" t="e">
        <f t="shared" si="57"/>
        <v>#DIV/0!</v>
      </c>
      <c r="AA230" s="10" t="e">
        <f t="shared" si="58"/>
        <v>#DIV/0!</v>
      </c>
      <c r="AB230" s="11" t="e">
        <f t="shared" si="59"/>
        <v>#DIV/0!</v>
      </c>
      <c r="AC230" s="11" t="e">
        <f t="shared" si="60"/>
        <v>#DIV/0!</v>
      </c>
      <c r="AD230" s="11" t="s">
        <v>59</v>
      </c>
    </row>
    <row r="231" spans="1:30" s="1" customFormat="1" ht="17.100000000000001" customHeight="1">
      <c r="A231" s="2">
        <v>229</v>
      </c>
      <c r="B231" s="3" t="s">
        <v>506</v>
      </c>
      <c r="C231" s="3" t="s">
        <v>507</v>
      </c>
      <c r="D231" s="4"/>
      <c r="E231" s="4"/>
      <c r="F231" s="4"/>
      <c r="G231" s="4"/>
      <c r="H231" s="4"/>
      <c r="I231" s="4"/>
      <c r="J231" s="5">
        <f t="shared" si="52"/>
        <v>0</v>
      </c>
      <c r="K231" s="6"/>
      <c r="L231" s="6"/>
      <c r="M231" s="7">
        <f t="shared" si="61"/>
        <v>0</v>
      </c>
      <c r="N231" s="8"/>
      <c r="O231" s="6"/>
      <c r="P231" s="6">
        <f t="shared" si="63"/>
        <v>0</v>
      </c>
      <c r="Q231" s="8">
        <f t="shared" si="62"/>
        <v>0</v>
      </c>
      <c r="R231" s="6"/>
      <c r="S231" s="6" t="s">
        <v>80</v>
      </c>
      <c r="T231" s="6"/>
      <c r="U231" s="6"/>
      <c r="V231" s="6"/>
      <c r="W231" s="9"/>
      <c r="X231" s="6"/>
      <c r="Y231" s="9" t="e">
        <f t="shared" si="56"/>
        <v>#DIV/0!</v>
      </c>
      <c r="Z231" s="10" t="e">
        <f t="shared" si="57"/>
        <v>#DIV/0!</v>
      </c>
      <c r="AA231" s="10" t="e">
        <f t="shared" si="58"/>
        <v>#DIV/0!</v>
      </c>
      <c r="AB231" s="11" t="e">
        <f t="shared" si="59"/>
        <v>#DIV/0!</v>
      </c>
      <c r="AC231" s="11" t="e">
        <f t="shared" si="60"/>
        <v>#DIV/0!</v>
      </c>
      <c r="AD231" s="11" t="s">
        <v>59</v>
      </c>
    </row>
    <row r="232" spans="1:30" s="1" customFormat="1" ht="17.100000000000001" customHeight="1">
      <c r="A232" s="2">
        <v>230</v>
      </c>
      <c r="B232" s="3" t="s">
        <v>508</v>
      </c>
      <c r="C232" s="3" t="s">
        <v>509</v>
      </c>
      <c r="D232" s="4"/>
      <c r="E232" s="4"/>
      <c r="F232" s="4"/>
      <c r="G232" s="4"/>
      <c r="H232" s="4"/>
      <c r="I232" s="4"/>
      <c r="J232" s="5">
        <f t="shared" si="52"/>
        <v>0</v>
      </c>
      <c r="K232" s="6"/>
      <c r="L232" s="6"/>
      <c r="M232" s="7">
        <f t="shared" si="61"/>
        <v>0</v>
      </c>
      <c r="N232" s="8"/>
      <c r="O232" s="6"/>
      <c r="P232" s="6">
        <f t="shared" si="63"/>
        <v>0</v>
      </c>
      <c r="Q232" s="8">
        <f t="shared" si="62"/>
        <v>0</v>
      </c>
      <c r="R232" s="6"/>
      <c r="S232" s="6" t="s">
        <v>80</v>
      </c>
      <c r="T232" s="6"/>
      <c r="U232" s="6"/>
      <c r="V232" s="6"/>
      <c r="W232" s="9"/>
      <c r="X232" s="6"/>
      <c r="Y232" s="9" t="e">
        <f t="shared" si="56"/>
        <v>#DIV/0!</v>
      </c>
      <c r="Z232" s="10" t="e">
        <f t="shared" si="57"/>
        <v>#DIV/0!</v>
      </c>
      <c r="AA232" s="10" t="e">
        <f t="shared" si="58"/>
        <v>#DIV/0!</v>
      </c>
      <c r="AB232" s="11" t="e">
        <f t="shared" si="59"/>
        <v>#DIV/0!</v>
      </c>
      <c r="AC232" s="11" t="e">
        <f t="shared" si="60"/>
        <v>#DIV/0!</v>
      </c>
      <c r="AD232" s="11" t="s">
        <v>59</v>
      </c>
    </row>
    <row r="233" spans="1:30" s="1" customFormat="1" ht="17.100000000000001" customHeight="1">
      <c r="A233" s="2">
        <v>231</v>
      </c>
      <c r="B233" s="3" t="s">
        <v>510</v>
      </c>
      <c r="C233" s="3" t="s">
        <v>511</v>
      </c>
      <c r="D233" s="4">
        <v>26</v>
      </c>
      <c r="E233" s="4">
        <v>11</v>
      </c>
      <c r="F233" s="4">
        <v>6</v>
      </c>
      <c r="G233" s="4">
        <v>41.5</v>
      </c>
      <c r="H233" s="4">
        <v>38</v>
      </c>
      <c r="I233" s="4">
        <v>27.5</v>
      </c>
      <c r="J233" s="5">
        <f t="shared" si="52"/>
        <v>4.3367500000000003E-2</v>
      </c>
      <c r="K233" s="6">
        <v>10</v>
      </c>
      <c r="L233" s="19">
        <v>3</v>
      </c>
      <c r="M233" s="7">
        <f t="shared" si="61"/>
        <v>30</v>
      </c>
      <c r="N233" s="8">
        <v>9</v>
      </c>
      <c r="O233" s="6">
        <v>6</v>
      </c>
      <c r="P233" s="6">
        <f t="shared" si="63"/>
        <v>54</v>
      </c>
      <c r="Q233" s="8">
        <f t="shared" si="62"/>
        <v>1620</v>
      </c>
      <c r="R233" s="6">
        <v>3.7</v>
      </c>
      <c r="S233" s="6" t="s">
        <v>57</v>
      </c>
      <c r="T233" s="6"/>
      <c r="U233" s="6"/>
      <c r="V233" s="6"/>
      <c r="W233" s="9"/>
      <c r="X233" s="6" t="s">
        <v>58</v>
      </c>
      <c r="Y233" s="9">
        <f t="shared" si="56"/>
        <v>0</v>
      </c>
      <c r="Z233" s="10">
        <f t="shared" si="57"/>
        <v>0</v>
      </c>
      <c r="AA233" s="10">
        <f t="shared" si="58"/>
        <v>0</v>
      </c>
      <c r="AB233" s="11">
        <f t="shared" si="59"/>
        <v>0</v>
      </c>
      <c r="AC233" s="11">
        <f t="shared" si="60"/>
        <v>0</v>
      </c>
      <c r="AD233" s="11" t="s">
        <v>59</v>
      </c>
    </row>
    <row r="234" spans="1:30" s="1" customFormat="1" ht="17.100000000000001" customHeight="1">
      <c r="A234" s="2">
        <v>232</v>
      </c>
      <c r="B234" s="3" t="s">
        <v>512</v>
      </c>
      <c r="C234" s="3" t="s">
        <v>513</v>
      </c>
      <c r="D234" s="4">
        <v>26</v>
      </c>
      <c r="E234" s="4">
        <v>11</v>
      </c>
      <c r="F234" s="4">
        <v>6</v>
      </c>
      <c r="G234" s="4">
        <v>41.5</v>
      </c>
      <c r="H234" s="4">
        <v>38</v>
      </c>
      <c r="I234" s="4">
        <v>27.5</v>
      </c>
      <c r="J234" s="5">
        <f t="shared" si="52"/>
        <v>4.3367500000000003E-2</v>
      </c>
      <c r="K234" s="6">
        <v>10</v>
      </c>
      <c r="L234" s="19">
        <v>3</v>
      </c>
      <c r="M234" s="7">
        <f t="shared" si="61"/>
        <v>30</v>
      </c>
      <c r="N234" s="8">
        <v>9</v>
      </c>
      <c r="O234" s="6">
        <v>6</v>
      </c>
      <c r="P234" s="6">
        <f t="shared" si="63"/>
        <v>54</v>
      </c>
      <c r="Q234" s="8">
        <f t="shared" si="62"/>
        <v>1620</v>
      </c>
      <c r="R234" s="6">
        <v>3.7</v>
      </c>
      <c r="S234" s="6" t="s">
        <v>57</v>
      </c>
      <c r="T234" s="6"/>
      <c r="U234" s="6"/>
      <c r="V234" s="6"/>
      <c r="W234" s="9"/>
      <c r="X234" s="6"/>
      <c r="Y234" s="9">
        <f t="shared" si="56"/>
        <v>0</v>
      </c>
      <c r="Z234" s="10">
        <f t="shared" si="57"/>
        <v>0</v>
      </c>
      <c r="AA234" s="10">
        <f t="shared" si="58"/>
        <v>0</v>
      </c>
      <c r="AB234" s="11">
        <f t="shared" si="59"/>
        <v>0</v>
      </c>
      <c r="AC234" s="11">
        <f t="shared" si="60"/>
        <v>0</v>
      </c>
      <c r="AD234" s="11" t="s">
        <v>59</v>
      </c>
    </row>
    <row r="235" spans="1:30" s="1" customFormat="1" ht="17.100000000000001" customHeight="1">
      <c r="A235" s="2">
        <v>233</v>
      </c>
      <c r="B235" s="3" t="s">
        <v>514</v>
      </c>
      <c r="C235" s="3" t="s">
        <v>515</v>
      </c>
      <c r="D235" s="4">
        <v>25</v>
      </c>
      <c r="E235" s="4">
        <v>11</v>
      </c>
      <c r="F235" s="4">
        <v>8</v>
      </c>
      <c r="G235" s="4"/>
      <c r="H235" s="4"/>
      <c r="I235" s="4"/>
      <c r="J235" s="5">
        <f t="shared" si="52"/>
        <v>0</v>
      </c>
      <c r="K235" s="6">
        <v>50</v>
      </c>
      <c r="L235" s="6">
        <v>20</v>
      </c>
      <c r="M235" s="7">
        <f t="shared" si="61"/>
        <v>1000</v>
      </c>
      <c r="N235" s="8">
        <v>5</v>
      </c>
      <c r="O235" s="6">
        <v>8</v>
      </c>
      <c r="P235" s="6">
        <f t="shared" si="63"/>
        <v>40</v>
      </c>
      <c r="Q235" s="8">
        <f t="shared" si="62"/>
        <v>40000</v>
      </c>
      <c r="R235" s="6"/>
      <c r="S235" s="6" t="s">
        <v>80</v>
      </c>
      <c r="T235" s="6"/>
      <c r="U235" s="6"/>
      <c r="V235" s="6"/>
      <c r="W235" s="9"/>
      <c r="X235" s="6"/>
      <c r="Y235" s="9">
        <f t="shared" si="56"/>
        <v>0</v>
      </c>
      <c r="Z235" s="10">
        <f t="shared" si="57"/>
        <v>0</v>
      </c>
      <c r="AA235" s="10">
        <f t="shared" si="58"/>
        <v>0</v>
      </c>
      <c r="AB235" s="11">
        <f t="shared" si="59"/>
        <v>0</v>
      </c>
      <c r="AC235" s="11">
        <f t="shared" si="60"/>
        <v>0</v>
      </c>
      <c r="AD235" s="11" t="s">
        <v>59</v>
      </c>
    </row>
    <row r="236" spans="1:30" s="1" customFormat="1" ht="17.100000000000001" customHeight="1">
      <c r="A236" s="2">
        <v>234</v>
      </c>
      <c r="B236" s="3" t="s">
        <v>516</v>
      </c>
      <c r="C236" s="3" t="s">
        <v>517</v>
      </c>
      <c r="D236" s="4">
        <v>25</v>
      </c>
      <c r="E236" s="4">
        <v>11</v>
      </c>
      <c r="F236" s="4">
        <v>8</v>
      </c>
      <c r="G236" s="4"/>
      <c r="H236" s="4"/>
      <c r="I236" s="4"/>
      <c r="J236" s="5">
        <f t="shared" si="52"/>
        <v>0</v>
      </c>
      <c r="K236" s="6">
        <v>50</v>
      </c>
      <c r="L236" s="6">
        <v>20</v>
      </c>
      <c r="M236" s="7">
        <f t="shared" si="61"/>
        <v>1000</v>
      </c>
      <c r="N236" s="8">
        <v>5</v>
      </c>
      <c r="O236" s="6">
        <v>8</v>
      </c>
      <c r="P236" s="6">
        <f t="shared" si="63"/>
        <v>40</v>
      </c>
      <c r="Q236" s="8">
        <f t="shared" si="62"/>
        <v>40000</v>
      </c>
      <c r="R236" s="6"/>
      <c r="S236" s="6" t="s">
        <v>80</v>
      </c>
      <c r="T236" s="6"/>
      <c r="U236" s="6"/>
      <c r="V236" s="6"/>
      <c r="W236" s="9"/>
      <c r="X236" s="6"/>
      <c r="Y236" s="9">
        <f t="shared" si="56"/>
        <v>0</v>
      </c>
      <c r="Z236" s="10">
        <f t="shared" si="57"/>
        <v>0</v>
      </c>
      <c r="AA236" s="10">
        <f t="shared" si="58"/>
        <v>0</v>
      </c>
      <c r="AB236" s="11">
        <f t="shared" si="59"/>
        <v>0</v>
      </c>
      <c r="AC236" s="11">
        <f t="shared" si="60"/>
        <v>0</v>
      </c>
      <c r="AD236" s="11" t="s">
        <v>59</v>
      </c>
    </row>
    <row r="237" spans="1:30" s="1" customFormat="1" ht="17.100000000000001" customHeight="1">
      <c r="A237" s="2">
        <v>235</v>
      </c>
      <c r="B237" s="3" t="s">
        <v>518</v>
      </c>
      <c r="C237" s="3" t="s">
        <v>519</v>
      </c>
      <c r="D237" s="4">
        <v>25</v>
      </c>
      <c r="E237" s="4">
        <v>11</v>
      </c>
      <c r="F237" s="4">
        <v>8</v>
      </c>
      <c r="G237" s="4"/>
      <c r="H237" s="4"/>
      <c r="I237" s="4"/>
      <c r="J237" s="5">
        <f t="shared" si="52"/>
        <v>0</v>
      </c>
      <c r="K237" s="6">
        <v>50</v>
      </c>
      <c r="L237" s="6">
        <v>20</v>
      </c>
      <c r="M237" s="7">
        <f t="shared" si="61"/>
        <v>1000</v>
      </c>
      <c r="N237" s="8">
        <v>5</v>
      </c>
      <c r="O237" s="6">
        <v>8</v>
      </c>
      <c r="P237" s="6">
        <f t="shared" si="63"/>
        <v>40</v>
      </c>
      <c r="Q237" s="8">
        <f t="shared" si="62"/>
        <v>40000</v>
      </c>
      <c r="R237" s="6"/>
      <c r="S237" s="6" t="s">
        <v>80</v>
      </c>
      <c r="T237" s="6"/>
      <c r="U237" s="6"/>
      <c r="V237" s="6"/>
      <c r="W237" s="9"/>
      <c r="X237" s="6"/>
      <c r="Y237" s="9">
        <f t="shared" si="56"/>
        <v>0</v>
      </c>
      <c r="Z237" s="10">
        <f t="shared" si="57"/>
        <v>0</v>
      </c>
      <c r="AA237" s="10">
        <f t="shared" si="58"/>
        <v>0</v>
      </c>
      <c r="AB237" s="11">
        <f t="shared" si="59"/>
        <v>0</v>
      </c>
      <c r="AC237" s="11">
        <f t="shared" si="60"/>
        <v>0</v>
      </c>
      <c r="AD237" s="11" t="s">
        <v>59</v>
      </c>
    </row>
    <row r="238" spans="1:30" s="1" customFormat="1" ht="17.100000000000001" customHeight="1">
      <c r="A238" s="2">
        <v>236</v>
      </c>
      <c r="B238" s="3" t="s">
        <v>520</v>
      </c>
      <c r="C238" s="3" t="s">
        <v>521</v>
      </c>
      <c r="D238" s="4">
        <v>25</v>
      </c>
      <c r="E238" s="4">
        <v>11</v>
      </c>
      <c r="F238" s="4">
        <v>8</v>
      </c>
      <c r="G238" s="4"/>
      <c r="H238" s="4"/>
      <c r="I238" s="4"/>
      <c r="J238" s="5">
        <f t="shared" si="52"/>
        <v>0</v>
      </c>
      <c r="K238" s="6">
        <v>50</v>
      </c>
      <c r="L238" s="6">
        <v>20</v>
      </c>
      <c r="M238" s="7">
        <f t="shared" si="61"/>
        <v>1000</v>
      </c>
      <c r="N238" s="8">
        <v>5</v>
      </c>
      <c r="O238" s="6">
        <v>8</v>
      </c>
      <c r="P238" s="6">
        <f t="shared" si="63"/>
        <v>40</v>
      </c>
      <c r="Q238" s="8">
        <f t="shared" si="62"/>
        <v>40000</v>
      </c>
      <c r="R238" s="6"/>
      <c r="S238" s="6" t="s">
        <v>80</v>
      </c>
      <c r="T238" s="6"/>
      <c r="U238" s="6"/>
      <c r="V238" s="6"/>
      <c r="W238" s="9"/>
      <c r="X238" s="6"/>
      <c r="Y238" s="9">
        <f t="shared" si="56"/>
        <v>0</v>
      </c>
      <c r="Z238" s="10">
        <f t="shared" si="57"/>
        <v>0</v>
      </c>
      <c r="AA238" s="10">
        <f t="shared" si="58"/>
        <v>0</v>
      </c>
      <c r="AB238" s="11">
        <f t="shared" si="59"/>
        <v>0</v>
      </c>
      <c r="AC238" s="11">
        <f t="shared" si="60"/>
        <v>0</v>
      </c>
      <c r="AD238" s="11" t="s">
        <v>59</v>
      </c>
    </row>
    <row r="239" spans="1:30" s="1" customFormat="1" ht="17.100000000000001" customHeight="1">
      <c r="A239" s="2">
        <v>237</v>
      </c>
      <c r="B239" s="3" t="s">
        <v>522</v>
      </c>
      <c r="C239" s="3" t="s">
        <v>523</v>
      </c>
      <c r="D239" s="4"/>
      <c r="E239" s="4"/>
      <c r="F239" s="4"/>
      <c r="G239" s="4"/>
      <c r="H239" s="4"/>
      <c r="I239" s="4"/>
      <c r="J239" s="5">
        <f t="shared" si="52"/>
        <v>0</v>
      </c>
      <c r="K239" s="6"/>
      <c r="L239" s="6"/>
      <c r="M239" s="7">
        <f t="shared" si="61"/>
        <v>0</v>
      </c>
      <c r="N239" s="8"/>
      <c r="O239" s="6"/>
      <c r="P239" s="6">
        <f t="shared" si="63"/>
        <v>0</v>
      </c>
      <c r="Q239" s="8">
        <f t="shared" si="62"/>
        <v>0</v>
      </c>
      <c r="R239" s="6"/>
      <c r="S239" s="6" t="s">
        <v>80</v>
      </c>
      <c r="T239" s="6"/>
      <c r="U239" s="6"/>
      <c r="V239" s="6"/>
      <c r="W239" s="9"/>
      <c r="X239" s="6"/>
      <c r="Y239" s="9" t="e">
        <f t="shared" si="56"/>
        <v>#DIV/0!</v>
      </c>
      <c r="Z239" s="10" t="e">
        <f t="shared" si="57"/>
        <v>#DIV/0!</v>
      </c>
      <c r="AA239" s="10" t="e">
        <f t="shared" si="58"/>
        <v>#DIV/0!</v>
      </c>
      <c r="AB239" s="11" t="e">
        <f t="shared" si="59"/>
        <v>#DIV/0!</v>
      </c>
      <c r="AC239" s="11" t="e">
        <f t="shared" si="60"/>
        <v>#DIV/0!</v>
      </c>
      <c r="AD239" s="11" t="s">
        <v>59</v>
      </c>
    </row>
    <row r="240" spans="1:30" s="1" customFormat="1" ht="17.100000000000001" customHeight="1">
      <c r="A240" s="2">
        <v>238</v>
      </c>
      <c r="B240" s="3" t="s">
        <v>524</v>
      </c>
      <c r="C240" s="3" t="s">
        <v>525</v>
      </c>
      <c r="D240" s="4"/>
      <c r="E240" s="4"/>
      <c r="F240" s="4"/>
      <c r="G240" s="4"/>
      <c r="H240" s="4"/>
      <c r="I240" s="4"/>
      <c r="J240" s="5">
        <f t="shared" si="52"/>
        <v>0</v>
      </c>
      <c r="K240" s="6"/>
      <c r="L240" s="6"/>
      <c r="M240" s="7">
        <f t="shared" si="61"/>
        <v>0</v>
      </c>
      <c r="N240" s="8"/>
      <c r="O240" s="6"/>
      <c r="P240" s="6">
        <f t="shared" si="63"/>
        <v>0</v>
      </c>
      <c r="Q240" s="8">
        <f t="shared" si="62"/>
        <v>0</v>
      </c>
      <c r="R240" s="6"/>
      <c r="S240" s="6" t="s">
        <v>80</v>
      </c>
      <c r="T240" s="6"/>
      <c r="U240" s="6"/>
      <c r="V240" s="6"/>
      <c r="W240" s="9"/>
      <c r="X240" s="6"/>
      <c r="Y240" s="9" t="e">
        <f t="shared" si="56"/>
        <v>#DIV/0!</v>
      </c>
      <c r="Z240" s="10" t="e">
        <f t="shared" si="57"/>
        <v>#DIV/0!</v>
      </c>
      <c r="AA240" s="10" t="e">
        <f t="shared" si="58"/>
        <v>#DIV/0!</v>
      </c>
      <c r="AB240" s="11" t="e">
        <f t="shared" si="59"/>
        <v>#DIV/0!</v>
      </c>
      <c r="AC240" s="11" t="e">
        <f t="shared" si="60"/>
        <v>#DIV/0!</v>
      </c>
      <c r="AD240" s="11" t="s">
        <v>59</v>
      </c>
    </row>
    <row r="241" spans="1:30" s="1" customFormat="1" ht="17.100000000000001" customHeight="1">
      <c r="A241" s="2">
        <v>239</v>
      </c>
      <c r="B241" s="3" t="s">
        <v>526</v>
      </c>
      <c r="C241" s="3" t="s">
        <v>527</v>
      </c>
      <c r="D241" s="4"/>
      <c r="E241" s="4"/>
      <c r="F241" s="4"/>
      <c r="G241" s="4"/>
      <c r="H241" s="4"/>
      <c r="I241" s="4"/>
      <c r="J241" s="5">
        <f t="shared" si="52"/>
        <v>0</v>
      </c>
      <c r="K241" s="6"/>
      <c r="L241" s="6"/>
      <c r="M241" s="7">
        <f t="shared" si="61"/>
        <v>0</v>
      </c>
      <c r="N241" s="8"/>
      <c r="O241" s="6"/>
      <c r="P241" s="6">
        <f t="shared" si="63"/>
        <v>0</v>
      </c>
      <c r="Q241" s="8">
        <f t="shared" si="62"/>
        <v>0</v>
      </c>
      <c r="R241" s="6"/>
      <c r="S241" s="6" t="s">
        <v>80</v>
      </c>
      <c r="T241" s="6"/>
      <c r="U241" s="6"/>
      <c r="V241" s="6"/>
      <c r="W241" s="9"/>
      <c r="X241" s="6"/>
      <c r="Y241" s="9" t="e">
        <f t="shared" si="56"/>
        <v>#DIV/0!</v>
      </c>
      <c r="Z241" s="10" t="e">
        <f t="shared" si="57"/>
        <v>#DIV/0!</v>
      </c>
      <c r="AA241" s="10" t="e">
        <f t="shared" si="58"/>
        <v>#DIV/0!</v>
      </c>
      <c r="AB241" s="11" t="e">
        <f t="shared" si="59"/>
        <v>#DIV/0!</v>
      </c>
      <c r="AC241" s="11" t="e">
        <f t="shared" si="60"/>
        <v>#DIV/0!</v>
      </c>
      <c r="AD241" s="11" t="s">
        <v>59</v>
      </c>
    </row>
    <row r="242" spans="1:30" s="1" customFormat="1" ht="17.100000000000001" customHeight="1">
      <c r="A242" s="2">
        <v>240</v>
      </c>
      <c r="B242" s="3" t="s">
        <v>528</v>
      </c>
      <c r="C242" s="3" t="s">
        <v>529</v>
      </c>
      <c r="D242" s="4"/>
      <c r="E242" s="4"/>
      <c r="F242" s="4"/>
      <c r="G242" s="4"/>
      <c r="H242" s="4"/>
      <c r="I242" s="4"/>
      <c r="J242" s="5">
        <f t="shared" si="52"/>
        <v>0</v>
      </c>
      <c r="K242" s="6"/>
      <c r="L242" s="6"/>
      <c r="M242" s="7">
        <f t="shared" si="61"/>
        <v>0</v>
      </c>
      <c r="N242" s="8"/>
      <c r="O242" s="6"/>
      <c r="P242" s="6">
        <f t="shared" si="63"/>
        <v>0</v>
      </c>
      <c r="Q242" s="8">
        <f t="shared" si="62"/>
        <v>0</v>
      </c>
      <c r="R242" s="6"/>
      <c r="S242" s="6" t="s">
        <v>80</v>
      </c>
      <c r="T242" s="6"/>
      <c r="U242" s="6"/>
      <c r="V242" s="6"/>
      <c r="W242" s="9"/>
      <c r="X242" s="6"/>
      <c r="Y242" s="9" t="e">
        <f t="shared" si="56"/>
        <v>#DIV/0!</v>
      </c>
      <c r="Z242" s="10" t="e">
        <f t="shared" si="57"/>
        <v>#DIV/0!</v>
      </c>
      <c r="AA242" s="10" t="e">
        <f t="shared" si="58"/>
        <v>#DIV/0!</v>
      </c>
      <c r="AB242" s="11" t="e">
        <f t="shared" si="59"/>
        <v>#DIV/0!</v>
      </c>
      <c r="AC242" s="11" t="e">
        <f t="shared" si="60"/>
        <v>#DIV/0!</v>
      </c>
      <c r="AD242" s="11" t="s">
        <v>59</v>
      </c>
    </row>
    <row r="243" spans="1:30" s="1" customFormat="1" ht="17.100000000000001" customHeight="1">
      <c r="A243" s="2">
        <v>241</v>
      </c>
      <c r="B243" s="3" t="s">
        <v>530</v>
      </c>
      <c r="C243" s="3" t="s">
        <v>531</v>
      </c>
      <c r="D243" s="4"/>
      <c r="E243" s="4"/>
      <c r="F243" s="4"/>
      <c r="G243" s="4"/>
      <c r="H243" s="4"/>
      <c r="I243" s="4"/>
      <c r="J243" s="5">
        <f t="shared" si="52"/>
        <v>0</v>
      </c>
      <c r="K243" s="6"/>
      <c r="L243" s="6"/>
      <c r="M243" s="7">
        <f t="shared" si="61"/>
        <v>0</v>
      </c>
      <c r="N243" s="8"/>
      <c r="O243" s="6"/>
      <c r="P243" s="6">
        <f t="shared" si="63"/>
        <v>0</v>
      </c>
      <c r="Q243" s="8">
        <f t="shared" si="62"/>
        <v>0</v>
      </c>
      <c r="R243" s="6"/>
      <c r="S243" s="6" t="s">
        <v>80</v>
      </c>
      <c r="T243" s="6"/>
      <c r="U243" s="6"/>
      <c r="V243" s="6"/>
      <c r="W243" s="9"/>
      <c r="X243" s="6"/>
      <c r="Y243" s="9" t="e">
        <f t="shared" si="56"/>
        <v>#DIV/0!</v>
      </c>
      <c r="Z243" s="10" t="e">
        <f t="shared" si="57"/>
        <v>#DIV/0!</v>
      </c>
      <c r="AA243" s="10" t="e">
        <f t="shared" si="58"/>
        <v>#DIV/0!</v>
      </c>
      <c r="AB243" s="11" t="e">
        <f t="shared" si="59"/>
        <v>#DIV/0!</v>
      </c>
      <c r="AC243" s="11" t="e">
        <f t="shared" si="60"/>
        <v>#DIV/0!</v>
      </c>
      <c r="AD243" s="11" t="s">
        <v>59</v>
      </c>
    </row>
    <row r="244" spans="1:30" s="1" customFormat="1" ht="17.100000000000001" customHeight="1">
      <c r="A244" s="2">
        <v>242</v>
      </c>
      <c r="B244" s="3" t="s">
        <v>532</v>
      </c>
      <c r="C244" s="3" t="s">
        <v>533</v>
      </c>
      <c r="D244" s="4"/>
      <c r="E244" s="4"/>
      <c r="F244" s="4"/>
      <c r="G244" s="4"/>
      <c r="H244" s="4"/>
      <c r="I244" s="4"/>
      <c r="J244" s="5">
        <f t="shared" si="52"/>
        <v>0</v>
      </c>
      <c r="K244" s="6"/>
      <c r="L244" s="6"/>
      <c r="M244" s="7">
        <f t="shared" si="61"/>
        <v>0</v>
      </c>
      <c r="N244" s="8"/>
      <c r="O244" s="6"/>
      <c r="P244" s="6">
        <f t="shared" si="63"/>
        <v>0</v>
      </c>
      <c r="Q244" s="8">
        <f t="shared" si="62"/>
        <v>0</v>
      </c>
      <c r="R244" s="6"/>
      <c r="S244" s="6" t="s">
        <v>80</v>
      </c>
      <c r="T244" s="6"/>
      <c r="U244" s="6"/>
      <c r="V244" s="6"/>
      <c r="W244" s="9"/>
      <c r="X244" s="6"/>
      <c r="Y244" s="9" t="e">
        <f t="shared" si="56"/>
        <v>#DIV/0!</v>
      </c>
      <c r="Z244" s="10" t="e">
        <f t="shared" si="57"/>
        <v>#DIV/0!</v>
      </c>
      <c r="AA244" s="10" t="e">
        <f t="shared" si="58"/>
        <v>#DIV/0!</v>
      </c>
      <c r="AB244" s="11" t="e">
        <f t="shared" si="59"/>
        <v>#DIV/0!</v>
      </c>
      <c r="AC244" s="11" t="e">
        <f t="shared" si="60"/>
        <v>#DIV/0!</v>
      </c>
      <c r="AD244" s="11" t="s">
        <v>59</v>
      </c>
    </row>
    <row r="245" spans="1:30" s="1" customFormat="1" ht="17.100000000000001" customHeight="1">
      <c r="A245" s="2">
        <v>243</v>
      </c>
      <c r="B245" s="3" t="s">
        <v>534</v>
      </c>
      <c r="C245" s="3" t="s">
        <v>535</v>
      </c>
      <c r="D245" s="4"/>
      <c r="E245" s="4"/>
      <c r="F245" s="4"/>
      <c r="G245" s="4"/>
      <c r="H245" s="4"/>
      <c r="I245" s="4"/>
      <c r="J245" s="5">
        <f t="shared" si="52"/>
        <v>0</v>
      </c>
      <c r="K245" s="6"/>
      <c r="L245" s="6"/>
      <c r="M245" s="7">
        <f t="shared" si="61"/>
        <v>0</v>
      </c>
      <c r="N245" s="8"/>
      <c r="O245" s="6"/>
      <c r="P245" s="6">
        <f t="shared" si="63"/>
        <v>0</v>
      </c>
      <c r="Q245" s="8">
        <f t="shared" si="62"/>
        <v>0</v>
      </c>
      <c r="R245" s="6"/>
      <c r="S245" s="6" t="s">
        <v>80</v>
      </c>
      <c r="T245" s="6"/>
      <c r="U245" s="6"/>
      <c r="V245" s="6"/>
      <c r="W245" s="9"/>
      <c r="X245" s="6"/>
      <c r="Y245" s="9" t="e">
        <f t="shared" si="56"/>
        <v>#DIV/0!</v>
      </c>
      <c r="Z245" s="10" t="e">
        <f t="shared" si="57"/>
        <v>#DIV/0!</v>
      </c>
      <c r="AA245" s="10" t="e">
        <f t="shared" si="58"/>
        <v>#DIV/0!</v>
      </c>
      <c r="AB245" s="11" t="e">
        <f t="shared" si="59"/>
        <v>#DIV/0!</v>
      </c>
      <c r="AC245" s="11" t="e">
        <f t="shared" si="60"/>
        <v>#DIV/0!</v>
      </c>
      <c r="AD245" s="11" t="s">
        <v>59</v>
      </c>
    </row>
    <row r="246" spans="1:30" s="1" customFormat="1" ht="17.100000000000001" customHeight="1">
      <c r="A246" s="2">
        <v>244</v>
      </c>
      <c r="B246" s="3" t="s">
        <v>536</v>
      </c>
      <c r="C246" s="3" t="s">
        <v>537</v>
      </c>
      <c r="D246" s="4"/>
      <c r="E246" s="4"/>
      <c r="F246" s="4"/>
      <c r="G246" s="4"/>
      <c r="H246" s="4"/>
      <c r="I246" s="4"/>
      <c r="J246" s="5">
        <f t="shared" si="52"/>
        <v>0</v>
      </c>
      <c r="K246" s="6"/>
      <c r="L246" s="6"/>
      <c r="M246" s="7">
        <f t="shared" si="61"/>
        <v>0</v>
      </c>
      <c r="N246" s="8"/>
      <c r="O246" s="6"/>
      <c r="P246" s="6">
        <f t="shared" si="63"/>
        <v>0</v>
      </c>
      <c r="Q246" s="8">
        <f t="shared" si="62"/>
        <v>0</v>
      </c>
      <c r="R246" s="6"/>
      <c r="S246" s="6" t="s">
        <v>80</v>
      </c>
      <c r="T246" s="6"/>
      <c r="U246" s="6"/>
      <c r="V246" s="6"/>
      <c r="W246" s="9"/>
      <c r="X246" s="6"/>
      <c r="Y246" s="9" t="e">
        <f t="shared" si="56"/>
        <v>#DIV/0!</v>
      </c>
      <c r="Z246" s="10" t="e">
        <f t="shared" si="57"/>
        <v>#DIV/0!</v>
      </c>
      <c r="AA246" s="10" t="e">
        <f t="shared" si="58"/>
        <v>#DIV/0!</v>
      </c>
      <c r="AB246" s="11" t="e">
        <f t="shared" si="59"/>
        <v>#DIV/0!</v>
      </c>
      <c r="AC246" s="11" t="e">
        <f t="shared" si="60"/>
        <v>#DIV/0!</v>
      </c>
      <c r="AD246" s="11" t="s">
        <v>59</v>
      </c>
    </row>
    <row r="247" spans="1:30" s="1" customFormat="1" ht="17.100000000000001" customHeight="1">
      <c r="A247" s="2">
        <v>245</v>
      </c>
      <c r="B247" s="3" t="s">
        <v>538</v>
      </c>
      <c r="C247" s="3" t="s">
        <v>539</v>
      </c>
      <c r="D247" s="4"/>
      <c r="E247" s="4"/>
      <c r="F247" s="4"/>
      <c r="G247" s="4"/>
      <c r="H247" s="4"/>
      <c r="I247" s="4"/>
      <c r="J247" s="5">
        <f t="shared" si="52"/>
        <v>0</v>
      </c>
      <c r="K247" s="6"/>
      <c r="L247" s="6"/>
      <c r="M247" s="7">
        <f t="shared" si="61"/>
        <v>0</v>
      </c>
      <c r="N247" s="8"/>
      <c r="O247" s="6"/>
      <c r="P247" s="6">
        <f t="shared" si="63"/>
        <v>0</v>
      </c>
      <c r="Q247" s="8">
        <f t="shared" si="62"/>
        <v>0</v>
      </c>
      <c r="R247" s="6"/>
      <c r="S247" s="6" t="s">
        <v>80</v>
      </c>
      <c r="T247" s="6"/>
      <c r="U247" s="6"/>
      <c r="V247" s="6"/>
      <c r="W247" s="9"/>
      <c r="X247" s="6"/>
      <c r="Y247" s="9" t="e">
        <f t="shared" si="56"/>
        <v>#DIV/0!</v>
      </c>
      <c r="Z247" s="10" t="e">
        <f t="shared" si="57"/>
        <v>#DIV/0!</v>
      </c>
      <c r="AA247" s="10" t="e">
        <f t="shared" si="58"/>
        <v>#DIV/0!</v>
      </c>
      <c r="AB247" s="11" t="e">
        <f t="shared" si="59"/>
        <v>#DIV/0!</v>
      </c>
      <c r="AC247" s="11" t="e">
        <f t="shared" si="60"/>
        <v>#DIV/0!</v>
      </c>
      <c r="AD247" s="11" t="s">
        <v>59</v>
      </c>
    </row>
    <row r="248" spans="1:30" s="1" customFormat="1" ht="17.100000000000001" customHeight="1">
      <c r="A248" s="2">
        <v>246</v>
      </c>
      <c r="B248" s="3" t="s">
        <v>540</v>
      </c>
      <c r="C248" s="3" t="s">
        <v>541</v>
      </c>
      <c r="D248" s="4"/>
      <c r="E248" s="4"/>
      <c r="F248" s="4"/>
      <c r="G248" s="4"/>
      <c r="H248" s="4"/>
      <c r="I248" s="4"/>
      <c r="J248" s="5">
        <f t="shared" si="52"/>
        <v>0</v>
      </c>
      <c r="K248" s="6"/>
      <c r="L248" s="6"/>
      <c r="M248" s="7">
        <f t="shared" si="61"/>
        <v>0</v>
      </c>
      <c r="N248" s="8"/>
      <c r="O248" s="6"/>
      <c r="P248" s="6">
        <f t="shared" si="63"/>
        <v>0</v>
      </c>
      <c r="Q248" s="8">
        <f t="shared" si="62"/>
        <v>0</v>
      </c>
      <c r="R248" s="6"/>
      <c r="S248" s="6" t="s">
        <v>80</v>
      </c>
      <c r="T248" s="6"/>
      <c r="U248" s="6"/>
      <c r="V248" s="6"/>
      <c r="W248" s="9"/>
      <c r="X248" s="6"/>
      <c r="Y248" s="9" t="e">
        <f t="shared" si="56"/>
        <v>#DIV/0!</v>
      </c>
      <c r="Z248" s="10" t="e">
        <f t="shared" si="57"/>
        <v>#DIV/0!</v>
      </c>
      <c r="AA248" s="10" t="e">
        <f t="shared" si="58"/>
        <v>#DIV/0!</v>
      </c>
      <c r="AB248" s="11" t="e">
        <f t="shared" si="59"/>
        <v>#DIV/0!</v>
      </c>
      <c r="AC248" s="11" t="e">
        <f t="shared" si="60"/>
        <v>#DIV/0!</v>
      </c>
      <c r="AD248" s="11" t="s">
        <v>59</v>
      </c>
    </row>
    <row r="249" spans="1:30" s="1" customFormat="1" ht="17.100000000000001" customHeight="1">
      <c r="A249" s="2">
        <v>247</v>
      </c>
      <c r="B249" s="3" t="s">
        <v>542</v>
      </c>
      <c r="C249" s="3" t="s">
        <v>543</v>
      </c>
      <c r="D249" s="4"/>
      <c r="E249" s="4"/>
      <c r="F249" s="4"/>
      <c r="G249" s="4"/>
      <c r="H249" s="4"/>
      <c r="I249" s="4"/>
      <c r="J249" s="5">
        <f t="shared" si="52"/>
        <v>0</v>
      </c>
      <c r="K249" s="6"/>
      <c r="L249" s="6"/>
      <c r="M249" s="7">
        <f t="shared" si="61"/>
        <v>0</v>
      </c>
      <c r="N249" s="8"/>
      <c r="O249" s="6"/>
      <c r="P249" s="6">
        <f t="shared" si="63"/>
        <v>0</v>
      </c>
      <c r="Q249" s="8">
        <f t="shared" si="62"/>
        <v>0</v>
      </c>
      <c r="R249" s="6"/>
      <c r="S249" s="6" t="s">
        <v>80</v>
      </c>
      <c r="T249" s="6"/>
      <c r="U249" s="6"/>
      <c r="V249" s="6"/>
      <c r="W249" s="9"/>
      <c r="X249" s="6"/>
      <c r="Y249" s="9" t="e">
        <f t="shared" si="56"/>
        <v>#DIV/0!</v>
      </c>
      <c r="Z249" s="10" t="e">
        <f t="shared" si="57"/>
        <v>#DIV/0!</v>
      </c>
      <c r="AA249" s="10" t="e">
        <f t="shared" si="58"/>
        <v>#DIV/0!</v>
      </c>
      <c r="AB249" s="11" t="e">
        <f t="shared" si="59"/>
        <v>#DIV/0!</v>
      </c>
      <c r="AC249" s="11" t="e">
        <f t="shared" si="60"/>
        <v>#DIV/0!</v>
      </c>
      <c r="AD249" s="11" t="s">
        <v>59</v>
      </c>
    </row>
    <row r="250" spans="1:30" s="1" customFormat="1" ht="17.100000000000001" customHeight="1">
      <c r="A250" s="2">
        <v>248</v>
      </c>
      <c r="B250" s="3" t="s">
        <v>544</v>
      </c>
      <c r="C250" s="3" t="s">
        <v>545</v>
      </c>
      <c r="D250" s="4"/>
      <c r="E250" s="4"/>
      <c r="F250" s="4"/>
      <c r="G250" s="4"/>
      <c r="H250" s="4"/>
      <c r="I250" s="4"/>
      <c r="J250" s="5">
        <f t="shared" si="52"/>
        <v>0</v>
      </c>
      <c r="K250" s="6"/>
      <c r="L250" s="6"/>
      <c r="M250" s="7">
        <f t="shared" si="61"/>
        <v>0</v>
      </c>
      <c r="N250" s="8"/>
      <c r="O250" s="6"/>
      <c r="P250" s="6">
        <f t="shared" si="63"/>
        <v>0</v>
      </c>
      <c r="Q250" s="8">
        <f t="shared" si="62"/>
        <v>0</v>
      </c>
      <c r="R250" s="6"/>
      <c r="S250" s="6" t="s">
        <v>80</v>
      </c>
      <c r="T250" s="6"/>
      <c r="U250" s="6"/>
      <c r="V250" s="6"/>
      <c r="W250" s="9"/>
      <c r="X250" s="6"/>
      <c r="Y250" s="9" t="e">
        <f t="shared" si="56"/>
        <v>#DIV/0!</v>
      </c>
      <c r="Z250" s="10" t="e">
        <f t="shared" si="57"/>
        <v>#DIV/0!</v>
      </c>
      <c r="AA250" s="10" t="e">
        <f t="shared" si="58"/>
        <v>#DIV/0!</v>
      </c>
      <c r="AB250" s="11" t="e">
        <f t="shared" si="59"/>
        <v>#DIV/0!</v>
      </c>
      <c r="AC250" s="11" t="e">
        <f t="shared" si="60"/>
        <v>#DIV/0!</v>
      </c>
      <c r="AD250" s="11" t="s">
        <v>59</v>
      </c>
    </row>
    <row r="251" spans="1:30" s="1" customFormat="1" ht="17.100000000000001" customHeight="1">
      <c r="A251" s="2">
        <v>249</v>
      </c>
      <c r="B251" s="3" t="s">
        <v>546</v>
      </c>
      <c r="C251" s="3" t="s">
        <v>547</v>
      </c>
      <c r="D251" s="4"/>
      <c r="E251" s="4"/>
      <c r="F251" s="4"/>
      <c r="G251" s="4"/>
      <c r="H251" s="4"/>
      <c r="I251" s="4"/>
      <c r="J251" s="5">
        <f t="shared" si="52"/>
        <v>0</v>
      </c>
      <c r="K251" s="6"/>
      <c r="L251" s="6"/>
      <c r="M251" s="7">
        <f t="shared" si="61"/>
        <v>0</v>
      </c>
      <c r="N251" s="8"/>
      <c r="O251" s="6"/>
      <c r="P251" s="6">
        <f t="shared" si="63"/>
        <v>0</v>
      </c>
      <c r="Q251" s="8">
        <f t="shared" si="62"/>
        <v>0</v>
      </c>
      <c r="R251" s="6"/>
      <c r="S251" s="6" t="s">
        <v>80</v>
      </c>
      <c r="T251" s="6"/>
      <c r="U251" s="6"/>
      <c r="V251" s="6"/>
      <c r="W251" s="9"/>
      <c r="X251" s="6"/>
      <c r="Y251" s="9" t="e">
        <f t="shared" si="56"/>
        <v>#DIV/0!</v>
      </c>
      <c r="Z251" s="10" t="e">
        <f t="shared" si="57"/>
        <v>#DIV/0!</v>
      </c>
      <c r="AA251" s="10" t="e">
        <f t="shared" si="58"/>
        <v>#DIV/0!</v>
      </c>
      <c r="AB251" s="11" t="e">
        <f t="shared" si="59"/>
        <v>#DIV/0!</v>
      </c>
      <c r="AC251" s="11" t="e">
        <f t="shared" si="60"/>
        <v>#DIV/0!</v>
      </c>
      <c r="AD251" s="11" t="s">
        <v>59</v>
      </c>
    </row>
    <row r="252" spans="1:30" s="1" customFormat="1" ht="17.100000000000001" customHeight="1">
      <c r="A252" s="2">
        <v>250</v>
      </c>
      <c r="B252" s="3" t="s">
        <v>548</v>
      </c>
      <c r="C252" s="3" t="s">
        <v>549</v>
      </c>
      <c r="D252" s="4"/>
      <c r="E252" s="4"/>
      <c r="F252" s="4"/>
      <c r="G252" s="4"/>
      <c r="H252" s="4"/>
      <c r="I252" s="4"/>
      <c r="J252" s="5">
        <f t="shared" si="52"/>
        <v>0</v>
      </c>
      <c r="K252" s="6"/>
      <c r="L252" s="6"/>
      <c r="M252" s="7">
        <f t="shared" si="61"/>
        <v>0</v>
      </c>
      <c r="N252" s="8"/>
      <c r="O252" s="6"/>
      <c r="P252" s="6">
        <f t="shared" si="63"/>
        <v>0</v>
      </c>
      <c r="Q252" s="8">
        <f t="shared" si="62"/>
        <v>0</v>
      </c>
      <c r="R252" s="6"/>
      <c r="S252" s="6" t="s">
        <v>80</v>
      </c>
      <c r="T252" s="6"/>
      <c r="U252" s="6"/>
      <c r="V252" s="6"/>
      <c r="W252" s="9"/>
      <c r="X252" s="6"/>
      <c r="Y252" s="9" t="e">
        <f t="shared" si="56"/>
        <v>#DIV/0!</v>
      </c>
      <c r="Z252" s="10" t="e">
        <f t="shared" si="57"/>
        <v>#DIV/0!</v>
      </c>
      <c r="AA252" s="10" t="e">
        <f t="shared" si="58"/>
        <v>#DIV/0!</v>
      </c>
      <c r="AB252" s="11" t="e">
        <f t="shared" si="59"/>
        <v>#DIV/0!</v>
      </c>
      <c r="AC252" s="11" t="e">
        <f t="shared" si="60"/>
        <v>#DIV/0!</v>
      </c>
      <c r="AD252" s="11" t="s">
        <v>59</v>
      </c>
    </row>
    <row r="253" spans="1:30" s="1" customFormat="1" ht="17.100000000000001" customHeight="1">
      <c r="A253" s="2">
        <v>251</v>
      </c>
      <c r="B253" s="3" t="s">
        <v>550</v>
      </c>
      <c r="C253" s="3" t="s">
        <v>551</v>
      </c>
      <c r="D253" s="4"/>
      <c r="E253" s="4"/>
      <c r="F253" s="4"/>
      <c r="G253" s="4"/>
      <c r="H253" s="4"/>
      <c r="I253" s="4"/>
      <c r="J253" s="5">
        <f t="shared" si="52"/>
        <v>0</v>
      </c>
      <c r="K253" s="6"/>
      <c r="L253" s="6"/>
      <c r="M253" s="7">
        <f t="shared" si="61"/>
        <v>0</v>
      </c>
      <c r="N253" s="8"/>
      <c r="O253" s="6"/>
      <c r="P253" s="6">
        <f t="shared" si="63"/>
        <v>0</v>
      </c>
      <c r="Q253" s="8">
        <f t="shared" si="62"/>
        <v>0</v>
      </c>
      <c r="R253" s="6"/>
      <c r="S253" s="6" t="s">
        <v>80</v>
      </c>
      <c r="T253" s="6"/>
      <c r="U253" s="6"/>
      <c r="V253" s="6"/>
      <c r="W253" s="9"/>
      <c r="X253" s="6"/>
      <c r="Y253" s="9" t="e">
        <f t="shared" si="56"/>
        <v>#DIV/0!</v>
      </c>
      <c r="Z253" s="10" t="e">
        <f t="shared" si="57"/>
        <v>#DIV/0!</v>
      </c>
      <c r="AA253" s="10" t="e">
        <f t="shared" si="58"/>
        <v>#DIV/0!</v>
      </c>
      <c r="AB253" s="11" t="e">
        <f t="shared" si="59"/>
        <v>#DIV/0!</v>
      </c>
      <c r="AC253" s="11" t="e">
        <f t="shared" si="60"/>
        <v>#DIV/0!</v>
      </c>
      <c r="AD253" s="11" t="s">
        <v>59</v>
      </c>
    </row>
    <row r="254" spans="1:30" s="1" customFormat="1" ht="17.100000000000001" customHeight="1">
      <c r="A254" s="2">
        <v>252</v>
      </c>
      <c r="B254" s="3" t="s">
        <v>552</v>
      </c>
      <c r="C254" s="3" t="s">
        <v>553</v>
      </c>
      <c r="D254" s="4"/>
      <c r="E254" s="4"/>
      <c r="F254" s="4"/>
      <c r="G254" s="4"/>
      <c r="H254" s="4"/>
      <c r="I254" s="4"/>
      <c r="J254" s="5">
        <f t="shared" si="52"/>
        <v>0</v>
      </c>
      <c r="K254" s="6">
        <v>1</v>
      </c>
      <c r="L254" s="6">
        <v>4</v>
      </c>
      <c r="M254" s="7">
        <f t="shared" si="61"/>
        <v>4</v>
      </c>
      <c r="N254" s="8"/>
      <c r="O254" s="6"/>
      <c r="P254" s="6">
        <f t="shared" si="63"/>
        <v>0</v>
      </c>
      <c r="Q254" s="8">
        <f t="shared" si="62"/>
        <v>0</v>
      </c>
      <c r="R254" s="6">
        <v>4</v>
      </c>
      <c r="S254" s="6" t="s">
        <v>80</v>
      </c>
      <c r="T254" s="6"/>
      <c r="U254" s="6"/>
      <c r="V254" s="6"/>
      <c r="W254" s="9"/>
      <c r="X254" s="6" t="s">
        <v>201</v>
      </c>
      <c r="Y254" s="9">
        <f t="shared" si="56"/>
        <v>0</v>
      </c>
      <c r="Z254" s="10">
        <f t="shared" si="57"/>
        <v>0</v>
      </c>
      <c r="AA254" s="10">
        <f t="shared" si="58"/>
        <v>0</v>
      </c>
      <c r="AB254" s="11">
        <f t="shared" si="59"/>
        <v>0</v>
      </c>
      <c r="AC254" s="11">
        <f t="shared" si="60"/>
        <v>0</v>
      </c>
      <c r="AD254" s="11" t="s">
        <v>212</v>
      </c>
    </row>
    <row r="255" spans="1:30" s="1" customFormat="1" ht="17.100000000000001" customHeight="1">
      <c r="A255" s="2">
        <v>253</v>
      </c>
      <c r="B255" s="3" t="s">
        <v>554</v>
      </c>
      <c r="C255" s="3" t="s">
        <v>555</v>
      </c>
      <c r="D255" s="4"/>
      <c r="E255" s="4"/>
      <c r="F255" s="4"/>
      <c r="G255" s="4"/>
      <c r="H255" s="4"/>
      <c r="I255" s="4"/>
      <c r="J255" s="5">
        <f t="shared" si="52"/>
        <v>0</v>
      </c>
      <c r="K255" s="6"/>
      <c r="L255" s="6"/>
      <c r="M255" s="7">
        <f t="shared" si="61"/>
        <v>0</v>
      </c>
      <c r="N255" s="8"/>
      <c r="O255" s="6"/>
      <c r="P255" s="6">
        <f t="shared" si="63"/>
        <v>0</v>
      </c>
      <c r="Q255" s="8">
        <f t="shared" si="62"/>
        <v>0</v>
      </c>
      <c r="R255" s="6"/>
      <c r="S255" s="6" t="s">
        <v>80</v>
      </c>
      <c r="T255" s="6"/>
      <c r="U255" s="6"/>
      <c r="V255" s="6"/>
      <c r="W255" s="9"/>
      <c r="X255" s="6"/>
      <c r="Y255" s="9" t="e">
        <f t="shared" si="56"/>
        <v>#DIV/0!</v>
      </c>
      <c r="Z255" s="10" t="e">
        <f t="shared" si="57"/>
        <v>#DIV/0!</v>
      </c>
      <c r="AA255" s="10" t="e">
        <f t="shared" si="58"/>
        <v>#DIV/0!</v>
      </c>
      <c r="AB255" s="11" t="e">
        <f t="shared" si="59"/>
        <v>#DIV/0!</v>
      </c>
      <c r="AC255" s="11" t="e">
        <f t="shared" si="60"/>
        <v>#DIV/0!</v>
      </c>
      <c r="AD255" s="11" t="s">
        <v>59</v>
      </c>
    </row>
    <row r="256" spans="1:30" s="1" customFormat="1" ht="17.100000000000001" customHeight="1">
      <c r="A256" s="2">
        <v>254</v>
      </c>
      <c r="B256" s="3" t="s">
        <v>556</v>
      </c>
      <c r="C256" s="3" t="s">
        <v>557</v>
      </c>
      <c r="D256" s="4"/>
      <c r="E256" s="4"/>
      <c r="F256" s="4"/>
      <c r="G256" s="4"/>
      <c r="H256" s="4"/>
      <c r="I256" s="4"/>
      <c r="J256" s="5">
        <f t="shared" si="52"/>
        <v>0</v>
      </c>
      <c r="K256" s="6"/>
      <c r="L256" s="6"/>
      <c r="M256" s="7">
        <f t="shared" si="61"/>
        <v>0</v>
      </c>
      <c r="N256" s="8"/>
      <c r="O256" s="6"/>
      <c r="P256" s="6">
        <f t="shared" si="63"/>
        <v>0</v>
      </c>
      <c r="Q256" s="8">
        <f t="shared" si="62"/>
        <v>0</v>
      </c>
      <c r="R256" s="6"/>
      <c r="S256" s="6" t="s">
        <v>80</v>
      </c>
      <c r="T256" s="6"/>
      <c r="U256" s="6"/>
      <c r="V256" s="6"/>
      <c r="W256" s="9"/>
      <c r="X256" s="6"/>
      <c r="Y256" s="9" t="e">
        <f t="shared" si="56"/>
        <v>#DIV/0!</v>
      </c>
      <c r="Z256" s="10" t="e">
        <f t="shared" si="57"/>
        <v>#DIV/0!</v>
      </c>
      <c r="AA256" s="10" t="e">
        <f t="shared" si="58"/>
        <v>#DIV/0!</v>
      </c>
      <c r="AB256" s="11" t="e">
        <f t="shared" si="59"/>
        <v>#DIV/0!</v>
      </c>
      <c r="AC256" s="11" t="e">
        <f t="shared" si="60"/>
        <v>#DIV/0!</v>
      </c>
      <c r="AD256" s="11" t="s">
        <v>59</v>
      </c>
    </row>
    <row r="257" spans="1:35" s="1" customFormat="1" ht="17.100000000000001" customHeight="1">
      <c r="A257" s="2">
        <v>255</v>
      </c>
      <c r="B257" s="3" t="s">
        <v>558</v>
      </c>
      <c r="C257" s="3" t="s">
        <v>559</v>
      </c>
      <c r="D257" s="4">
        <v>24</v>
      </c>
      <c r="E257" s="4">
        <v>19</v>
      </c>
      <c r="F257" s="4">
        <v>29</v>
      </c>
      <c r="G257" s="4">
        <v>24</v>
      </c>
      <c r="H257" s="4">
        <v>19</v>
      </c>
      <c r="I257" s="4">
        <v>29</v>
      </c>
      <c r="J257" s="5">
        <f t="shared" si="52"/>
        <v>1.3224E-2</v>
      </c>
      <c r="K257" s="6">
        <v>1</v>
      </c>
      <c r="L257" s="6">
        <v>1</v>
      </c>
      <c r="M257" s="7">
        <f t="shared" si="61"/>
        <v>1</v>
      </c>
      <c r="N257" s="8">
        <v>25</v>
      </c>
      <c r="O257" s="6">
        <v>4</v>
      </c>
      <c r="P257" s="6">
        <f t="shared" si="63"/>
        <v>100</v>
      </c>
      <c r="Q257" s="8">
        <f t="shared" si="62"/>
        <v>100</v>
      </c>
      <c r="R257" s="6">
        <v>10</v>
      </c>
      <c r="S257" s="6" t="s">
        <v>57</v>
      </c>
      <c r="T257" s="6"/>
      <c r="U257" s="6"/>
      <c r="V257" s="6"/>
      <c r="W257" s="9"/>
      <c r="X257" s="6" t="s">
        <v>58</v>
      </c>
      <c r="Y257" s="9">
        <f t="shared" si="56"/>
        <v>0</v>
      </c>
      <c r="Z257" s="10">
        <f t="shared" si="57"/>
        <v>0</v>
      </c>
      <c r="AA257" s="10">
        <f t="shared" si="58"/>
        <v>0</v>
      </c>
      <c r="AB257" s="11">
        <f t="shared" si="59"/>
        <v>0</v>
      </c>
      <c r="AC257" s="11">
        <f t="shared" si="60"/>
        <v>0</v>
      </c>
      <c r="AD257" s="11" t="s">
        <v>212</v>
      </c>
    </row>
    <row r="258" spans="1:35" s="1" customFormat="1" ht="17.100000000000001" customHeight="1">
      <c r="A258" s="2">
        <v>256</v>
      </c>
      <c r="B258" s="3" t="s">
        <v>560</v>
      </c>
      <c r="C258" s="3" t="s">
        <v>561</v>
      </c>
      <c r="D258" s="4">
        <v>24</v>
      </c>
      <c r="E258" s="4">
        <v>19</v>
      </c>
      <c r="F258" s="4">
        <v>29</v>
      </c>
      <c r="G258" s="4">
        <v>24</v>
      </c>
      <c r="H258" s="4">
        <v>19</v>
      </c>
      <c r="I258" s="4">
        <v>29</v>
      </c>
      <c r="J258" s="5">
        <f t="shared" si="52"/>
        <v>1.3224E-2</v>
      </c>
      <c r="K258" s="6">
        <v>1</v>
      </c>
      <c r="L258" s="6">
        <v>1</v>
      </c>
      <c r="M258" s="7">
        <f t="shared" si="61"/>
        <v>1</v>
      </c>
      <c r="N258" s="8">
        <v>25</v>
      </c>
      <c r="O258" s="6">
        <v>4</v>
      </c>
      <c r="P258" s="6">
        <f t="shared" si="63"/>
        <v>100</v>
      </c>
      <c r="Q258" s="8">
        <f t="shared" si="62"/>
        <v>100</v>
      </c>
      <c r="R258" s="6">
        <v>10</v>
      </c>
      <c r="S258" s="6" t="s">
        <v>57</v>
      </c>
      <c r="T258" s="6"/>
      <c r="U258" s="6"/>
      <c r="V258" s="6"/>
      <c r="W258" s="9"/>
      <c r="X258" s="6"/>
      <c r="Y258" s="9">
        <f t="shared" si="56"/>
        <v>0</v>
      </c>
      <c r="Z258" s="10">
        <f t="shared" si="57"/>
        <v>0</v>
      </c>
      <c r="AA258" s="10">
        <f t="shared" si="58"/>
        <v>0</v>
      </c>
      <c r="AB258" s="11">
        <f t="shared" si="59"/>
        <v>0</v>
      </c>
      <c r="AC258" s="11">
        <f t="shared" si="60"/>
        <v>0</v>
      </c>
      <c r="AD258" s="11" t="s">
        <v>59</v>
      </c>
    </row>
    <row r="259" spans="1:35" s="1" customFormat="1" ht="17.100000000000001" customHeight="1">
      <c r="A259" s="2">
        <v>257</v>
      </c>
      <c r="B259" s="3" t="s">
        <v>562</v>
      </c>
      <c r="C259" s="3" t="s">
        <v>563</v>
      </c>
      <c r="D259" s="4">
        <v>24</v>
      </c>
      <c r="E259" s="4">
        <v>19</v>
      </c>
      <c r="F259" s="4">
        <v>29</v>
      </c>
      <c r="G259" s="4">
        <v>24</v>
      </c>
      <c r="H259" s="4">
        <v>19</v>
      </c>
      <c r="I259" s="4">
        <v>29</v>
      </c>
      <c r="J259" s="5">
        <f t="shared" si="52"/>
        <v>1.3224E-2</v>
      </c>
      <c r="K259" s="6">
        <v>1</v>
      </c>
      <c r="L259" s="6">
        <v>1</v>
      </c>
      <c r="M259" s="7">
        <f t="shared" si="61"/>
        <v>1</v>
      </c>
      <c r="N259" s="8">
        <v>25</v>
      </c>
      <c r="O259" s="6">
        <v>4</v>
      </c>
      <c r="P259" s="6">
        <f t="shared" si="63"/>
        <v>100</v>
      </c>
      <c r="Q259" s="8">
        <f t="shared" si="62"/>
        <v>100</v>
      </c>
      <c r="R259" s="6">
        <v>10</v>
      </c>
      <c r="S259" s="6" t="s">
        <v>57</v>
      </c>
      <c r="T259" s="6"/>
      <c r="U259" s="6"/>
      <c r="V259" s="6"/>
      <c r="W259" s="9"/>
      <c r="X259" s="6" t="s">
        <v>564</v>
      </c>
      <c r="Y259" s="9">
        <f t="shared" si="56"/>
        <v>0</v>
      </c>
      <c r="Z259" s="10">
        <f t="shared" si="57"/>
        <v>0</v>
      </c>
      <c r="AA259" s="10">
        <f t="shared" si="58"/>
        <v>0</v>
      </c>
      <c r="AB259" s="11">
        <f t="shared" si="59"/>
        <v>0</v>
      </c>
      <c r="AC259" s="11">
        <f t="shared" si="60"/>
        <v>0</v>
      </c>
      <c r="AD259" s="11" t="s">
        <v>212</v>
      </c>
    </row>
    <row r="260" spans="1:35" s="1" customFormat="1" ht="17.100000000000001" customHeight="1">
      <c r="A260" s="2">
        <v>258</v>
      </c>
      <c r="B260" s="3" t="s">
        <v>565</v>
      </c>
      <c r="C260" s="3" t="s">
        <v>566</v>
      </c>
      <c r="D260" s="4">
        <v>24</v>
      </c>
      <c r="E260" s="4">
        <v>19</v>
      </c>
      <c r="F260" s="4">
        <v>29</v>
      </c>
      <c r="G260" s="4">
        <v>24</v>
      </c>
      <c r="H260" s="4">
        <v>19</v>
      </c>
      <c r="I260" s="4">
        <v>29</v>
      </c>
      <c r="J260" s="5">
        <f t="shared" si="52"/>
        <v>1.3224E-2</v>
      </c>
      <c r="K260" s="6">
        <v>1</v>
      </c>
      <c r="L260" s="6">
        <v>1</v>
      </c>
      <c r="M260" s="7">
        <f t="shared" si="61"/>
        <v>1</v>
      </c>
      <c r="N260" s="8">
        <v>25</v>
      </c>
      <c r="O260" s="6">
        <v>4</v>
      </c>
      <c r="P260" s="6">
        <f t="shared" si="63"/>
        <v>100</v>
      </c>
      <c r="Q260" s="8">
        <f t="shared" si="62"/>
        <v>100</v>
      </c>
      <c r="R260" s="6">
        <v>10</v>
      </c>
      <c r="S260" s="6" t="s">
        <v>57</v>
      </c>
      <c r="T260" s="6"/>
      <c r="U260" s="6"/>
      <c r="V260" s="6"/>
      <c r="W260" s="9"/>
      <c r="X260" s="6"/>
      <c r="Y260" s="9">
        <f t="shared" si="56"/>
        <v>0</v>
      </c>
      <c r="Z260" s="10">
        <f t="shared" si="57"/>
        <v>0</v>
      </c>
      <c r="AA260" s="10">
        <f t="shared" si="58"/>
        <v>0</v>
      </c>
      <c r="AB260" s="11">
        <f t="shared" si="59"/>
        <v>0</v>
      </c>
      <c r="AC260" s="11">
        <f t="shared" si="60"/>
        <v>0</v>
      </c>
      <c r="AD260" s="11" t="s">
        <v>59</v>
      </c>
    </row>
    <row r="261" spans="1:35" s="1" customFormat="1" ht="17.100000000000001" customHeight="1">
      <c r="A261" s="2">
        <v>259</v>
      </c>
      <c r="B261" s="3" t="s">
        <v>567</v>
      </c>
      <c r="C261" s="3" t="s">
        <v>568</v>
      </c>
      <c r="D261" s="4"/>
      <c r="E261" s="4"/>
      <c r="F261" s="4"/>
      <c r="G261" s="4">
        <v>24</v>
      </c>
      <c r="H261" s="4">
        <v>19</v>
      </c>
      <c r="I261" s="4">
        <v>29</v>
      </c>
      <c r="J261" s="5">
        <f t="shared" si="52"/>
        <v>1.3224E-2</v>
      </c>
      <c r="K261" s="6"/>
      <c r="L261" s="6"/>
      <c r="M261" s="7">
        <v>2</v>
      </c>
      <c r="N261" s="8"/>
      <c r="O261" s="6"/>
      <c r="P261" s="6">
        <f t="shared" si="63"/>
        <v>0</v>
      </c>
      <c r="Q261" s="8">
        <f t="shared" si="62"/>
        <v>0</v>
      </c>
      <c r="R261" s="6">
        <v>10</v>
      </c>
      <c r="S261" s="6" t="s">
        <v>80</v>
      </c>
      <c r="T261" s="6"/>
      <c r="U261" s="6"/>
      <c r="V261" s="6"/>
      <c r="W261" s="9"/>
      <c r="X261" s="6"/>
      <c r="Y261" s="9">
        <f t="shared" si="56"/>
        <v>0</v>
      </c>
      <c r="Z261" s="10">
        <f t="shared" si="57"/>
        <v>0</v>
      </c>
      <c r="AA261" s="10">
        <f t="shared" si="58"/>
        <v>0</v>
      </c>
      <c r="AB261" s="11">
        <f t="shared" si="59"/>
        <v>0</v>
      </c>
      <c r="AC261" s="11">
        <f t="shared" si="60"/>
        <v>0</v>
      </c>
      <c r="AD261" s="11" t="s">
        <v>59</v>
      </c>
    </row>
    <row r="262" spans="1:35" s="1" customFormat="1" ht="17.100000000000001" customHeight="1">
      <c r="A262" s="2">
        <v>260</v>
      </c>
      <c r="B262" s="3" t="s">
        <v>569</v>
      </c>
      <c r="C262" s="3" t="s">
        <v>570</v>
      </c>
      <c r="D262" s="4"/>
      <c r="E262" s="4"/>
      <c r="F262" s="4"/>
      <c r="G262" s="4"/>
      <c r="H262" s="4"/>
      <c r="I262" s="4"/>
      <c r="J262" s="5">
        <f t="shared" si="52"/>
        <v>0</v>
      </c>
      <c r="K262" s="6"/>
      <c r="L262" s="6"/>
      <c r="M262" s="7">
        <f t="shared" ref="M262:M273" si="64">K262*L262</f>
        <v>0</v>
      </c>
      <c r="N262" s="8"/>
      <c r="O262" s="6"/>
      <c r="P262" s="6">
        <f t="shared" si="63"/>
        <v>0</v>
      </c>
      <c r="Q262" s="8">
        <f t="shared" si="62"/>
        <v>0</v>
      </c>
      <c r="R262" s="6"/>
      <c r="S262" s="6" t="s">
        <v>80</v>
      </c>
      <c r="T262" s="6"/>
      <c r="U262" s="6"/>
      <c r="V262" s="6"/>
      <c r="W262" s="9"/>
      <c r="X262" s="6"/>
      <c r="Y262" s="9" t="e">
        <f t="shared" si="56"/>
        <v>#DIV/0!</v>
      </c>
      <c r="Z262" s="10" t="e">
        <f t="shared" si="57"/>
        <v>#DIV/0!</v>
      </c>
      <c r="AA262" s="10" t="e">
        <f t="shared" si="58"/>
        <v>#DIV/0!</v>
      </c>
      <c r="AB262" s="11" t="e">
        <f t="shared" si="59"/>
        <v>#DIV/0!</v>
      </c>
      <c r="AC262" s="11" t="e">
        <f t="shared" si="60"/>
        <v>#DIV/0!</v>
      </c>
      <c r="AD262" s="11" t="s">
        <v>59</v>
      </c>
    </row>
    <row r="263" spans="1:35" s="1" customFormat="1" ht="17.100000000000001" customHeight="1">
      <c r="A263" s="2">
        <v>261</v>
      </c>
      <c r="B263" s="3" t="s">
        <v>571</v>
      </c>
      <c r="C263" s="3" t="s">
        <v>572</v>
      </c>
      <c r="D263" s="4"/>
      <c r="E263" s="4"/>
      <c r="F263" s="4"/>
      <c r="G263" s="4"/>
      <c r="H263" s="4"/>
      <c r="I263" s="4"/>
      <c r="J263" s="5">
        <f t="shared" si="52"/>
        <v>0</v>
      </c>
      <c r="K263" s="6"/>
      <c r="L263" s="6"/>
      <c r="M263" s="7">
        <f t="shared" si="64"/>
        <v>0</v>
      </c>
      <c r="N263" s="8"/>
      <c r="O263" s="6"/>
      <c r="P263" s="6">
        <f t="shared" si="63"/>
        <v>0</v>
      </c>
      <c r="Q263" s="8">
        <f t="shared" si="62"/>
        <v>0</v>
      </c>
      <c r="R263" s="6"/>
      <c r="S263" s="6" t="s">
        <v>80</v>
      </c>
      <c r="T263" s="6"/>
      <c r="U263" s="6"/>
      <c r="V263" s="6"/>
      <c r="W263" s="9"/>
      <c r="X263" s="6"/>
      <c r="Y263" s="9" t="e">
        <f t="shared" si="56"/>
        <v>#DIV/0!</v>
      </c>
      <c r="Z263" s="10" t="e">
        <f t="shared" si="57"/>
        <v>#DIV/0!</v>
      </c>
      <c r="AA263" s="10" t="e">
        <f t="shared" si="58"/>
        <v>#DIV/0!</v>
      </c>
      <c r="AB263" s="11" t="e">
        <f t="shared" si="59"/>
        <v>#DIV/0!</v>
      </c>
      <c r="AC263" s="11" t="e">
        <f t="shared" si="60"/>
        <v>#DIV/0!</v>
      </c>
      <c r="AD263" s="11" t="s">
        <v>59</v>
      </c>
    </row>
    <row r="264" spans="1:35" s="1" customFormat="1" ht="17.100000000000001" customHeight="1">
      <c r="A264" s="2">
        <v>262</v>
      </c>
      <c r="B264" s="3" t="s">
        <v>573</v>
      </c>
      <c r="C264" s="3" t="s">
        <v>574</v>
      </c>
      <c r="D264" s="4">
        <v>24</v>
      </c>
      <c r="E264" s="4">
        <v>19</v>
      </c>
      <c r="F264" s="4">
        <v>29</v>
      </c>
      <c r="G264" s="4">
        <v>24</v>
      </c>
      <c r="H264" s="4">
        <v>19</v>
      </c>
      <c r="I264" s="4">
        <v>29</v>
      </c>
      <c r="J264" s="5">
        <f t="shared" si="52"/>
        <v>1.3224E-2</v>
      </c>
      <c r="K264" s="6">
        <v>1</v>
      </c>
      <c r="L264" s="6">
        <v>1</v>
      </c>
      <c r="M264" s="7">
        <f t="shared" si="64"/>
        <v>1</v>
      </c>
      <c r="N264" s="8">
        <v>25</v>
      </c>
      <c r="O264" s="6">
        <v>4</v>
      </c>
      <c r="P264" s="6">
        <f t="shared" si="63"/>
        <v>100</v>
      </c>
      <c r="Q264" s="8">
        <f t="shared" si="62"/>
        <v>100</v>
      </c>
      <c r="R264" s="6">
        <v>11</v>
      </c>
      <c r="S264" s="6" t="s">
        <v>57</v>
      </c>
      <c r="T264" s="6"/>
      <c r="U264" s="6"/>
      <c r="V264" s="6"/>
      <c r="W264" s="9"/>
      <c r="X264" s="6" t="s">
        <v>58</v>
      </c>
      <c r="Y264" s="9">
        <f t="shared" si="56"/>
        <v>0</v>
      </c>
      <c r="Z264" s="10">
        <f t="shared" si="57"/>
        <v>0</v>
      </c>
      <c r="AA264" s="10">
        <f t="shared" si="58"/>
        <v>0</v>
      </c>
      <c r="AB264" s="11">
        <f t="shared" si="59"/>
        <v>0</v>
      </c>
      <c r="AC264" s="11">
        <f t="shared" si="60"/>
        <v>0</v>
      </c>
      <c r="AD264" s="11" t="s">
        <v>212</v>
      </c>
    </row>
    <row r="265" spans="1:35" s="1" customFormat="1" ht="17.100000000000001" customHeight="1">
      <c r="A265" s="2">
        <v>263</v>
      </c>
      <c r="B265" s="3" t="s">
        <v>575</v>
      </c>
      <c r="C265" s="3" t="s">
        <v>576</v>
      </c>
      <c r="D265" s="4">
        <v>24</v>
      </c>
      <c r="E265" s="4">
        <v>19</v>
      </c>
      <c r="F265" s="4">
        <v>29</v>
      </c>
      <c r="G265" s="4">
        <v>24</v>
      </c>
      <c r="H265" s="4">
        <v>19</v>
      </c>
      <c r="I265" s="4">
        <v>29</v>
      </c>
      <c r="J265" s="5">
        <f t="shared" si="52"/>
        <v>1.3224E-2</v>
      </c>
      <c r="K265" s="6">
        <v>1</v>
      </c>
      <c r="L265" s="6">
        <v>1</v>
      </c>
      <c r="M265" s="7">
        <f t="shared" si="64"/>
        <v>1</v>
      </c>
      <c r="N265" s="8">
        <v>25</v>
      </c>
      <c r="O265" s="6">
        <v>4</v>
      </c>
      <c r="P265" s="6">
        <f t="shared" si="63"/>
        <v>100</v>
      </c>
      <c r="Q265" s="8">
        <f t="shared" si="62"/>
        <v>100</v>
      </c>
      <c r="R265" s="6">
        <v>11</v>
      </c>
      <c r="S265" s="6" t="s">
        <v>57</v>
      </c>
      <c r="T265" s="6"/>
      <c r="U265" s="6"/>
      <c r="V265" s="6"/>
      <c r="W265" s="9"/>
      <c r="X265" s="6"/>
      <c r="Y265" s="9">
        <f t="shared" si="56"/>
        <v>0</v>
      </c>
      <c r="Z265" s="10">
        <f t="shared" si="57"/>
        <v>0</v>
      </c>
      <c r="AA265" s="10">
        <f t="shared" si="58"/>
        <v>0</v>
      </c>
      <c r="AB265" s="11">
        <f t="shared" si="59"/>
        <v>0</v>
      </c>
      <c r="AC265" s="11">
        <f t="shared" si="60"/>
        <v>0</v>
      </c>
      <c r="AD265" s="11" t="s">
        <v>59</v>
      </c>
    </row>
    <row r="266" spans="1:35" s="1" customFormat="1" ht="17.100000000000001" customHeight="1">
      <c r="A266" s="2">
        <v>264</v>
      </c>
      <c r="B266" s="3" t="s">
        <v>577</v>
      </c>
      <c r="C266" s="3" t="s">
        <v>578</v>
      </c>
      <c r="D266" s="24">
        <v>10</v>
      </c>
      <c r="E266" s="24">
        <v>10</v>
      </c>
      <c r="F266" s="24">
        <v>24</v>
      </c>
      <c r="G266" s="24">
        <v>40</v>
      </c>
      <c r="H266" s="24">
        <v>26</v>
      </c>
      <c r="I266" s="24">
        <v>20</v>
      </c>
      <c r="J266" s="5">
        <f t="shared" si="52"/>
        <v>2.0799999999999999E-2</v>
      </c>
      <c r="K266" s="6">
        <v>1</v>
      </c>
      <c r="L266" s="6">
        <v>10</v>
      </c>
      <c r="M266" s="6">
        <f t="shared" si="64"/>
        <v>10</v>
      </c>
      <c r="N266" s="8">
        <v>10</v>
      </c>
      <c r="O266" s="6">
        <v>10</v>
      </c>
      <c r="P266" s="6">
        <f t="shared" si="63"/>
        <v>100</v>
      </c>
      <c r="Q266" s="8">
        <v>100</v>
      </c>
      <c r="R266" s="6">
        <v>7.6</v>
      </c>
      <c r="S266" s="6" t="s">
        <v>57</v>
      </c>
      <c r="T266" s="6"/>
      <c r="U266" s="6"/>
      <c r="V266" s="6"/>
      <c r="W266" s="9"/>
      <c r="X266" s="6" t="s">
        <v>58</v>
      </c>
      <c r="Y266" s="9">
        <f t="shared" si="56"/>
        <v>0</v>
      </c>
      <c r="Z266" s="10">
        <f t="shared" si="57"/>
        <v>0</v>
      </c>
      <c r="AA266" s="10">
        <f t="shared" si="58"/>
        <v>0</v>
      </c>
      <c r="AB266" s="11">
        <f t="shared" si="59"/>
        <v>0</v>
      </c>
      <c r="AC266" s="11">
        <f t="shared" si="60"/>
        <v>0</v>
      </c>
      <c r="AD266" s="11" t="s">
        <v>59</v>
      </c>
    </row>
    <row r="267" spans="1:35" s="1" customFormat="1" ht="17.100000000000001" customHeight="1">
      <c r="A267" s="2">
        <v>265</v>
      </c>
      <c r="B267" s="3" t="s">
        <v>579</v>
      </c>
      <c r="C267" s="3" t="s">
        <v>580</v>
      </c>
      <c r="D267" s="4">
        <v>43</v>
      </c>
      <c r="E267" s="4">
        <v>16</v>
      </c>
      <c r="F267" s="4">
        <v>8</v>
      </c>
      <c r="G267" s="4">
        <v>52</v>
      </c>
      <c r="H267" s="4">
        <v>36</v>
      </c>
      <c r="I267" s="4">
        <v>23</v>
      </c>
      <c r="J267" s="5">
        <f t="shared" ref="J267:J273" si="65">(G267*H267*I267)/1000000</f>
        <v>4.3055999999999997E-2</v>
      </c>
      <c r="K267" s="6">
        <v>24</v>
      </c>
      <c r="L267" s="6">
        <v>1</v>
      </c>
      <c r="M267" s="7">
        <f t="shared" si="64"/>
        <v>24</v>
      </c>
      <c r="N267" s="8">
        <v>8</v>
      </c>
      <c r="O267" s="6">
        <v>5</v>
      </c>
      <c r="P267" s="6">
        <f t="shared" si="63"/>
        <v>40</v>
      </c>
      <c r="Q267" s="8">
        <f t="shared" ref="Q267:Q273" si="66">M267*P267</f>
        <v>960</v>
      </c>
      <c r="R267" s="6">
        <v>4.9000000000000004</v>
      </c>
      <c r="S267" s="6" t="s">
        <v>57</v>
      </c>
      <c r="T267" s="6"/>
      <c r="U267" s="6"/>
      <c r="V267" s="6"/>
      <c r="W267" s="9"/>
      <c r="X267" s="6"/>
      <c r="Y267" s="9">
        <f t="shared" ref="Y267:Y277" si="67">R267/M267*W267</f>
        <v>0</v>
      </c>
      <c r="Z267" s="10">
        <f t="shared" ref="Z267:Z277" si="68">(G267*H267*I267/4000)*(W267/M267)</f>
        <v>0</v>
      </c>
      <c r="AA267" s="10">
        <f t="shared" ref="AA267:AA277" si="69">(G267*H267*I267/6000)*(W267/M267)</f>
        <v>0</v>
      </c>
      <c r="AB267" s="11">
        <f t="shared" ref="AB267:AB277" si="70">(G267*H267*I267/1000000)*(W267/M267)</f>
        <v>0</v>
      </c>
      <c r="AC267" s="11">
        <f t="shared" ref="AC267:AC277" si="71">ROUNDUP(W267/M267,0)</f>
        <v>0</v>
      </c>
      <c r="AD267" s="11" t="s">
        <v>212</v>
      </c>
    </row>
    <row r="268" spans="1:35" s="1" customFormat="1" ht="17.100000000000001" customHeight="1">
      <c r="A268" s="2">
        <v>266</v>
      </c>
      <c r="B268" s="3" t="s">
        <v>581</v>
      </c>
      <c r="C268" s="3" t="s">
        <v>582</v>
      </c>
      <c r="D268" s="4">
        <v>43</v>
      </c>
      <c r="E268" s="4">
        <v>16</v>
      </c>
      <c r="F268" s="4">
        <v>8</v>
      </c>
      <c r="G268" s="4">
        <v>52</v>
      </c>
      <c r="H268" s="4">
        <v>36</v>
      </c>
      <c r="I268" s="4">
        <v>23</v>
      </c>
      <c r="J268" s="5">
        <f t="shared" si="65"/>
        <v>4.3055999999999997E-2</v>
      </c>
      <c r="K268" s="6">
        <v>24</v>
      </c>
      <c r="L268" s="6">
        <v>1</v>
      </c>
      <c r="M268" s="7">
        <f t="shared" si="64"/>
        <v>24</v>
      </c>
      <c r="N268" s="8">
        <v>8</v>
      </c>
      <c r="O268" s="6">
        <v>5</v>
      </c>
      <c r="P268" s="6">
        <f t="shared" si="63"/>
        <v>40</v>
      </c>
      <c r="Q268" s="8">
        <f t="shared" si="66"/>
        <v>960</v>
      </c>
      <c r="R268" s="6">
        <v>4.9000000000000004</v>
      </c>
      <c r="S268" s="6" t="s">
        <v>57</v>
      </c>
      <c r="T268" s="6"/>
      <c r="U268" s="6"/>
      <c r="V268" s="6"/>
      <c r="W268" s="9"/>
      <c r="X268" s="6" t="s">
        <v>58</v>
      </c>
      <c r="Y268" s="9">
        <f t="shared" si="67"/>
        <v>0</v>
      </c>
      <c r="Z268" s="10">
        <f t="shared" si="68"/>
        <v>0</v>
      </c>
      <c r="AA268" s="10">
        <f t="shared" si="69"/>
        <v>0</v>
      </c>
      <c r="AB268" s="11">
        <f t="shared" si="70"/>
        <v>0</v>
      </c>
      <c r="AC268" s="11">
        <f t="shared" si="71"/>
        <v>0</v>
      </c>
      <c r="AD268" s="11" t="s">
        <v>212</v>
      </c>
    </row>
    <row r="269" spans="1:35" s="1" customFormat="1" ht="17.100000000000001" customHeight="1">
      <c r="A269" s="2">
        <v>267</v>
      </c>
      <c r="B269" s="3" t="s">
        <v>583</v>
      </c>
      <c r="C269" s="3" t="s">
        <v>584</v>
      </c>
      <c r="D269" s="4">
        <v>43</v>
      </c>
      <c r="E269" s="4">
        <v>16</v>
      </c>
      <c r="F269" s="4">
        <v>8</v>
      </c>
      <c r="G269" s="4">
        <v>52</v>
      </c>
      <c r="H269" s="4">
        <v>36</v>
      </c>
      <c r="I269" s="4">
        <v>23</v>
      </c>
      <c r="J269" s="5">
        <f t="shared" si="65"/>
        <v>4.3055999999999997E-2</v>
      </c>
      <c r="K269" s="6">
        <v>24</v>
      </c>
      <c r="L269" s="6">
        <v>1</v>
      </c>
      <c r="M269" s="7">
        <f t="shared" si="64"/>
        <v>24</v>
      </c>
      <c r="N269" s="8">
        <v>8</v>
      </c>
      <c r="O269" s="6">
        <v>5</v>
      </c>
      <c r="P269" s="6">
        <f t="shared" si="63"/>
        <v>40</v>
      </c>
      <c r="Q269" s="8">
        <f t="shared" si="66"/>
        <v>960</v>
      </c>
      <c r="R269" s="6">
        <v>4.9000000000000004</v>
      </c>
      <c r="S269" s="6" t="s">
        <v>57</v>
      </c>
      <c r="T269" s="6"/>
      <c r="U269" s="6"/>
      <c r="V269" s="6"/>
      <c r="W269" s="9"/>
      <c r="X269" s="6" t="s">
        <v>58</v>
      </c>
      <c r="Y269" s="9">
        <f t="shared" si="67"/>
        <v>0</v>
      </c>
      <c r="Z269" s="10">
        <f t="shared" si="68"/>
        <v>0</v>
      </c>
      <c r="AA269" s="10">
        <f t="shared" si="69"/>
        <v>0</v>
      </c>
      <c r="AB269" s="11">
        <f t="shared" si="70"/>
        <v>0</v>
      </c>
      <c r="AC269" s="11">
        <f t="shared" si="71"/>
        <v>0</v>
      </c>
      <c r="AD269" s="11" t="s">
        <v>212</v>
      </c>
    </row>
    <row r="270" spans="1:35" s="1" customFormat="1" ht="17.100000000000001" customHeight="1">
      <c r="A270" s="2">
        <v>268</v>
      </c>
      <c r="B270" s="30" t="s">
        <v>585</v>
      </c>
      <c r="C270" s="30" t="s">
        <v>584</v>
      </c>
      <c r="D270" s="4">
        <v>43</v>
      </c>
      <c r="E270" s="4">
        <v>16</v>
      </c>
      <c r="F270" s="4">
        <v>8</v>
      </c>
      <c r="G270" s="4">
        <v>52</v>
      </c>
      <c r="H270" s="4">
        <v>36</v>
      </c>
      <c r="I270" s="4">
        <v>23</v>
      </c>
      <c r="J270" s="5">
        <f t="shared" si="65"/>
        <v>4.3055999999999997E-2</v>
      </c>
      <c r="K270" s="6">
        <v>24</v>
      </c>
      <c r="L270" s="6">
        <v>1</v>
      </c>
      <c r="M270" s="7">
        <f t="shared" si="64"/>
        <v>24</v>
      </c>
      <c r="N270" s="8">
        <v>8</v>
      </c>
      <c r="O270" s="6">
        <v>5</v>
      </c>
      <c r="P270" s="6">
        <f t="shared" si="63"/>
        <v>40</v>
      </c>
      <c r="Q270" s="8">
        <f t="shared" si="66"/>
        <v>960</v>
      </c>
      <c r="R270" s="6">
        <v>4.9000000000000004</v>
      </c>
      <c r="S270" s="6" t="s">
        <v>57</v>
      </c>
      <c r="T270" s="6"/>
      <c r="U270" s="6"/>
      <c r="V270" s="6"/>
      <c r="W270" s="9"/>
      <c r="X270" s="6" t="s">
        <v>58</v>
      </c>
      <c r="Y270" s="9">
        <f t="shared" si="67"/>
        <v>0</v>
      </c>
      <c r="Z270" s="10">
        <f t="shared" si="68"/>
        <v>0</v>
      </c>
      <c r="AA270" s="10">
        <f t="shared" si="69"/>
        <v>0</v>
      </c>
      <c r="AB270" s="11">
        <f t="shared" si="70"/>
        <v>0</v>
      </c>
      <c r="AC270" s="11">
        <f t="shared" si="71"/>
        <v>0</v>
      </c>
      <c r="AD270" s="11" t="s">
        <v>212</v>
      </c>
    </row>
    <row r="271" spans="1:35" s="1" customFormat="1" ht="17.100000000000001" customHeight="1">
      <c r="A271" s="2">
        <v>269</v>
      </c>
      <c r="B271" s="3" t="s">
        <v>586</v>
      </c>
      <c r="C271" s="3" t="s">
        <v>587</v>
      </c>
      <c r="D271" s="4">
        <v>43</v>
      </c>
      <c r="E271" s="4">
        <v>16</v>
      </c>
      <c r="F271" s="4">
        <v>8</v>
      </c>
      <c r="G271" s="4">
        <v>52</v>
      </c>
      <c r="H271" s="4">
        <v>36</v>
      </c>
      <c r="I271" s="4">
        <v>23</v>
      </c>
      <c r="J271" s="5">
        <f t="shared" si="65"/>
        <v>4.3055999999999997E-2</v>
      </c>
      <c r="K271" s="6">
        <v>24</v>
      </c>
      <c r="L271" s="6">
        <v>1</v>
      </c>
      <c r="M271" s="7">
        <f t="shared" si="64"/>
        <v>24</v>
      </c>
      <c r="N271" s="8">
        <v>8</v>
      </c>
      <c r="O271" s="6">
        <v>5</v>
      </c>
      <c r="P271" s="6">
        <f t="shared" si="63"/>
        <v>40</v>
      </c>
      <c r="Q271" s="8">
        <f t="shared" si="66"/>
        <v>960</v>
      </c>
      <c r="R271" s="6">
        <v>4.9000000000000004</v>
      </c>
      <c r="S271" s="6" t="s">
        <v>57</v>
      </c>
      <c r="T271" s="6"/>
      <c r="U271" s="6"/>
      <c r="V271" s="6"/>
      <c r="W271" s="9"/>
      <c r="X271" s="6"/>
      <c r="Y271" s="9">
        <f t="shared" si="67"/>
        <v>0</v>
      </c>
      <c r="Z271" s="10">
        <f t="shared" si="68"/>
        <v>0</v>
      </c>
      <c r="AA271" s="10">
        <f t="shared" si="69"/>
        <v>0</v>
      </c>
      <c r="AB271" s="11">
        <f t="shared" si="70"/>
        <v>0</v>
      </c>
      <c r="AC271" s="11">
        <f t="shared" si="71"/>
        <v>0</v>
      </c>
      <c r="AD271" s="11" t="s">
        <v>212</v>
      </c>
    </row>
    <row r="272" spans="1:35" s="1" customFormat="1" ht="17.100000000000001" customHeight="1">
      <c r="A272" s="2">
        <v>270</v>
      </c>
      <c r="B272" s="3" t="s">
        <v>588</v>
      </c>
      <c r="C272" s="3" t="s">
        <v>589</v>
      </c>
      <c r="D272" s="4">
        <v>43</v>
      </c>
      <c r="E272" s="4">
        <v>16</v>
      </c>
      <c r="F272" s="4">
        <v>8</v>
      </c>
      <c r="G272" s="4">
        <v>52</v>
      </c>
      <c r="H272" s="4">
        <v>36</v>
      </c>
      <c r="I272" s="4">
        <v>23</v>
      </c>
      <c r="J272" s="5">
        <f t="shared" si="65"/>
        <v>4.3055999999999997E-2</v>
      </c>
      <c r="K272" s="6">
        <v>24</v>
      </c>
      <c r="L272" s="6">
        <v>1</v>
      </c>
      <c r="M272" s="7">
        <f t="shared" si="64"/>
        <v>24</v>
      </c>
      <c r="N272" s="8">
        <v>8</v>
      </c>
      <c r="O272" s="6">
        <v>5</v>
      </c>
      <c r="P272" s="6">
        <f t="shared" si="63"/>
        <v>40</v>
      </c>
      <c r="Q272" s="8">
        <f t="shared" si="66"/>
        <v>960</v>
      </c>
      <c r="R272" s="6">
        <v>4.9000000000000004</v>
      </c>
      <c r="S272" s="6" t="s">
        <v>57</v>
      </c>
      <c r="T272" s="6"/>
      <c r="U272" s="6"/>
      <c r="V272" s="6"/>
      <c r="W272" s="9"/>
      <c r="X272" s="6" t="s">
        <v>58</v>
      </c>
      <c r="Y272" s="9">
        <f t="shared" si="67"/>
        <v>0</v>
      </c>
      <c r="Z272" s="10">
        <f t="shared" si="68"/>
        <v>0</v>
      </c>
      <c r="AA272" s="10">
        <f t="shared" si="69"/>
        <v>0</v>
      </c>
      <c r="AB272" s="11">
        <f t="shared" si="70"/>
        <v>0</v>
      </c>
      <c r="AC272" s="11">
        <f t="shared" si="71"/>
        <v>0</v>
      </c>
      <c r="AD272" s="11" t="s">
        <v>212</v>
      </c>
      <c r="AH272" s="27"/>
      <c r="AI272" s="31"/>
    </row>
    <row r="273" spans="1:30" s="1" customFormat="1" ht="17.100000000000001" customHeight="1">
      <c r="A273" s="2">
        <v>271</v>
      </c>
      <c r="B273" s="3" t="s">
        <v>590</v>
      </c>
      <c r="C273" s="3" t="s">
        <v>591</v>
      </c>
      <c r="D273" s="4">
        <v>43</v>
      </c>
      <c r="E273" s="4">
        <v>16</v>
      </c>
      <c r="F273" s="4">
        <v>8</v>
      </c>
      <c r="G273" s="4">
        <v>52</v>
      </c>
      <c r="H273" s="4">
        <v>36</v>
      </c>
      <c r="I273" s="4">
        <v>23</v>
      </c>
      <c r="J273" s="5">
        <f t="shared" si="65"/>
        <v>4.3055999999999997E-2</v>
      </c>
      <c r="K273" s="6">
        <v>24</v>
      </c>
      <c r="L273" s="6">
        <v>1</v>
      </c>
      <c r="M273" s="7">
        <f t="shared" si="64"/>
        <v>24</v>
      </c>
      <c r="N273" s="8">
        <v>8</v>
      </c>
      <c r="O273" s="6">
        <v>5</v>
      </c>
      <c r="P273" s="6">
        <f t="shared" si="63"/>
        <v>40</v>
      </c>
      <c r="Q273" s="8">
        <f t="shared" si="66"/>
        <v>960</v>
      </c>
      <c r="R273" s="6">
        <v>4.9000000000000004</v>
      </c>
      <c r="S273" s="6" t="s">
        <v>57</v>
      </c>
      <c r="T273" s="6"/>
      <c r="U273" s="6"/>
      <c r="V273" s="6"/>
      <c r="W273" s="9"/>
      <c r="X273" s="6"/>
      <c r="Y273" s="9">
        <f t="shared" si="67"/>
        <v>0</v>
      </c>
      <c r="Z273" s="10">
        <f t="shared" si="68"/>
        <v>0</v>
      </c>
      <c r="AA273" s="10">
        <f t="shared" si="69"/>
        <v>0</v>
      </c>
      <c r="AB273" s="11">
        <f t="shared" si="70"/>
        <v>0</v>
      </c>
      <c r="AC273" s="11">
        <f t="shared" si="71"/>
        <v>0</v>
      </c>
      <c r="AD273" s="11" t="s">
        <v>212</v>
      </c>
    </row>
    <row r="274" spans="1:30" s="1" customFormat="1" ht="17.100000000000001" customHeight="1">
      <c r="A274" s="2">
        <v>272</v>
      </c>
      <c r="B274" s="3" t="s">
        <v>592</v>
      </c>
      <c r="C274" s="3" t="s">
        <v>593</v>
      </c>
      <c r="D274" s="4">
        <v>27</v>
      </c>
      <c r="E274" s="4">
        <v>16</v>
      </c>
      <c r="F274" s="4">
        <v>19.5</v>
      </c>
      <c r="G274" s="4">
        <v>57</v>
      </c>
      <c r="H274" s="4">
        <v>42</v>
      </c>
      <c r="I274" s="4">
        <v>34.5</v>
      </c>
      <c r="J274" s="5">
        <v>8.2593E-2</v>
      </c>
      <c r="K274" s="6">
        <v>50</v>
      </c>
      <c r="L274" s="19">
        <v>8</v>
      </c>
      <c r="M274" s="7">
        <v>400</v>
      </c>
      <c r="N274" s="8"/>
      <c r="O274" s="6">
        <v>5</v>
      </c>
      <c r="P274" s="6">
        <v>25</v>
      </c>
      <c r="Q274" s="8">
        <v>10000</v>
      </c>
      <c r="R274" s="8">
        <v>12.3</v>
      </c>
      <c r="S274" s="6" t="s">
        <v>57</v>
      </c>
      <c r="T274" s="6"/>
      <c r="U274" s="6"/>
      <c r="V274" s="6"/>
      <c r="W274" s="9"/>
      <c r="X274" s="6" t="s">
        <v>58</v>
      </c>
      <c r="Y274" s="9">
        <f t="shared" si="67"/>
        <v>0</v>
      </c>
      <c r="Z274" s="10">
        <f t="shared" si="68"/>
        <v>0</v>
      </c>
      <c r="AA274" s="10">
        <f t="shared" si="69"/>
        <v>0</v>
      </c>
      <c r="AB274" s="11">
        <f t="shared" si="70"/>
        <v>0</v>
      </c>
      <c r="AC274" s="11">
        <f t="shared" si="71"/>
        <v>0</v>
      </c>
      <c r="AD274" s="11" t="s">
        <v>59</v>
      </c>
    </row>
    <row r="275" spans="1:30" s="1" customFormat="1" ht="17.100000000000001" customHeight="1">
      <c r="A275" s="2">
        <v>273</v>
      </c>
      <c r="B275" s="3" t="s">
        <v>594</v>
      </c>
      <c r="C275" s="3" t="s">
        <v>595</v>
      </c>
      <c r="D275" s="4">
        <v>43</v>
      </c>
      <c r="E275" s="4">
        <v>16</v>
      </c>
      <c r="F275" s="4">
        <v>8</v>
      </c>
      <c r="G275" s="4">
        <v>52</v>
      </c>
      <c r="H275" s="4">
        <v>36</v>
      </c>
      <c r="I275" s="4">
        <v>23</v>
      </c>
      <c r="J275" s="5">
        <f t="shared" ref="J275:J280" si="72">(G275*H275*I275)/1000000</f>
        <v>4.3055999999999997E-2</v>
      </c>
      <c r="K275" s="6">
        <v>24</v>
      </c>
      <c r="L275" s="6">
        <v>1</v>
      </c>
      <c r="M275" s="7">
        <f>K275*L275</f>
        <v>24</v>
      </c>
      <c r="N275" s="8">
        <v>8</v>
      </c>
      <c r="O275" s="6">
        <v>5</v>
      </c>
      <c r="P275" s="6">
        <f>N275*O275</f>
        <v>40</v>
      </c>
      <c r="Q275" s="8">
        <f>M275*P275</f>
        <v>960</v>
      </c>
      <c r="R275" s="6">
        <v>4.9000000000000004</v>
      </c>
      <c r="S275" s="6" t="s">
        <v>57</v>
      </c>
      <c r="T275" s="6"/>
      <c r="U275" s="6"/>
      <c r="V275" s="6"/>
      <c r="W275" s="9"/>
      <c r="X275" s="6"/>
      <c r="Y275" s="9">
        <f t="shared" si="67"/>
        <v>0</v>
      </c>
      <c r="Z275" s="10">
        <f t="shared" si="68"/>
        <v>0</v>
      </c>
      <c r="AA275" s="10">
        <f t="shared" si="69"/>
        <v>0</v>
      </c>
      <c r="AB275" s="11">
        <f t="shared" si="70"/>
        <v>0</v>
      </c>
      <c r="AC275" s="11">
        <f t="shared" si="71"/>
        <v>0</v>
      </c>
      <c r="AD275" s="11" t="s">
        <v>212</v>
      </c>
    </row>
    <row r="276" spans="1:30" s="1" customFormat="1" ht="17.100000000000001" customHeight="1">
      <c r="A276" s="2">
        <v>274</v>
      </c>
      <c r="B276" s="28" t="s">
        <v>596</v>
      </c>
      <c r="C276" s="28" t="s">
        <v>597</v>
      </c>
      <c r="D276" s="4">
        <v>43</v>
      </c>
      <c r="E276" s="4">
        <v>16</v>
      </c>
      <c r="F276" s="4">
        <v>8</v>
      </c>
      <c r="G276" s="4">
        <v>52</v>
      </c>
      <c r="H276" s="4">
        <v>36</v>
      </c>
      <c r="I276" s="4">
        <v>23</v>
      </c>
      <c r="J276" s="5">
        <f t="shared" si="72"/>
        <v>4.3055999999999997E-2</v>
      </c>
      <c r="K276" s="6">
        <v>24</v>
      </c>
      <c r="L276" s="6">
        <v>1</v>
      </c>
      <c r="M276" s="7">
        <f>K276*L276</f>
        <v>24</v>
      </c>
      <c r="N276" s="8">
        <v>8</v>
      </c>
      <c r="O276" s="6">
        <v>5</v>
      </c>
      <c r="P276" s="6">
        <f>N276*O276</f>
        <v>40</v>
      </c>
      <c r="Q276" s="8">
        <f>M276*P276</f>
        <v>960</v>
      </c>
      <c r="R276" s="6">
        <v>4.9000000000000004</v>
      </c>
      <c r="S276" s="6" t="s">
        <v>57</v>
      </c>
      <c r="T276" s="6"/>
      <c r="U276" s="6"/>
      <c r="V276" s="6"/>
      <c r="W276" s="9"/>
      <c r="X276" s="6"/>
      <c r="Y276" s="9">
        <f t="shared" si="67"/>
        <v>0</v>
      </c>
      <c r="Z276" s="10">
        <f t="shared" si="68"/>
        <v>0</v>
      </c>
      <c r="AA276" s="10">
        <f t="shared" si="69"/>
        <v>0</v>
      </c>
      <c r="AB276" s="11">
        <f t="shared" si="70"/>
        <v>0</v>
      </c>
      <c r="AC276" s="11">
        <f t="shared" si="71"/>
        <v>0</v>
      </c>
      <c r="AD276" s="11" t="s">
        <v>212</v>
      </c>
    </row>
    <row r="277" spans="1:30" s="1" customFormat="1" ht="17.100000000000001" customHeight="1">
      <c r="A277" s="2">
        <v>275</v>
      </c>
      <c r="B277" s="30" t="s">
        <v>598</v>
      </c>
      <c r="C277" s="30" t="s">
        <v>599</v>
      </c>
      <c r="D277" s="4">
        <v>43</v>
      </c>
      <c r="E277" s="4">
        <v>16</v>
      </c>
      <c r="F277" s="4">
        <v>8</v>
      </c>
      <c r="G277" s="4">
        <v>52</v>
      </c>
      <c r="H277" s="4">
        <v>36</v>
      </c>
      <c r="I277" s="4">
        <v>23</v>
      </c>
      <c r="J277" s="5">
        <f t="shared" si="72"/>
        <v>4.3055999999999997E-2</v>
      </c>
      <c r="K277" s="6">
        <v>24</v>
      </c>
      <c r="L277" s="6">
        <v>1</v>
      </c>
      <c r="M277" s="7">
        <f>K277*L277</f>
        <v>24</v>
      </c>
      <c r="N277" s="8">
        <v>8</v>
      </c>
      <c r="O277" s="6">
        <v>5</v>
      </c>
      <c r="P277" s="6">
        <f>N277*O277</f>
        <v>40</v>
      </c>
      <c r="Q277" s="8">
        <f>M277*P277</f>
        <v>960</v>
      </c>
      <c r="R277" s="6">
        <v>4.9000000000000004</v>
      </c>
      <c r="S277" s="6" t="s">
        <v>57</v>
      </c>
      <c r="T277" s="6"/>
      <c r="U277" s="6"/>
      <c r="V277" s="6"/>
      <c r="W277" s="9"/>
      <c r="X277" s="6"/>
      <c r="Y277" s="9">
        <f t="shared" si="67"/>
        <v>0</v>
      </c>
      <c r="Z277" s="10">
        <f t="shared" si="68"/>
        <v>0</v>
      </c>
      <c r="AA277" s="10">
        <f t="shared" si="69"/>
        <v>0</v>
      </c>
      <c r="AB277" s="11">
        <f t="shared" si="70"/>
        <v>0</v>
      </c>
      <c r="AC277" s="11">
        <f t="shared" si="71"/>
        <v>0</v>
      </c>
      <c r="AD277" s="11" t="s">
        <v>212</v>
      </c>
    </row>
    <row r="278" spans="1:30" s="1" customFormat="1" ht="17.100000000000001" customHeight="1">
      <c r="A278" s="2">
        <v>276</v>
      </c>
      <c r="B278" s="3" t="s">
        <v>600</v>
      </c>
      <c r="C278" s="3" t="s">
        <v>601</v>
      </c>
      <c r="D278" s="4">
        <v>43</v>
      </c>
      <c r="E278" s="4">
        <v>16</v>
      </c>
      <c r="F278" s="4">
        <v>8</v>
      </c>
      <c r="G278" s="4">
        <v>52</v>
      </c>
      <c r="H278" s="4">
        <v>36</v>
      </c>
      <c r="I278" s="4">
        <v>23</v>
      </c>
      <c r="J278" s="5">
        <f t="shared" si="72"/>
        <v>4.3055999999999997E-2</v>
      </c>
      <c r="K278" s="6">
        <v>24</v>
      </c>
      <c r="L278" s="6">
        <v>1</v>
      </c>
      <c r="M278" s="7">
        <f t="shared" ref="M278:M295" si="73">K278*L278</f>
        <v>24</v>
      </c>
      <c r="N278" s="8">
        <v>8</v>
      </c>
      <c r="O278" s="6">
        <v>5</v>
      </c>
      <c r="P278" s="6">
        <f t="shared" ref="P278:P295" si="74">N278*O278</f>
        <v>40</v>
      </c>
      <c r="Q278" s="8">
        <f t="shared" ref="Q278:Q295" si="75">M278*P278</f>
        <v>960</v>
      </c>
      <c r="R278" s="6">
        <v>4.9000000000000004</v>
      </c>
      <c r="S278" s="6" t="s">
        <v>57</v>
      </c>
      <c r="T278" s="6"/>
      <c r="U278" s="6"/>
      <c r="V278" s="6"/>
      <c r="W278" s="9"/>
      <c r="X278" s="6"/>
      <c r="Y278" s="9">
        <f t="shared" ref="Y278:Y295" si="76">R278/M278*W278</f>
        <v>0</v>
      </c>
      <c r="Z278" s="10">
        <f t="shared" ref="Z278:Z295" si="77">(G278*H278*I278/4000)*(W278/M278)</f>
        <v>0</v>
      </c>
      <c r="AA278" s="10">
        <f t="shared" ref="AA278:AA295" si="78">(G278*H278*I278/6000)*(W278/M278)</f>
        <v>0</v>
      </c>
      <c r="AB278" s="11">
        <f t="shared" ref="AB278:AB295" si="79">(G278*H278*I278/1000000)*(W278/M278)</f>
        <v>0</v>
      </c>
      <c r="AC278" s="11">
        <f t="shared" ref="AC278:AC295" si="80">ROUNDUP(W278/M278,0)</f>
        <v>0</v>
      </c>
      <c r="AD278" s="11" t="s">
        <v>212</v>
      </c>
    </row>
    <row r="279" spans="1:30" s="1" customFormat="1" ht="17.100000000000001" customHeight="1">
      <c r="A279" s="2">
        <v>277</v>
      </c>
      <c r="B279" s="3" t="s">
        <v>602</v>
      </c>
      <c r="C279" s="3" t="s">
        <v>603</v>
      </c>
      <c r="D279" s="4">
        <v>43</v>
      </c>
      <c r="E279" s="4">
        <v>16</v>
      </c>
      <c r="F279" s="4">
        <v>8</v>
      </c>
      <c r="G279" s="4">
        <v>52</v>
      </c>
      <c r="H279" s="4">
        <v>36</v>
      </c>
      <c r="I279" s="4">
        <v>23</v>
      </c>
      <c r="J279" s="5">
        <f t="shared" si="72"/>
        <v>4.3055999999999997E-2</v>
      </c>
      <c r="K279" s="6">
        <v>24</v>
      </c>
      <c r="L279" s="6">
        <v>1</v>
      </c>
      <c r="M279" s="7">
        <f t="shared" si="73"/>
        <v>24</v>
      </c>
      <c r="N279" s="8">
        <v>8</v>
      </c>
      <c r="O279" s="6">
        <v>5</v>
      </c>
      <c r="P279" s="6">
        <f t="shared" si="74"/>
        <v>40</v>
      </c>
      <c r="Q279" s="8">
        <f t="shared" si="75"/>
        <v>960</v>
      </c>
      <c r="R279" s="6">
        <v>4.9000000000000004</v>
      </c>
      <c r="S279" s="6" t="s">
        <v>57</v>
      </c>
      <c r="T279" s="6"/>
      <c r="U279" s="6"/>
      <c r="V279" s="6"/>
      <c r="W279" s="9"/>
      <c r="X279" s="6"/>
      <c r="Y279" s="9">
        <f t="shared" si="76"/>
        <v>0</v>
      </c>
      <c r="Z279" s="10">
        <f t="shared" si="77"/>
        <v>0</v>
      </c>
      <c r="AA279" s="10">
        <f t="shared" si="78"/>
        <v>0</v>
      </c>
      <c r="AB279" s="11">
        <f t="shared" si="79"/>
        <v>0</v>
      </c>
      <c r="AC279" s="11">
        <f t="shared" si="80"/>
        <v>0</v>
      </c>
      <c r="AD279" s="11" t="s">
        <v>212</v>
      </c>
    </row>
    <row r="280" spans="1:30" s="1" customFormat="1" ht="17.100000000000001" customHeight="1">
      <c r="A280" s="2">
        <v>278</v>
      </c>
      <c r="B280" s="3" t="s">
        <v>604</v>
      </c>
      <c r="C280" s="3" t="s">
        <v>605</v>
      </c>
      <c r="D280" s="4">
        <v>43</v>
      </c>
      <c r="E280" s="4">
        <v>16</v>
      </c>
      <c r="F280" s="4">
        <v>8</v>
      </c>
      <c r="G280" s="4">
        <v>52</v>
      </c>
      <c r="H280" s="4">
        <v>36</v>
      </c>
      <c r="I280" s="4">
        <v>23</v>
      </c>
      <c r="J280" s="5">
        <f t="shared" si="72"/>
        <v>4.3055999999999997E-2</v>
      </c>
      <c r="K280" s="6">
        <v>24</v>
      </c>
      <c r="L280" s="6">
        <v>1</v>
      </c>
      <c r="M280" s="7">
        <f t="shared" si="73"/>
        <v>24</v>
      </c>
      <c r="N280" s="8">
        <v>8</v>
      </c>
      <c r="O280" s="6">
        <v>5</v>
      </c>
      <c r="P280" s="6">
        <f t="shared" si="74"/>
        <v>40</v>
      </c>
      <c r="Q280" s="8">
        <f t="shared" si="75"/>
        <v>960</v>
      </c>
      <c r="R280" s="6">
        <v>4.9000000000000004</v>
      </c>
      <c r="S280" s="6" t="s">
        <v>57</v>
      </c>
      <c r="T280" s="6"/>
      <c r="U280" s="6"/>
      <c r="V280" s="6"/>
      <c r="W280" s="9"/>
      <c r="X280" s="6"/>
      <c r="Y280" s="9">
        <f t="shared" si="76"/>
        <v>0</v>
      </c>
      <c r="Z280" s="10">
        <f t="shared" si="77"/>
        <v>0</v>
      </c>
      <c r="AA280" s="10">
        <f t="shared" si="78"/>
        <v>0</v>
      </c>
      <c r="AB280" s="11">
        <f t="shared" si="79"/>
        <v>0</v>
      </c>
      <c r="AC280" s="11">
        <f t="shared" si="80"/>
        <v>0</v>
      </c>
      <c r="AD280" s="11" t="s">
        <v>212</v>
      </c>
    </row>
    <row r="281" spans="1:30" s="1" customFormat="1" ht="17.100000000000001" customHeight="1">
      <c r="A281" s="2">
        <v>279</v>
      </c>
      <c r="B281" s="3" t="s">
        <v>606</v>
      </c>
      <c r="C281" s="3" t="s">
        <v>607</v>
      </c>
      <c r="D281" s="4"/>
      <c r="E281" s="4"/>
      <c r="F281" s="4"/>
      <c r="G281" s="4"/>
      <c r="H281" s="4"/>
      <c r="I281" s="4"/>
      <c r="J281" s="5"/>
      <c r="K281" s="6"/>
      <c r="L281" s="6"/>
      <c r="M281" s="7">
        <f t="shared" si="73"/>
        <v>0</v>
      </c>
      <c r="N281" s="8"/>
      <c r="O281" s="6"/>
      <c r="P281" s="6">
        <f t="shared" si="74"/>
        <v>0</v>
      </c>
      <c r="Q281" s="8">
        <f t="shared" si="75"/>
        <v>0</v>
      </c>
      <c r="R281" s="6">
        <v>4.0999999999999996</v>
      </c>
      <c r="S281" s="6" t="s">
        <v>80</v>
      </c>
      <c r="T281" s="6"/>
      <c r="U281" s="6"/>
      <c r="V281" s="6"/>
      <c r="W281" s="9"/>
      <c r="X281" s="6"/>
      <c r="Y281" s="9" t="e">
        <f t="shared" si="76"/>
        <v>#DIV/0!</v>
      </c>
      <c r="Z281" s="10" t="e">
        <f t="shared" si="77"/>
        <v>#DIV/0!</v>
      </c>
      <c r="AA281" s="10" t="e">
        <f t="shared" si="78"/>
        <v>#DIV/0!</v>
      </c>
      <c r="AB281" s="11" t="e">
        <f t="shared" si="79"/>
        <v>#DIV/0!</v>
      </c>
      <c r="AC281" s="11" t="e">
        <f t="shared" si="80"/>
        <v>#DIV/0!</v>
      </c>
      <c r="AD281" s="11" t="s">
        <v>59</v>
      </c>
    </row>
    <row r="282" spans="1:30" s="1" customFormat="1" ht="17.100000000000001" customHeight="1">
      <c r="A282" s="2">
        <v>280</v>
      </c>
      <c r="B282" s="3" t="s">
        <v>608</v>
      </c>
      <c r="C282" s="3" t="s">
        <v>609</v>
      </c>
      <c r="D282" s="4"/>
      <c r="E282" s="4"/>
      <c r="F282" s="4"/>
      <c r="G282" s="4"/>
      <c r="H282" s="4"/>
      <c r="I282" s="4"/>
      <c r="J282" s="5"/>
      <c r="K282" s="6"/>
      <c r="L282" s="6"/>
      <c r="M282" s="7">
        <f t="shared" si="73"/>
        <v>0</v>
      </c>
      <c r="N282" s="8"/>
      <c r="O282" s="6"/>
      <c r="P282" s="6">
        <f t="shared" si="74"/>
        <v>0</v>
      </c>
      <c r="Q282" s="8">
        <f t="shared" si="75"/>
        <v>0</v>
      </c>
      <c r="R282" s="6">
        <v>4.0999999999999996</v>
      </c>
      <c r="S282" s="6" t="s">
        <v>80</v>
      </c>
      <c r="T282" s="6"/>
      <c r="U282" s="6"/>
      <c r="V282" s="6"/>
      <c r="W282" s="9"/>
      <c r="X282" s="6"/>
      <c r="Y282" s="9" t="e">
        <f t="shared" si="76"/>
        <v>#DIV/0!</v>
      </c>
      <c r="Z282" s="10" t="e">
        <f t="shared" si="77"/>
        <v>#DIV/0!</v>
      </c>
      <c r="AA282" s="10" t="e">
        <f t="shared" si="78"/>
        <v>#DIV/0!</v>
      </c>
      <c r="AB282" s="11" t="e">
        <f t="shared" si="79"/>
        <v>#DIV/0!</v>
      </c>
      <c r="AC282" s="11" t="e">
        <f t="shared" si="80"/>
        <v>#DIV/0!</v>
      </c>
      <c r="AD282" s="11" t="s">
        <v>59</v>
      </c>
    </row>
    <row r="283" spans="1:30" s="1" customFormat="1" ht="17.100000000000001" customHeight="1">
      <c r="A283" s="2">
        <v>281</v>
      </c>
      <c r="B283" s="3" t="s">
        <v>610</v>
      </c>
      <c r="C283" s="3" t="s">
        <v>611</v>
      </c>
      <c r="D283" s="4"/>
      <c r="E283" s="4"/>
      <c r="F283" s="4"/>
      <c r="G283" s="4"/>
      <c r="H283" s="4"/>
      <c r="I283" s="4"/>
      <c r="J283" s="5"/>
      <c r="K283" s="6"/>
      <c r="L283" s="6"/>
      <c r="M283" s="7">
        <f t="shared" si="73"/>
        <v>0</v>
      </c>
      <c r="N283" s="8"/>
      <c r="O283" s="6"/>
      <c r="P283" s="6">
        <f t="shared" si="74"/>
        <v>0</v>
      </c>
      <c r="Q283" s="8">
        <f t="shared" si="75"/>
        <v>0</v>
      </c>
      <c r="R283" s="6">
        <v>4.0999999999999996</v>
      </c>
      <c r="S283" s="6" t="s">
        <v>80</v>
      </c>
      <c r="T283" s="6"/>
      <c r="U283" s="6"/>
      <c r="V283" s="6"/>
      <c r="W283" s="9"/>
      <c r="X283" s="6"/>
      <c r="Y283" s="9" t="e">
        <f t="shared" si="76"/>
        <v>#DIV/0!</v>
      </c>
      <c r="Z283" s="10" t="e">
        <f t="shared" si="77"/>
        <v>#DIV/0!</v>
      </c>
      <c r="AA283" s="10" t="e">
        <f t="shared" si="78"/>
        <v>#DIV/0!</v>
      </c>
      <c r="AB283" s="11" t="e">
        <f t="shared" si="79"/>
        <v>#DIV/0!</v>
      </c>
      <c r="AC283" s="11" t="e">
        <f t="shared" si="80"/>
        <v>#DIV/0!</v>
      </c>
      <c r="AD283" s="11" t="s">
        <v>59</v>
      </c>
    </row>
    <row r="284" spans="1:30" s="1" customFormat="1" ht="17.100000000000001" customHeight="1">
      <c r="A284" s="2">
        <v>282</v>
      </c>
      <c r="B284" s="3" t="s">
        <v>612</v>
      </c>
      <c r="C284" s="3" t="s">
        <v>613</v>
      </c>
      <c r="D284" s="4"/>
      <c r="E284" s="4"/>
      <c r="F284" s="4"/>
      <c r="G284" s="4"/>
      <c r="H284" s="4"/>
      <c r="I284" s="4"/>
      <c r="J284" s="5"/>
      <c r="K284" s="6"/>
      <c r="L284" s="6"/>
      <c r="M284" s="7">
        <f t="shared" si="73"/>
        <v>0</v>
      </c>
      <c r="N284" s="8"/>
      <c r="O284" s="6"/>
      <c r="P284" s="6">
        <f t="shared" si="74"/>
        <v>0</v>
      </c>
      <c r="Q284" s="8">
        <f t="shared" si="75"/>
        <v>0</v>
      </c>
      <c r="R284" s="6">
        <v>4.0999999999999996</v>
      </c>
      <c r="S284" s="6" t="s">
        <v>80</v>
      </c>
      <c r="T284" s="6"/>
      <c r="U284" s="6"/>
      <c r="V284" s="6"/>
      <c r="W284" s="9"/>
      <c r="X284" s="6"/>
      <c r="Y284" s="9" t="e">
        <f t="shared" si="76"/>
        <v>#DIV/0!</v>
      </c>
      <c r="Z284" s="10" t="e">
        <f t="shared" si="77"/>
        <v>#DIV/0!</v>
      </c>
      <c r="AA284" s="10" t="e">
        <f t="shared" si="78"/>
        <v>#DIV/0!</v>
      </c>
      <c r="AB284" s="11" t="e">
        <f t="shared" si="79"/>
        <v>#DIV/0!</v>
      </c>
      <c r="AC284" s="11" t="e">
        <f t="shared" si="80"/>
        <v>#DIV/0!</v>
      </c>
      <c r="AD284" s="11" t="s">
        <v>59</v>
      </c>
    </row>
    <row r="285" spans="1:30" s="1" customFormat="1" ht="17.100000000000001" customHeight="1">
      <c r="A285" s="2">
        <v>283</v>
      </c>
      <c r="B285" s="3" t="s">
        <v>614</v>
      </c>
      <c r="C285" s="3" t="s">
        <v>615</v>
      </c>
      <c r="D285" s="4"/>
      <c r="E285" s="4"/>
      <c r="F285" s="4"/>
      <c r="G285" s="4"/>
      <c r="H285" s="4"/>
      <c r="I285" s="4"/>
      <c r="J285" s="5"/>
      <c r="K285" s="6"/>
      <c r="L285" s="6"/>
      <c r="M285" s="7">
        <f t="shared" si="73"/>
        <v>0</v>
      </c>
      <c r="N285" s="8"/>
      <c r="O285" s="6"/>
      <c r="P285" s="6">
        <f t="shared" si="74"/>
        <v>0</v>
      </c>
      <c r="Q285" s="8">
        <f t="shared" si="75"/>
        <v>0</v>
      </c>
      <c r="R285" s="6">
        <v>4.0999999999999996</v>
      </c>
      <c r="S285" s="6" t="s">
        <v>80</v>
      </c>
      <c r="T285" s="6"/>
      <c r="U285" s="6"/>
      <c r="V285" s="6"/>
      <c r="W285" s="9"/>
      <c r="X285" s="6"/>
      <c r="Y285" s="9" t="e">
        <f t="shared" si="76"/>
        <v>#DIV/0!</v>
      </c>
      <c r="Z285" s="10" t="e">
        <f t="shared" si="77"/>
        <v>#DIV/0!</v>
      </c>
      <c r="AA285" s="10" t="e">
        <f t="shared" si="78"/>
        <v>#DIV/0!</v>
      </c>
      <c r="AB285" s="11" t="e">
        <f t="shared" si="79"/>
        <v>#DIV/0!</v>
      </c>
      <c r="AC285" s="11" t="e">
        <f t="shared" si="80"/>
        <v>#DIV/0!</v>
      </c>
      <c r="AD285" s="11" t="s">
        <v>59</v>
      </c>
    </row>
    <row r="286" spans="1:30" s="1" customFormat="1" ht="17.100000000000001" customHeight="1">
      <c r="A286" s="2">
        <v>284</v>
      </c>
      <c r="B286" s="3" t="s">
        <v>616</v>
      </c>
      <c r="C286" s="3" t="s">
        <v>617</v>
      </c>
      <c r="D286" s="4"/>
      <c r="E286" s="4"/>
      <c r="F286" s="4"/>
      <c r="G286" s="4"/>
      <c r="H286" s="4"/>
      <c r="I286" s="4"/>
      <c r="J286" s="5"/>
      <c r="K286" s="6"/>
      <c r="L286" s="6"/>
      <c r="M286" s="7">
        <f t="shared" si="73"/>
        <v>0</v>
      </c>
      <c r="N286" s="8"/>
      <c r="O286" s="6"/>
      <c r="P286" s="6">
        <f t="shared" si="74"/>
        <v>0</v>
      </c>
      <c r="Q286" s="8">
        <f t="shared" si="75"/>
        <v>0</v>
      </c>
      <c r="R286" s="6">
        <v>4.0999999999999996</v>
      </c>
      <c r="S286" s="6" t="s">
        <v>80</v>
      </c>
      <c r="T286" s="6"/>
      <c r="U286" s="6"/>
      <c r="V286" s="6"/>
      <c r="W286" s="9"/>
      <c r="X286" s="6"/>
      <c r="Y286" s="9" t="e">
        <f t="shared" si="76"/>
        <v>#DIV/0!</v>
      </c>
      <c r="Z286" s="10" t="e">
        <f t="shared" si="77"/>
        <v>#DIV/0!</v>
      </c>
      <c r="AA286" s="10" t="e">
        <f t="shared" si="78"/>
        <v>#DIV/0!</v>
      </c>
      <c r="AB286" s="11" t="e">
        <f t="shared" si="79"/>
        <v>#DIV/0!</v>
      </c>
      <c r="AC286" s="11" t="e">
        <f t="shared" si="80"/>
        <v>#DIV/0!</v>
      </c>
      <c r="AD286" s="11" t="s">
        <v>59</v>
      </c>
    </row>
    <row r="287" spans="1:30" s="1" customFormat="1" ht="17.100000000000001" customHeight="1">
      <c r="A287" s="2">
        <v>285</v>
      </c>
      <c r="B287" s="3" t="s">
        <v>618</v>
      </c>
      <c r="C287" s="3" t="s">
        <v>619</v>
      </c>
      <c r="D287" s="4">
        <v>35</v>
      </c>
      <c r="E287" s="4">
        <v>16</v>
      </c>
      <c r="F287" s="4">
        <v>7</v>
      </c>
      <c r="G287" s="4">
        <v>57</v>
      </c>
      <c r="H287" s="4">
        <v>31</v>
      </c>
      <c r="I287" s="4">
        <v>26</v>
      </c>
      <c r="J287" s="5">
        <f t="shared" ref="J287:J295" si="81">(G287*H287*I287)/1000000</f>
        <v>4.5941999999999997E-2</v>
      </c>
      <c r="K287" s="6">
        <v>24</v>
      </c>
      <c r="L287" s="6">
        <v>1</v>
      </c>
      <c r="M287" s="7">
        <f t="shared" si="73"/>
        <v>24</v>
      </c>
      <c r="N287" s="8">
        <v>7</v>
      </c>
      <c r="O287" s="6">
        <v>5</v>
      </c>
      <c r="P287" s="6">
        <f t="shared" si="74"/>
        <v>35</v>
      </c>
      <c r="Q287" s="8">
        <f t="shared" si="75"/>
        <v>840</v>
      </c>
      <c r="R287" s="6">
        <v>4.0999999999999996</v>
      </c>
      <c r="S287" s="6" t="s">
        <v>57</v>
      </c>
      <c r="T287" s="6"/>
      <c r="U287" s="6"/>
      <c r="V287" s="6"/>
      <c r="W287" s="9"/>
      <c r="X287" s="6"/>
      <c r="Y287" s="9">
        <f t="shared" si="76"/>
        <v>0</v>
      </c>
      <c r="Z287" s="10">
        <f t="shared" si="77"/>
        <v>0</v>
      </c>
      <c r="AA287" s="10">
        <f t="shared" si="78"/>
        <v>0</v>
      </c>
      <c r="AB287" s="11">
        <f t="shared" si="79"/>
        <v>0</v>
      </c>
      <c r="AC287" s="11">
        <f t="shared" si="80"/>
        <v>0</v>
      </c>
      <c r="AD287" s="11" t="s">
        <v>212</v>
      </c>
    </row>
    <row r="288" spans="1:30" s="1" customFormat="1" ht="17.100000000000001" customHeight="1">
      <c r="A288" s="2">
        <v>286</v>
      </c>
      <c r="B288" s="3" t="s">
        <v>620</v>
      </c>
      <c r="C288" s="3" t="s">
        <v>621</v>
      </c>
      <c r="D288" s="4">
        <v>35</v>
      </c>
      <c r="E288" s="4">
        <v>16</v>
      </c>
      <c r="F288" s="4">
        <v>7</v>
      </c>
      <c r="G288" s="4">
        <v>57</v>
      </c>
      <c r="H288" s="4">
        <v>31</v>
      </c>
      <c r="I288" s="4">
        <v>26</v>
      </c>
      <c r="J288" s="5">
        <f t="shared" si="81"/>
        <v>4.5941999999999997E-2</v>
      </c>
      <c r="K288" s="6">
        <v>24</v>
      </c>
      <c r="L288" s="6">
        <v>1</v>
      </c>
      <c r="M288" s="7">
        <f t="shared" si="73"/>
        <v>24</v>
      </c>
      <c r="N288" s="8">
        <v>7</v>
      </c>
      <c r="O288" s="6">
        <v>5</v>
      </c>
      <c r="P288" s="6">
        <f t="shared" si="74"/>
        <v>35</v>
      </c>
      <c r="Q288" s="8">
        <f t="shared" si="75"/>
        <v>840</v>
      </c>
      <c r="R288" s="6">
        <v>4.0999999999999996</v>
      </c>
      <c r="S288" s="6" t="s">
        <v>57</v>
      </c>
      <c r="T288" s="6"/>
      <c r="U288" s="6"/>
      <c r="V288" s="6"/>
      <c r="W288" s="9"/>
      <c r="X288" s="6"/>
      <c r="Y288" s="9">
        <f t="shared" si="76"/>
        <v>0</v>
      </c>
      <c r="Z288" s="10">
        <f t="shared" si="77"/>
        <v>0</v>
      </c>
      <c r="AA288" s="10">
        <f t="shared" si="78"/>
        <v>0</v>
      </c>
      <c r="AB288" s="11">
        <f t="shared" si="79"/>
        <v>0</v>
      </c>
      <c r="AC288" s="11">
        <f t="shared" si="80"/>
        <v>0</v>
      </c>
      <c r="AD288" s="11" t="s">
        <v>212</v>
      </c>
    </row>
    <row r="289" spans="1:30" s="1" customFormat="1" ht="17.100000000000001" customHeight="1">
      <c r="A289" s="2">
        <v>287</v>
      </c>
      <c r="B289" s="3" t="s">
        <v>622</v>
      </c>
      <c r="C289" s="3" t="s">
        <v>623</v>
      </c>
      <c r="D289" s="4">
        <v>35</v>
      </c>
      <c r="E289" s="4">
        <v>16</v>
      </c>
      <c r="F289" s="4">
        <v>7</v>
      </c>
      <c r="G289" s="4">
        <v>57</v>
      </c>
      <c r="H289" s="4">
        <v>31</v>
      </c>
      <c r="I289" s="4">
        <v>26</v>
      </c>
      <c r="J289" s="5">
        <f t="shared" si="81"/>
        <v>4.5941999999999997E-2</v>
      </c>
      <c r="K289" s="6">
        <v>24</v>
      </c>
      <c r="L289" s="6">
        <v>1</v>
      </c>
      <c r="M289" s="7">
        <f t="shared" si="73"/>
        <v>24</v>
      </c>
      <c r="N289" s="8">
        <v>7</v>
      </c>
      <c r="O289" s="6">
        <v>5</v>
      </c>
      <c r="P289" s="6">
        <f t="shared" si="74"/>
        <v>35</v>
      </c>
      <c r="Q289" s="8">
        <f t="shared" si="75"/>
        <v>840</v>
      </c>
      <c r="R289" s="6">
        <v>4.0999999999999996</v>
      </c>
      <c r="S289" s="6" t="s">
        <v>57</v>
      </c>
      <c r="T289" s="6"/>
      <c r="U289" s="6"/>
      <c r="V289" s="6"/>
      <c r="W289" s="9"/>
      <c r="X289" s="6"/>
      <c r="Y289" s="9">
        <f t="shared" si="76"/>
        <v>0</v>
      </c>
      <c r="Z289" s="10">
        <f t="shared" si="77"/>
        <v>0</v>
      </c>
      <c r="AA289" s="10">
        <f t="shared" si="78"/>
        <v>0</v>
      </c>
      <c r="AB289" s="11">
        <f t="shared" si="79"/>
        <v>0</v>
      </c>
      <c r="AC289" s="11">
        <f t="shared" si="80"/>
        <v>0</v>
      </c>
      <c r="AD289" s="11" t="s">
        <v>212</v>
      </c>
    </row>
    <row r="290" spans="1:30" s="1" customFormat="1" ht="17.100000000000001" customHeight="1">
      <c r="A290" s="2">
        <v>288</v>
      </c>
      <c r="B290" s="3" t="s">
        <v>624</v>
      </c>
      <c r="C290" s="3" t="s">
        <v>625</v>
      </c>
      <c r="D290" s="4">
        <v>35</v>
      </c>
      <c r="E290" s="4">
        <v>16</v>
      </c>
      <c r="F290" s="4">
        <v>7</v>
      </c>
      <c r="G290" s="4">
        <v>57</v>
      </c>
      <c r="H290" s="4">
        <v>31</v>
      </c>
      <c r="I290" s="4">
        <v>26</v>
      </c>
      <c r="J290" s="5">
        <f t="shared" si="81"/>
        <v>4.5941999999999997E-2</v>
      </c>
      <c r="K290" s="6">
        <v>24</v>
      </c>
      <c r="L290" s="6">
        <v>1</v>
      </c>
      <c r="M290" s="7">
        <f t="shared" si="73"/>
        <v>24</v>
      </c>
      <c r="N290" s="8">
        <v>7</v>
      </c>
      <c r="O290" s="6">
        <v>5</v>
      </c>
      <c r="P290" s="6">
        <f t="shared" si="74"/>
        <v>35</v>
      </c>
      <c r="Q290" s="8">
        <f t="shared" si="75"/>
        <v>840</v>
      </c>
      <c r="R290" s="6">
        <v>4.0999999999999996</v>
      </c>
      <c r="S290" s="6" t="s">
        <v>57</v>
      </c>
      <c r="T290" s="6"/>
      <c r="U290" s="6"/>
      <c r="V290" s="6"/>
      <c r="W290" s="9"/>
      <c r="X290" s="6"/>
      <c r="Y290" s="9">
        <f t="shared" si="76"/>
        <v>0</v>
      </c>
      <c r="Z290" s="10">
        <f t="shared" si="77"/>
        <v>0</v>
      </c>
      <c r="AA290" s="10">
        <f t="shared" si="78"/>
        <v>0</v>
      </c>
      <c r="AB290" s="11">
        <f t="shared" si="79"/>
        <v>0</v>
      </c>
      <c r="AC290" s="11">
        <f t="shared" si="80"/>
        <v>0</v>
      </c>
      <c r="AD290" s="11" t="s">
        <v>212</v>
      </c>
    </row>
    <row r="291" spans="1:30" s="1" customFormat="1" ht="17.100000000000001" customHeight="1">
      <c r="A291" s="2">
        <v>289</v>
      </c>
      <c r="B291" s="3" t="s">
        <v>626</v>
      </c>
      <c r="C291" s="3" t="s">
        <v>627</v>
      </c>
      <c r="D291" s="4">
        <v>35</v>
      </c>
      <c r="E291" s="4">
        <v>16</v>
      </c>
      <c r="F291" s="4">
        <v>7</v>
      </c>
      <c r="G291" s="4">
        <v>57</v>
      </c>
      <c r="H291" s="4">
        <v>31</v>
      </c>
      <c r="I291" s="4">
        <v>26</v>
      </c>
      <c r="J291" s="5">
        <f t="shared" si="81"/>
        <v>4.5941999999999997E-2</v>
      </c>
      <c r="K291" s="6">
        <v>24</v>
      </c>
      <c r="L291" s="6">
        <v>1</v>
      </c>
      <c r="M291" s="7">
        <f t="shared" si="73"/>
        <v>24</v>
      </c>
      <c r="N291" s="8">
        <v>7</v>
      </c>
      <c r="O291" s="6">
        <v>5</v>
      </c>
      <c r="P291" s="6">
        <f t="shared" si="74"/>
        <v>35</v>
      </c>
      <c r="Q291" s="8">
        <f t="shared" si="75"/>
        <v>840</v>
      </c>
      <c r="R291" s="6">
        <v>4.0999999999999996</v>
      </c>
      <c r="S291" s="6" t="s">
        <v>57</v>
      </c>
      <c r="T291" s="6"/>
      <c r="U291" s="6"/>
      <c r="V291" s="6"/>
      <c r="W291" s="9"/>
      <c r="X291" s="6" t="s">
        <v>58</v>
      </c>
      <c r="Y291" s="9">
        <f t="shared" si="76"/>
        <v>0</v>
      </c>
      <c r="Z291" s="10">
        <f t="shared" si="77"/>
        <v>0</v>
      </c>
      <c r="AA291" s="10">
        <f t="shared" si="78"/>
        <v>0</v>
      </c>
      <c r="AB291" s="11">
        <f t="shared" si="79"/>
        <v>0</v>
      </c>
      <c r="AC291" s="11">
        <f t="shared" si="80"/>
        <v>0</v>
      </c>
      <c r="AD291" s="11" t="s">
        <v>212</v>
      </c>
    </row>
    <row r="292" spans="1:30" s="1" customFormat="1" ht="17.100000000000001" customHeight="1">
      <c r="A292" s="2">
        <v>290</v>
      </c>
      <c r="B292" s="3" t="s">
        <v>628</v>
      </c>
      <c r="C292" s="3" t="s">
        <v>629</v>
      </c>
      <c r="D292" s="4">
        <v>35</v>
      </c>
      <c r="E292" s="4">
        <v>16</v>
      </c>
      <c r="F292" s="4">
        <v>7</v>
      </c>
      <c r="G292" s="4">
        <v>57</v>
      </c>
      <c r="H292" s="4">
        <v>31</v>
      </c>
      <c r="I292" s="4">
        <v>26</v>
      </c>
      <c r="J292" s="5">
        <f t="shared" si="81"/>
        <v>4.5941999999999997E-2</v>
      </c>
      <c r="K292" s="6">
        <v>24</v>
      </c>
      <c r="L292" s="6">
        <v>1</v>
      </c>
      <c r="M292" s="7">
        <f t="shared" si="73"/>
        <v>24</v>
      </c>
      <c r="N292" s="8">
        <v>7</v>
      </c>
      <c r="O292" s="6">
        <v>5</v>
      </c>
      <c r="P292" s="6">
        <f t="shared" si="74"/>
        <v>35</v>
      </c>
      <c r="Q292" s="8">
        <f t="shared" si="75"/>
        <v>840</v>
      </c>
      <c r="R292" s="6">
        <v>4.0999999999999996</v>
      </c>
      <c r="S292" s="6" t="s">
        <v>57</v>
      </c>
      <c r="T292" s="6"/>
      <c r="U292" s="6"/>
      <c r="V292" s="6"/>
      <c r="W292" s="9"/>
      <c r="X292" s="6"/>
      <c r="Y292" s="9">
        <f t="shared" si="76"/>
        <v>0</v>
      </c>
      <c r="Z292" s="10">
        <f t="shared" si="77"/>
        <v>0</v>
      </c>
      <c r="AA292" s="10">
        <f t="shared" si="78"/>
        <v>0</v>
      </c>
      <c r="AB292" s="11">
        <f t="shared" si="79"/>
        <v>0</v>
      </c>
      <c r="AC292" s="11">
        <f t="shared" si="80"/>
        <v>0</v>
      </c>
      <c r="AD292" s="11" t="s">
        <v>212</v>
      </c>
    </row>
    <row r="293" spans="1:30" s="1" customFormat="1" ht="17.100000000000001" customHeight="1">
      <c r="A293" s="2">
        <v>291</v>
      </c>
      <c r="B293" s="3" t="s">
        <v>630</v>
      </c>
      <c r="C293" s="3" t="s">
        <v>631</v>
      </c>
      <c r="D293" s="4"/>
      <c r="E293" s="4"/>
      <c r="F293" s="4"/>
      <c r="G293" s="4"/>
      <c r="H293" s="4"/>
      <c r="I293" s="4"/>
      <c r="J293" s="5">
        <f t="shared" si="81"/>
        <v>0</v>
      </c>
      <c r="K293" s="6"/>
      <c r="L293" s="6"/>
      <c r="M293" s="7">
        <f t="shared" si="73"/>
        <v>0</v>
      </c>
      <c r="N293" s="8"/>
      <c r="O293" s="6"/>
      <c r="P293" s="6">
        <f t="shared" si="74"/>
        <v>0</v>
      </c>
      <c r="Q293" s="8">
        <f t="shared" si="75"/>
        <v>0</v>
      </c>
      <c r="R293" s="6"/>
      <c r="S293" s="6" t="s">
        <v>80</v>
      </c>
      <c r="T293" s="6"/>
      <c r="U293" s="6"/>
      <c r="V293" s="6"/>
      <c r="W293" s="9"/>
      <c r="X293" s="6"/>
      <c r="Y293" s="9" t="e">
        <f t="shared" si="76"/>
        <v>#DIV/0!</v>
      </c>
      <c r="Z293" s="10" t="e">
        <f t="shared" si="77"/>
        <v>#DIV/0!</v>
      </c>
      <c r="AA293" s="10" t="e">
        <f t="shared" si="78"/>
        <v>#DIV/0!</v>
      </c>
      <c r="AB293" s="11" t="e">
        <f t="shared" si="79"/>
        <v>#DIV/0!</v>
      </c>
      <c r="AC293" s="11" t="e">
        <f t="shared" si="80"/>
        <v>#DIV/0!</v>
      </c>
      <c r="AD293" s="11" t="s">
        <v>59</v>
      </c>
    </row>
    <row r="294" spans="1:30" s="1" customFormat="1" ht="17.100000000000001" customHeight="1">
      <c r="A294" s="2">
        <v>292</v>
      </c>
      <c r="B294" s="3" t="s">
        <v>632</v>
      </c>
      <c r="C294" s="3" t="s">
        <v>633</v>
      </c>
      <c r="D294" s="4"/>
      <c r="E294" s="4"/>
      <c r="F294" s="4"/>
      <c r="G294" s="4">
        <v>28</v>
      </c>
      <c r="H294" s="4">
        <v>22</v>
      </c>
      <c r="I294" s="4">
        <v>28</v>
      </c>
      <c r="J294" s="5">
        <f t="shared" si="81"/>
        <v>1.7247999999999999E-2</v>
      </c>
      <c r="K294" s="6">
        <v>1</v>
      </c>
      <c r="L294" s="6">
        <v>50</v>
      </c>
      <c r="M294" s="7">
        <f t="shared" si="73"/>
        <v>50</v>
      </c>
      <c r="N294" s="8"/>
      <c r="O294" s="6"/>
      <c r="P294" s="6">
        <f t="shared" si="74"/>
        <v>0</v>
      </c>
      <c r="Q294" s="8">
        <f t="shared" si="75"/>
        <v>0</v>
      </c>
      <c r="R294" s="6">
        <v>4.0999999999999996</v>
      </c>
      <c r="S294" s="6" t="s">
        <v>80</v>
      </c>
      <c r="T294" s="6"/>
      <c r="U294" s="6"/>
      <c r="V294" s="6"/>
      <c r="W294" s="9"/>
      <c r="X294" s="6" t="s">
        <v>634</v>
      </c>
      <c r="Y294" s="9">
        <f t="shared" si="76"/>
        <v>0</v>
      </c>
      <c r="Z294" s="10">
        <f t="shared" si="77"/>
        <v>0</v>
      </c>
      <c r="AA294" s="10">
        <f t="shared" si="78"/>
        <v>0</v>
      </c>
      <c r="AB294" s="11">
        <f t="shared" si="79"/>
        <v>0</v>
      </c>
      <c r="AC294" s="11">
        <f t="shared" si="80"/>
        <v>0</v>
      </c>
      <c r="AD294" s="11" t="s">
        <v>59</v>
      </c>
    </row>
    <row r="295" spans="1:30" s="1" customFormat="1" ht="17.100000000000001" customHeight="1">
      <c r="A295" s="2">
        <v>293</v>
      </c>
      <c r="B295" s="3" t="s">
        <v>635</v>
      </c>
      <c r="C295" s="3" t="s">
        <v>636</v>
      </c>
      <c r="D295" s="4"/>
      <c r="E295" s="4"/>
      <c r="F295" s="4"/>
      <c r="G295" s="4">
        <v>28</v>
      </c>
      <c r="H295" s="4">
        <v>22</v>
      </c>
      <c r="I295" s="4">
        <v>28</v>
      </c>
      <c r="J295" s="5">
        <f t="shared" si="81"/>
        <v>1.7247999999999999E-2</v>
      </c>
      <c r="K295" s="6">
        <v>1</v>
      </c>
      <c r="L295" s="6">
        <v>50</v>
      </c>
      <c r="M295" s="7">
        <f t="shared" si="73"/>
        <v>50</v>
      </c>
      <c r="N295" s="8"/>
      <c r="O295" s="6"/>
      <c r="P295" s="6">
        <f t="shared" si="74"/>
        <v>0</v>
      </c>
      <c r="Q295" s="8">
        <f t="shared" si="75"/>
        <v>0</v>
      </c>
      <c r="R295" s="6">
        <v>4.0999999999999996</v>
      </c>
      <c r="S295" s="6" t="s">
        <v>80</v>
      </c>
      <c r="T295" s="6"/>
      <c r="U295" s="6"/>
      <c r="V295" s="6"/>
      <c r="W295" s="9"/>
      <c r="X295" s="6" t="s">
        <v>634</v>
      </c>
      <c r="Y295" s="9">
        <f t="shared" si="76"/>
        <v>0</v>
      </c>
      <c r="Z295" s="10">
        <f t="shared" si="77"/>
        <v>0</v>
      </c>
      <c r="AA295" s="10">
        <f t="shared" si="78"/>
        <v>0</v>
      </c>
      <c r="AB295" s="11">
        <f t="shared" si="79"/>
        <v>0</v>
      </c>
      <c r="AC295" s="11">
        <f t="shared" si="80"/>
        <v>0</v>
      </c>
      <c r="AD295" s="11" t="s">
        <v>59</v>
      </c>
    </row>
    <row r="296" spans="1:30" s="1" customFormat="1" ht="17.100000000000001" customHeight="1">
      <c r="A296" s="2">
        <v>294</v>
      </c>
      <c r="B296" s="3" t="s">
        <v>637</v>
      </c>
      <c r="C296" s="3" t="s">
        <v>637</v>
      </c>
      <c r="D296" s="4"/>
      <c r="E296" s="4"/>
      <c r="F296" s="4"/>
      <c r="G296" s="4"/>
      <c r="H296" s="4"/>
      <c r="I296" s="4"/>
      <c r="J296" s="5">
        <f t="shared" ref="J296:J351" si="82">(G296*H296*I296)/1000000</f>
        <v>0</v>
      </c>
      <c r="K296" s="6"/>
      <c r="L296" s="6"/>
      <c r="M296" s="7">
        <f t="shared" ref="M296:M341" si="83">K296*L296</f>
        <v>0</v>
      </c>
      <c r="N296" s="8"/>
      <c r="O296" s="6"/>
      <c r="P296" s="6">
        <f t="shared" ref="P296:P341" si="84">N296*O296</f>
        <v>0</v>
      </c>
      <c r="Q296" s="8">
        <f t="shared" ref="Q296:Q341" si="85">M296*P296</f>
        <v>0</v>
      </c>
      <c r="R296" s="6"/>
      <c r="S296" s="6" t="s">
        <v>80</v>
      </c>
      <c r="T296" s="6"/>
      <c r="U296" s="6"/>
      <c r="V296" s="6"/>
      <c r="W296" s="9"/>
      <c r="X296" s="6"/>
      <c r="Y296" s="9" t="e">
        <f t="shared" ref="Y296:Y333" si="86">R296/M296*W296</f>
        <v>#DIV/0!</v>
      </c>
      <c r="Z296" s="10" t="e">
        <f t="shared" ref="Z296:Z333" si="87">(G296*H296*I296/4000)*(W296/M296)</f>
        <v>#DIV/0!</v>
      </c>
      <c r="AA296" s="10" t="e">
        <f t="shared" ref="AA296:AA333" si="88">(G296*H296*I296/6000)*(W296/M296)</f>
        <v>#DIV/0!</v>
      </c>
      <c r="AB296" s="11" t="e">
        <f t="shared" ref="AB296:AB333" si="89">(G296*H296*I296/1000000)*(W296/M296)</f>
        <v>#DIV/0!</v>
      </c>
      <c r="AC296" s="11" t="e">
        <f t="shared" ref="AC296:AC333" si="90">ROUNDUP(W296/M296,0)</f>
        <v>#DIV/0!</v>
      </c>
      <c r="AD296" s="11" t="s">
        <v>59</v>
      </c>
    </row>
    <row r="297" spans="1:30" s="1" customFormat="1" ht="17.100000000000001" customHeight="1">
      <c r="A297" s="2">
        <v>295</v>
      </c>
      <c r="B297" s="3" t="s">
        <v>638</v>
      </c>
      <c r="C297" s="3" t="s">
        <v>639</v>
      </c>
      <c r="D297" s="4"/>
      <c r="E297" s="4"/>
      <c r="F297" s="4"/>
      <c r="G297" s="4"/>
      <c r="H297" s="4"/>
      <c r="I297" s="4"/>
      <c r="J297" s="5">
        <f t="shared" si="82"/>
        <v>0</v>
      </c>
      <c r="K297" s="6"/>
      <c r="L297" s="6"/>
      <c r="M297" s="7">
        <f t="shared" si="83"/>
        <v>0</v>
      </c>
      <c r="N297" s="8"/>
      <c r="O297" s="6"/>
      <c r="P297" s="6">
        <f t="shared" si="84"/>
        <v>0</v>
      </c>
      <c r="Q297" s="8">
        <f t="shared" si="85"/>
        <v>0</v>
      </c>
      <c r="R297" s="6"/>
      <c r="S297" s="6" t="s">
        <v>80</v>
      </c>
      <c r="T297" s="6"/>
      <c r="U297" s="6"/>
      <c r="V297" s="6"/>
      <c r="W297" s="9"/>
      <c r="X297" s="6"/>
      <c r="Y297" s="9" t="e">
        <f t="shared" si="86"/>
        <v>#DIV/0!</v>
      </c>
      <c r="Z297" s="10" t="e">
        <f t="shared" si="87"/>
        <v>#DIV/0!</v>
      </c>
      <c r="AA297" s="10" t="e">
        <f t="shared" si="88"/>
        <v>#DIV/0!</v>
      </c>
      <c r="AB297" s="11" t="e">
        <f t="shared" si="89"/>
        <v>#DIV/0!</v>
      </c>
      <c r="AC297" s="11" t="e">
        <f t="shared" si="90"/>
        <v>#DIV/0!</v>
      </c>
      <c r="AD297" s="11" t="s">
        <v>59</v>
      </c>
    </row>
    <row r="298" spans="1:30" s="1" customFormat="1" ht="17.100000000000001" customHeight="1">
      <c r="A298" s="2">
        <v>296</v>
      </c>
      <c r="B298" s="3" t="s">
        <v>640</v>
      </c>
      <c r="C298" s="3" t="s">
        <v>640</v>
      </c>
      <c r="D298" s="4"/>
      <c r="E298" s="4"/>
      <c r="F298" s="4"/>
      <c r="G298" s="4"/>
      <c r="H298" s="4"/>
      <c r="I298" s="4"/>
      <c r="J298" s="5">
        <f t="shared" si="82"/>
        <v>0</v>
      </c>
      <c r="K298" s="6"/>
      <c r="L298" s="6"/>
      <c r="M298" s="7">
        <f t="shared" si="83"/>
        <v>0</v>
      </c>
      <c r="N298" s="8"/>
      <c r="O298" s="6"/>
      <c r="P298" s="6">
        <f t="shared" si="84"/>
        <v>0</v>
      </c>
      <c r="Q298" s="8">
        <f t="shared" si="85"/>
        <v>0</v>
      </c>
      <c r="R298" s="6"/>
      <c r="S298" s="6" t="s">
        <v>80</v>
      </c>
      <c r="T298" s="6"/>
      <c r="U298" s="6"/>
      <c r="V298" s="6"/>
      <c r="W298" s="9"/>
      <c r="X298" s="6"/>
      <c r="Y298" s="9" t="e">
        <f t="shared" si="86"/>
        <v>#DIV/0!</v>
      </c>
      <c r="Z298" s="10" t="e">
        <f t="shared" si="87"/>
        <v>#DIV/0!</v>
      </c>
      <c r="AA298" s="10" t="e">
        <f t="shared" si="88"/>
        <v>#DIV/0!</v>
      </c>
      <c r="AB298" s="11" t="e">
        <f t="shared" si="89"/>
        <v>#DIV/0!</v>
      </c>
      <c r="AC298" s="11" t="e">
        <f t="shared" si="90"/>
        <v>#DIV/0!</v>
      </c>
      <c r="AD298" s="11" t="s">
        <v>59</v>
      </c>
    </row>
    <row r="299" spans="1:30" s="1" customFormat="1" ht="17.100000000000001" customHeight="1">
      <c r="A299" s="2">
        <v>297</v>
      </c>
      <c r="B299" s="3" t="s">
        <v>641</v>
      </c>
      <c r="C299" s="3" t="s">
        <v>642</v>
      </c>
      <c r="D299" s="4"/>
      <c r="E299" s="4"/>
      <c r="F299" s="4"/>
      <c r="G299" s="4"/>
      <c r="H299" s="4"/>
      <c r="I299" s="4"/>
      <c r="J299" s="5">
        <f t="shared" si="82"/>
        <v>0</v>
      </c>
      <c r="K299" s="6"/>
      <c r="L299" s="6"/>
      <c r="M299" s="7">
        <f t="shared" si="83"/>
        <v>0</v>
      </c>
      <c r="N299" s="8"/>
      <c r="O299" s="6"/>
      <c r="P299" s="6">
        <f t="shared" si="84"/>
        <v>0</v>
      </c>
      <c r="Q299" s="8">
        <f t="shared" si="85"/>
        <v>0</v>
      </c>
      <c r="R299" s="6"/>
      <c r="S299" s="6" t="s">
        <v>80</v>
      </c>
      <c r="T299" s="6"/>
      <c r="U299" s="6"/>
      <c r="V299" s="6"/>
      <c r="W299" s="9"/>
      <c r="X299" s="6"/>
      <c r="Y299" s="9" t="e">
        <f t="shared" si="86"/>
        <v>#DIV/0!</v>
      </c>
      <c r="Z299" s="10" t="e">
        <f t="shared" si="87"/>
        <v>#DIV/0!</v>
      </c>
      <c r="AA299" s="10" t="e">
        <f t="shared" si="88"/>
        <v>#DIV/0!</v>
      </c>
      <c r="AB299" s="11" t="e">
        <f t="shared" si="89"/>
        <v>#DIV/0!</v>
      </c>
      <c r="AC299" s="11" t="e">
        <f t="shared" si="90"/>
        <v>#DIV/0!</v>
      </c>
      <c r="AD299" s="11" t="s">
        <v>59</v>
      </c>
    </row>
    <row r="300" spans="1:30" s="1" customFormat="1" ht="17.100000000000001" customHeight="1">
      <c r="A300" s="2">
        <v>298</v>
      </c>
      <c r="B300" s="3" t="s">
        <v>643</v>
      </c>
      <c r="C300" s="3" t="s">
        <v>644</v>
      </c>
      <c r="D300" s="4"/>
      <c r="E300" s="4"/>
      <c r="F300" s="4"/>
      <c r="G300" s="4"/>
      <c r="H300" s="4"/>
      <c r="I300" s="4"/>
      <c r="J300" s="5">
        <f t="shared" si="82"/>
        <v>0</v>
      </c>
      <c r="K300" s="6"/>
      <c r="L300" s="6"/>
      <c r="M300" s="7">
        <f t="shared" si="83"/>
        <v>0</v>
      </c>
      <c r="N300" s="8"/>
      <c r="O300" s="6"/>
      <c r="P300" s="6">
        <f t="shared" si="84"/>
        <v>0</v>
      </c>
      <c r="Q300" s="8">
        <f t="shared" si="85"/>
        <v>0</v>
      </c>
      <c r="R300" s="6"/>
      <c r="S300" s="6" t="s">
        <v>80</v>
      </c>
      <c r="T300" s="6"/>
      <c r="U300" s="6"/>
      <c r="V300" s="6"/>
      <c r="W300" s="9"/>
      <c r="X300" s="6"/>
      <c r="Y300" s="9" t="e">
        <f t="shared" si="86"/>
        <v>#DIV/0!</v>
      </c>
      <c r="Z300" s="10" t="e">
        <f t="shared" si="87"/>
        <v>#DIV/0!</v>
      </c>
      <c r="AA300" s="10" t="e">
        <f t="shared" si="88"/>
        <v>#DIV/0!</v>
      </c>
      <c r="AB300" s="11" t="e">
        <f t="shared" si="89"/>
        <v>#DIV/0!</v>
      </c>
      <c r="AC300" s="11" t="e">
        <f t="shared" si="90"/>
        <v>#DIV/0!</v>
      </c>
      <c r="AD300" s="11" t="s">
        <v>59</v>
      </c>
    </row>
    <row r="301" spans="1:30" s="1" customFormat="1" ht="17.100000000000001" customHeight="1">
      <c r="A301" s="2">
        <v>299</v>
      </c>
      <c r="B301" s="3" t="s">
        <v>645</v>
      </c>
      <c r="C301" s="3" t="s">
        <v>646</v>
      </c>
      <c r="D301" s="4"/>
      <c r="E301" s="4"/>
      <c r="F301" s="4"/>
      <c r="G301" s="4"/>
      <c r="H301" s="4"/>
      <c r="I301" s="4"/>
      <c r="J301" s="5">
        <f t="shared" si="82"/>
        <v>0</v>
      </c>
      <c r="K301" s="6"/>
      <c r="L301" s="6"/>
      <c r="M301" s="7">
        <f t="shared" si="83"/>
        <v>0</v>
      </c>
      <c r="N301" s="8"/>
      <c r="O301" s="6"/>
      <c r="P301" s="6">
        <f t="shared" si="84"/>
        <v>0</v>
      </c>
      <c r="Q301" s="8">
        <f t="shared" si="85"/>
        <v>0</v>
      </c>
      <c r="R301" s="6"/>
      <c r="S301" s="6" t="s">
        <v>80</v>
      </c>
      <c r="T301" s="6"/>
      <c r="U301" s="6"/>
      <c r="V301" s="6"/>
      <c r="W301" s="9"/>
      <c r="X301" s="6"/>
      <c r="Y301" s="9" t="e">
        <f t="shared" si="86"/>
        <v>#DIV/0!</v>
      </c>
      <c r="Z301" s="10" t="e">
        <f t="shared" si="87"/>
        <v>#DIV/0!</v>
      </c>
      <c r="AA301" s="10" t="e">
        <f t="shared" si="88"/>
        <v>#DIV/0!</v>
      </c>
      <c r="AB301" s="11" t="e">
        <f t="shared" si="89"/>
        <v>#DIV/0!</v>
      </c>
      <c r="AC301" s="11" t="e">
        <f t="shared" si="90"/>
        <v>#DIV/0!</v>
      </c>
      <c r="AD301" s="11" t="s">
        <v>59</v>
      </c>
    </row>
    <row r="302" spans="1:30" s="1" customFormat="1" ht="17.100000000000001" customHeight="1">
      <c r="A302" s="2">
        <v>300</v>
      </c>
      <c r="B302" s="3" t="s">
        <v>647</v>
      </c>
      <c r="C302" s="3" t="s">
        <v>647</v>
      </c>
      <c r="D302" s="4"/>
      <c r="E302" s="4"/>
      <c r="F302" s="4"/>
      <c r="G302" s="4"/>
      <c r="H302" s="4"/>
      <c r="I302" s="4"/>
      <c r="J302" s="5">
        <f t="shared" si="82"/>
        <v>0</v>
      </c>
      <c r="K302" s="6"/>
      <c r="L302" s="6"/>
      <c r="M302" s="7">
        <f t="shared" si="83"/>
        <v>0</v>
      </c>
      <c r="N302" s="8"/>
      <c r="O302" s="6"/>
      <c r="P302" s="6">
        <f t="shared" si="84"/>
        <v>0</v>
      </c>
      <c r="Q302" s="8">
        <f t="shared" si="85"/>
        <v>0</v>
      </c>
      <c r="R302" s="6"/>
      <c r="S302" s="6" t="s">
        <v>80</v>
      </c>
      <c r="T302" s="6"/>
      <c r="U302" s="6"/>
      <c r="V302" s="6"/>
      <c r="W302" s="9"/>
      <c r="X302" s="6"/>
      <c r="Y302" s="9" t="e">
        <f t="shared" si="86"/>
        <v>#DIV/0!</v>
      </c>
      <c r="Z302" s="10" t="e">
        <f t="shared" si="87"/>
        <v>#DIV/0!</v>
      </c>
      <c r="AA302" s="10" t="e">
        <f t="shared" si="88"/>
        <v>#DIV/0!</v>
      </c>
      <c r="AB302" s="11" t="e">
        <f t="shared" si="89"/>
        <v>#DIV/0!</v>
      </c>
      <c r="AC302" s="11" t="e">
        <f t="shared" si="90"/>
        <v>#DIV/0!</v>
      </c>
      <c r="AD302" s="11" t="s">
        <v>59</v>
      </c>
    </row>
    <row r="303" spans="1:30" s="1" customFormat="1" ht="17.100000000000001" customHeight="1">
      <c r="A303" s="2">
        <v>301</v>
      </c>
      <c r="B303" s="3" t="s">
        <v>648</v>
      </c>
      <c r="C303" s="3" t="s">
        <v>649</v>
      </c>
      <c r="D303" s="4"/>
      <c r="E303" s="4"/>
      <c r="F303" s="4"/>
      <c r="G303" s="4"/>
      <c r="H303" s="4"/>
      <c r="I303" s="4"/>
      <c r="J303" s="5">
        <f t="shared" si="82"/>
        <v>0</v>
      </c>
      <c r="K303" s="6"/>
      <c r="L303" s="6"/>
      <c r="M303" s="7">
        <f t="shared" si="83"/>
        <v>0</v>
      </c>
      <c r="N303" s="8"/>
      <c r="O303" s="6"/>
      <c r="P303" s="6">
        <f t="shared" si="84"/>
        <v>0</v>
      </c>
      <c r="Q303" s="8">
        <f t="shared" si="85"/>
        <v>0</v>
      </c>
      <c r="R303" s="6"/>
      <c r="S303" s="6" t="s">
        <v>80</v>
      </c>
      <c r="T303" s="6"/>
      <c r="U303" s="6"/>
      <c r="V303" s="6"/>
      <c r="W303" s="9"/>
      <c r="X303" s="6"/>
      <c r="Y303" s="9" t="e">
        <f t="shared" si="86"/>
        <v>#DIV/0!</v>
      </c>
      <c r="Z303" s="10" t="e">
        <f t="shared" si="87"/>
        <v>#DIV/0!</v>
      </c>
      <c r="AA303" s="10" t="e">
        <f t="shared" si="88"/>
        <v>#DIV/0!</v>
      </c>
      <c r="AB303" s="11" t="e">
        <f t="shared" si="89"/>
        <v>#DIV/0!</v>
      </c>
      <c r="AC303" s="11" t="e">
        <f t="shared" si="90"/>
        <v>#DIV/0!</v>
      </c>
      <c r="AD303" s="11" t="s">
        <v>59</v>
      </c>
    </row>
    <row r="304" spans="1:30" s="1" customFormat="1" ht="17.100000000000001" customHeight="1">
      <c r="A304" s="2">
        <v>302</v>
      </c>
      <c r="B304" s="3" t="s">
        <v>650</v>
      </c>
      <c r="C304" s="3" t="s">
        <v>651</v>
      </c>
      <c r="D304" s="4"/>
      <c r="E304" s="4"/>
      <c r="F304" s="4"/>
      <c r="G304" s="4"/>
      <c r="H304" s="4"/>
      <c r="I304" s="4"/>
      <c r="J304" s="5">
        <f t="shared" si="82"/>
        <v>0</v>
      </c>
      <c r="K304" s="6"/>
      <c r="L304" s="6"/>
      <c r="M304" s="7">
        <f t="shared" si="83"/>
        <v>0</v>
      </c>
      <c r="N304" s="8"/>
      <c r="O304" s="6"/>
      <c r="P304" s="6">
        <f t="shared" si="84"/>
        <v>0</v>
      </c>
      <c r="Q304" s="8">
        <f t="shared" si="85"/>
        <v>0</v>
      </c>
      <c r="R304" s="6"/>
      <c r="S304" s="6" t="s">
        <v>80</v>
      </c>
      <c r="T304" s="6"/>
      <c r="U304" s="6"/>
      <c r="V304" s="6"/>
      <c r="W304" s="9"/>
      <c r="X304" s="6"/>
      <c r="Y304" s="9" t="e">
        <f t="shared" si="86"/>
        <v>#DIV/0!</v>
      </c>
      <c r="Z304" s="10" t="e">
        <f t="shared" si="87"/>
        <v>#DIV/0!</v>
      </c>
      <c r="AA304" s="10" t="e">
        <f t="shared" si="88"/>
        <v>#DIV/0!</v>
      </c>
      <c r="AB304" s="11" t="e">
        <f t="shared" si="89"/>
        <v>#DIV/0!</v>
      </c>
      <c r="AC304" s="11" t="e">
        <f t="shared" si="90"/>
        <v>#DIV/0!</v>
      </c>
      <c r="AD304" s="11" t="s">
        <v>59</v>
      </c>
    </row>
    <row r="305" spans="1:30" s="1" customFormat="1" ht="17.100000000000001" customHeight="1">
      <c r="A305" s="2">
        <v>303</v>
      </c>
      <c r="B305" s="3" t="s">
        <v>652</v>
      </c>
      <c r="C305" s="3" t="s">
        <v>653</v>
      </c>
      <c r="D305" s="4"/>
      <c r="E305" s="4"/>
      <c r="F305" s="4"/>
      <c r="G305" s="4"/>
      <c r="H305" s="4"/>
      <c r="I305" s="4"/>
      <c r="J305" s="5">
        <f t="shared" si="82"/>
        <v>0</v>
      </c>
      <c r="K305" s="6"/>
      <c r="L305" s="6"/>
      <c r="M305" s="7">
        <f t="shared" si="83"/>
        <v>0</v>
      </c>
      <c r="N305" s="8"/>
      <c r="O305" s="6"/>
      <c r="P305" s="6">
        <f t="shared" si="84"/>
        <v>0</v>
      </c>
      <c r="Q305" s="8">
        <f t="shared" si="85"/>
        <v>0</v>
      </c>
      <c r="R305" s="6"/>
      <c r="S305" s="6" t="s">
        <v>80</v>
      </c>
      <c r="T305" s="6"/>
      <c r="U305" s="6"/>
      <c r="V305" s="6"/>
      <c r="W305" s="9"/>
      <c r="X305" s="6"/>
      <c r="Y305" s="9" t="e">
        <f t="shared" si="86"/>
        <v>#DIV/0!</v>
      </c>
      <c r="Z305" s="10" t="e">
        <f t="shared" si="87"/>
        <v>#DIV/0!</v>
      </c>
      <c r="AA305" s="10" t="e">
        <f t="shared" si="88"/>
        <v>#DIV/0!</v>
      </c>
      <c r="AB305" s="11" t="e">
        <f t="shared" si="89"/>
        <v>#DIV/0!</v>
      </c>
      <c r="AC305" s="11" t="e">
        <f t="shared" si="90"/>
        <v>#DIV/0!</v>
      </c>
      <c r="AD305" s="11" t="s">
        <v>59</v>
      </c>
    </row>
    <row r="306" spans="1:30" s="1" customFormat="1" ht="17.100000000000001" customHeight="1">
      <c r="A306" s="2">
        <v>304</v>
      </c>
      <c r="B306" s="3" t="s">
        <v>654</v>
      </c>
      <c r="C306" s="3" t="s">
        <v>655</v>
      </c>
      <c r="D306" s="4"/>
      <c r="E306" s="4"/>
      <c r="F306" s="4"/>
      <c r="G306" s="4"/>
      <c r="H306" s="4"/>
      <c r="I306" s="4"/>
      <c r="J306" s="5">
        <f t="shared" si="82"/>
        <v>0</v>
      </c>
      <c r="K306" s="6"/>
      <c r="L306" s="6"/>
      <c r="M306" s="7">
        <f t="shared" si="83"/>
        <v>0</v>
      </c>
      <c r="N306" s="8"/>
      <c r="O306" s="6"/>
      <c r="P306" s="6">
        <f t="shared" si="84"/>
        <v>0</v>
      </c>
      <c r="Q306" s="8">
        <f t="shared" si="85"/>
        <v>0</v>
      </c>
      <c r="R306" s="6"/>
      <c r="S306" s="6" t="s">
        <v>80</v>
      </c>
      <c r="T306" s="6"/>
      <c r="U306" s="6"/>
      <c r="V306" s="6"/>
      <c r="W306" s="9"/>
      <c r="X306" s="6"/>
      <c r="Y306" s="9" t="e">
        <f t="shared" si="86"/>
        <v>#DIV/0!</v>
      </c>
      <c r="Z306" s="10" t="e">
        <f t="shared" si="87"/>
        <v>#DIV/0!</v>
      </c>
      <c r="AA306" s="10" t="e">
        <f t="shared" si="88"/>
        <v>#DIV/0!</v>
      </c>
      <c r="AB306" s="11" t="e">
        <f t="shared" si="89"/>
        <v>#DIV/0!</v>
      </c>
      <c r="AC306" s="11" t="e">
        <f t="shared" si="90"/>
        <v>#DIV/0!</v>
      </c>
      <c r="AD306" s="11" t="s">
        <v>59</v>
      </c>
    </row>
    <row r="307" spans="1:30" s="1" customFormat="1" ht="17.100000000000001" customHeight="1">
      <c r="A307" s="2">
        <v>305</v>
      </c>
      <c r="B307" s="3" t="s">
        <v>656</v>
      </c>
      <c r="C307" s="3" t="s">
        <v>657</v>
      </c>
      <c r="D307" s="4"/>
      <c r="E307" s="4"/>
      <c r="F307" s="4"/>
      <c r="G307" s="4"/>
      <c r="H307" s="4"/>
      <c r="I307" s="4"/>
      <c r="J307" s="5">
        <f t="shared" si="82"/>
        <v>0</v>
      </c>
      <c r="K307" s="6"/>
      <c r="L307" s="6"/>
      <c r="M307" s="7">
        <f t="shared" si="83"/>
        <v>0</v>
      </c>
      <c r="N307" s="8"/>
      <c r="O307" s="6"/>
      <c r="P307" s="6">
        <f t="shared" si="84"/>
        <v>0</v>
      </c>
      <c r="Q307" s="8">
        <f t="shared" si="85"/>
        <v>0</v>
      </c>
      <c r="R307" s="6"/>
      <c r="S307" s="6" t="s">
        <v>80</v>
      </c>
      <c r="T307" s="6"/>
      <c r="U307" s="6"/>
      <c r="V307" s="6"/>
      <c r="W307" s="9"/>
      <c r="X307" s="6"/>
      <c r="Y307" s="9" t="e">
        <f t="shared" si="86"/>
        <v>#DIV/0!</v>
      </c>
      <c r="Z307" s="10" t="e">
        <f t="shared" si="87"/>
        <v>#DIV/0!</v>
      </c>
      <c r="AA307" s="10" t="e">
        <f t="shared" si="88"/>
        <v>#DIV/0!</v>
      </c>
      <c r="AB307" s="11" t="e">
        <f t="shared" si="89"/>
        <v>#DIV/0!</v>
      </c>
      <c r="AC307" s="11" t="e">
        <f t="shared" si="90"/>
        <v>#DIV/0!</v>
      </c>
      <c r="AD307" s="11" t="s">
        <v>59</v>
      </c>
    </row>
    <row r="308" spans="1:30" s="1" customFormat="1" ht="17.100000000000001" customHeight="1">
      <c r="A308" s="2">
        <v>306</v>
      </c>
      <c r="B308" s="3" t="s">
        <v>658</v>
      </c>
      <c r="C308" s="3" t="s">
        <v>658</v>
      </c>
      <c r="D308" s="4"/>
      <c r="E308" s="4"/>
      <c r="F308" s="4"/>
      <c r="G308" s="4"/>
      <c r="H308" s="4"/>
      <c r="I308" s="4"/>
      <c r="J308" s="5">
        <f t="shared" si="82"/>
        <v>0</v>
      </c>
      <c r="K308" s="6"/>
      <c r="L308" s="6"/>
      <c r="M308" s="7">
        <f t="shared" si="83"/>
        <v>0</v>
      </c>
      <c r="N308" s="8"/>
      <c r="O308" s="6"/>
      <c r="P308" s="6">
        <f t="shared" si="84"/>
        <v>0</v>
      </c>
      <c r="Q308" s="8">
        <f t="shared" si="85"/>
        <v>0</v>
      </c>
      <c r="R308" s="6"/>
      <c r="S308" s="6" t="s">
        <v>80</v>
      </c>
      <c r="T308" s="6"/>
      <c r="U308" s="6"/>
      <c r="V308" s="6"/>
      <c r="W308" s="9"/>
      <c r="X308" s="6"/>
      <c r="Y308" s="9" t="e">
        <f t="shared" si="86"/>
        <v>#DIV/0!</v>
      </c>
      <c r="Z308" s="10" t="e">
        <f t="shared" si="87"/>
        <v>#DIV/0!</v>
      </c>
      <c r="AA308" s="10" t="e">
        <f t="shared" si="88"/>
        <v>#DIV/0!</v>
      </c>
      <c r="AB308" s="11" t="e">
        <f t="shared" si="89"/>
        <v>#DIV/0!</v>
      </c>
      <c r="AC308" s="11" t="e">
        <f t="shared" si="90"/>
        <v>#DIV/0!</v>
      </c>
      <c r="AD308" s="11" t="s">
        <v>59</v>
      </c>
    </row>
    <row r="309" spans="1:30" s="1" customFormat="1" ht="17.100000000000001" customHeight="1">
      <c r="A309" s="2">
        <v>307</v>
      </c>
      <c r="B309" s="3" t="s">
        <v>659</v>
      </c>
      <c r="C309" s="3" t="s">
        <v>659</v>
      </c>
      <c r="D309" s="4"/>
      <c r="E309" s="4"/>
      <c r="F309" s="4"/>
      <c r="G309" s="4"/>
      <c r="H309" s="4"/>
      <c r="I309" s="4"/>
      <c r="J309" s="5">
        <f t="shared" si="82"/>
        <v>0</v>
      </c>
      <c r="K309" s="6"/>
      <c r="L309" s="6"/>
      <c r="M309" s="7">
        <f t="shared" si="83"/>
        <v>0</v>
      </c>
      <c r="N309" s="8"/>
      <c r="O309" s="6"/>
      <c r="P309" s="6">
        <f t="shared" si="84"/>
        <v>0</v>
      </c>
      <c r="Q309" s="8">
        <f t="shared" si="85"/>
        <v>0</v>
      </c>
      <c r="R309" s="6"/>
      <c r="S309" s="6" t="s">
        <v>80</v>
      </c>
      <c r="T309" s="6"/>
      <c r="U309" s="6"/>
      <c r="V309" s="6"/>
      <c r="W309" s="9"/>
      <c r="X309" s="6"/>
      <c r="Y309" s="9" t="e">
        <f t="shared" si="86"/>
        <v>#DIV/0!</v>
      </c>
      <c r="Z309" s="10" t="e">
        <f t="shared" si="87"/>
        <v>#DIV/0!</v>
      </c>
      <c r="AA309" s="10" t="e">
        <f t="shared" si="88"/>
        <v>#DIV/0!</v>
      </c>
      <c r="AB309" s="11" t="e">
        <f t="shared" si="89"/>
        <v>#DIV/0!</v>
      </c>
      <c r="AC309" s="11" t="e">
        <f t="shared" si="90"/>
        <v>#DIV/0!</v>
      </c>
      <c r="AD309" s="11" t="s">
        <v>59</v>
      </c>
    </row>
    <row r="310" spans="1:30" s="1" customFormat="1" ht="17.100000000000001" customHeight="1">
      <c r="A310" s="2">
        <v>308</v>
      </c>
      <c r="B310" s="3" t="s">
        <v>660</v>
      </c>
      <c r="C310" s="3" t="s">
        <v>661</v>
      </c>
      <c r="D310" s="4">
        <v>13.5</v>
      </c>
      <c r="E310" s="4">
        <v>6</v>
      </c>
      <c r="F310" s="4">
        <v>5</v>
      </c>
      <c r="G310" s="4">
        <v>56</v>
      </c>
      <c r="H310" s="4">
        <v>32</v>
      </c>
      <c r="I310" s="4">
        <v>27.5</v>
      </c>
      <c r="J310" s="5">
        <f t="shared" si="82"/>
        <v>4.9279999999999997E-2</v>
      </c>
      <c r="K310" s="6">
        <v>10</v>
      </c>
      <c r="L310" s="6">
        <v>100</v>
      </c>
      <c r="M310" s="7">
        <f t="shared" si="83"/>
        <v>1000</v>
      </c>
      <c r="N310" s="8">
        <v>5</v>
      </c>
      <c r="O310" s="6">
        <v>5</v>
      </c>
      <c r="P310" s="6">
        <f t="shared" si="84"/>
        <v>25</v>
      </c>
      <c r="Q310" s="8">
        <f t="shared" si="85"/>
        <v>25000</v>
      </c>
      <c r="R310" s="6">
        <v>16.5</v>
      </c>
      <c r="S310" s="6" t="s">
        <v>57</v>
      </c>
      <c r="T310" s="6"/>
      <c r="U310" s="6"/>
      <c r="V310" s="6"/>
      <c r="W310" s="9"/>
      <c r="X310" s="6"/>
      <c r="Y310" s="9">
        <f t="shared" si="86"/>
        <v>0</v>
      </c>
      <c r="Z310" s="10">
        <f t="shared" si="87"/>
        <v>0</v>
      </c>
      <c r="AA310" s="10">
        <f t="shared" si="88"/>
        <v>0</v>
      </c>
      <c r="AB310" s="11">
        <f t="shared" si="89"/>
        <v>0</v>
      </c>
      <c r="AC310" s="11">
        <f t="shared" si="90"/>
        <v>0</v>
      </c>
      <c r="AD310" s="11" t="s">
        <v>59</v>
      </c>
    </row>
    <row r="311" spans="1:30" s="1" customFormat="1" ht="17.100000000000001" customHeight="1">
      <c r="A311" s="2">
        <v>309</v>
      </c>
      <c r="B311" s="3" t="s">
        <v>662</v>
      </c>
      <c r="C311" s="3" t="s">
        <v>663</v>
      </c>
      <c r="D311" s="4"/>
      <c r="E311" s="4"/>
      <c r="F311" s="4"/>
      <c r="G311" s="4"/>
      <c r="H311" s="4"/>
      <c r="I311" s="4"/>
      <c r="J311" s="5">
        <f t="shared" si="82"/>
        <v>0</v>
      </c>
      <c r="K311" s="6"/>
      <c r="L311" s="6"/>
      <c r="M311" s="7">
        <f t="shared" si="83"/>
        <v>0</v>
      </c>
      <c r="N311" s="8"/>
      <c r="O311" s="6"/>
      <c r="P311" s="6">
        <f t="shared" si="84"/>
        <v>0</v>
      </c>
      <c r="Q311" s="8">
        <f t="shared" si="85"/>
        <v>0</v>
      </c>
      <c r="R311" s="6"/>
      <c r="S311" s="6" t="s">
        <v>80</v>
      </c>
      <c r="T311" s="6"/>
      <c r="U311" s="6"/>
      <c r="V311" s="6"/>
      <c r="W311" s="9"/>
      <c r="X311" s="6"/>
      <c r="Y311" s="9" t="e">
        <f t="shared" si="86"/>
        <v>#DIV/0!</v>
      </c>
      <c r="Z311" s="10" t="e">
        <f t="shared" si="87"/>
        <v>#DIV/0!</v>
      </c>
      <c r="AA311" s="10" t="e">
        <f t="shared" si="88"/>
        <v>#DIV/0!</v>
      </c>
      <c r="AB311" s="11" t="e">
        <f t="shared" si="89"/>
        <v>#DIV/0!</v>
      </c>
      <c r="AC311" s="11" t="e">
        <f t="shared" si="90"/>
        <v>#DIV/0!</v>
      </c>
      <c r="AD311" s="11" t="s">
        <v>59</v>
      </c>
    </row>
    <row r="312" spans="1:30" s="1" customFormat="1" ht="17.100000000000001" customHeight="1">
      <c r="A312" s="2">
        <v>310</v>
      </c>
      <c r="B312" s="3" t="s">
        <v>664</v>
      </c>
      <c r="C312" s="3" t="s">
        <v>665</v>
      </c>
      <c r="D312" s="4"/>
      <c r="E312" s="4"/>
      <c r="F312" s="4"/>
      <c r="G312" s="4"/>
      <c r="H312" s="4"/>
      <c r="I312" s="4"/>
      <c r="J312" s="5">
        <f t="shared" si="82"/>
        <v>0</v>
      </c>
      <c r="K312" s="6"/>
      <c r="L312" s="6"/>
      <c r="M312" s="7">
        <f t="shared" si="83"/>
        <v>0</v>
      </c>
      <c r="N312" s="8"/>
      <c r="O312" s="6"/>
      <c r="P312" s="6">
        <f t="shared" si="84"/>
        <v>0</v>
      </c>
      <c r="Q312" s="8">
        <f t="shared" si="85"/>
        <v>0</v>
      </c>
      <c r="R312" s="6"/>
      <c r="S312" s="6" t="s">
        <v>80</v>
      </c>
      <c r="T312" s="6"/>
      <c r="U312" s="6"/>
      <c r="V312" s="6"/>
      <c r="W312" s="9"/>
      <c r="X312" s="6"/>
      <c r="Y312" s="9" t="e">
        <f t="shared" si="86"/>
        <v>#DIV/0!</v>
      </c>
      <c r="Z312" s="10" t="e">
        <f t="shared" si="87"/>
        <v>#DIV/0!</v>
      </c>
      <c r="AA312" s="10" t="e">
        <f t="shared" si="88"/>
        <v>#DIV/0!</v>
      </c>
      <c r="AB312" s="11" t="e">
        <f t="shared" si="89"/>
        <v>#DIV/0!</v>
      </c>
      <c r="AC312" s="11" t="e">
        <f t="shared" si="90"/>
        <v>#DIV/0!</v>
      </c>
      <c r="AD312" s="11" t="s">
        <v>59</v>
      </c>
    </row>
    <row r="313" spans="1:30" s="1" customFormat="1" ht="17.100000000000001" customHeight="1">
      <c r="A313" s="2">
        <v>311</v>
      </c>
      <c r="B313" s="3" t="s">
        <v>666</v>
      </c>
      <c r="C313" s="3" t="s">
        <v>666</v>
      </c>
      <c r="D313" s="4"/>
      <c r="E313" s="4"/>
      <c r="F313" s="4"/>
      <c r="G313" s="4"/>
      <c r="H313" s="4"/>
      <c r="I313" s="4"/>
      <c r="J313" s="5">
        <f t="shared" si="82"/>
        <v>0</v>
      </c>
      <c r="K313" s="6"/>
      <c r="L313" s="6"/>
      <c r="M313" s="7">
        <f t="shared" si="83"/>
        <v>0</v>
      </c>
      <c r="N313" s="8"/>
      <c r="O313" s="6"/>
      <c r="P313" s="6">
        <f t="shared" si="84"/>
        <v>0</v>
      </c>
      <c r="Q313" s="8">
        <f t="shared" si="85"/>
        <v>0</v>
      </c>
      <c r="R313" s="6"/>
      <c r="S313" s="6" t="s">
        <v>80</v>
      </c>
      <c r="T313" s="6"/>
      <c r="U313" s="6"/>
      <c r="V313" s="6"/>
      <c r="W313" s="9"/>
      <c r="X313" s="6"/>
      <c r="Y313" s="9" t="e">
        <f t="shared" si="86"/>
        <v>#DIV/0!</v>
      </c>
      <c r="Z313" s="10" t="e">
        <f t="shared" si="87"/>
        <v>#DIV/0!</v>
      </c>
      <c r="AA313" s="10" t="e">
        <f t="shared" si="88"/>
        <v>#DIV/0!</v>
      </c>
      <c r="AB313" s="11" t="e">
        <f t="shared" si="89"/>
        <v>#DIV/0!</v>
      </c>
      <c r="AC313" s="11" t="e">
        <f t="shared" si="90"/>
        <v>#DIV/0!</v>
      </c>
      <c r="AD313" s="11" t="s">
        <v>59</v>
      </c>
    </row>
    <row r="314" spans="1:30" s="1" customFormat="1" ht="17.100000000000001" customHeight="1">
      <c r="A314" s="2">
        <v>312</v>
      </c>
      <c r="B314" s="3" t="s">
        <v>667</v>
      </c>
      <c r="C314" s="3" t="s">
        <v>667</v>
      </c>
      <c r="D314" s="4"/>
      <c r="E314" s="4"/>
      <c r="F314" s="4"/>
      <c r="G314" s="4"/>
      <c r="H314" s="4"/>
      <c r="I314" s="4"/>
      <c r="J314" s="5">
        <f t="shared" si="82"/>
        <v>0</v>
      </c>
      <c r="K314" s="6"/>
      <c r="L314" s="6"/>
      <c r="M314" s="7">
        <f t="shared" si="83"/>
        <v>0</v>
      </c>
      <c r="N314" s="8"/>
      <c r="O314" s="6"/>
      <c r="P314" s="6">
        <f t="shared" si="84"/>
        <v>0</v>
      </c>
      <c r="Q314" s="8">
        <f t="shared" si="85"/>
        <v>0</v>
      </c>
      <c r="R314" s="6"/>
      <c r="S314" s="6" t="s">
        <v>80</v>
      </c>
      <c r="T314" s="6"/>
      <c r="U314" s="6"/>
      <c r="V314" s="6"/>
      <c r="W314" s="9"/>
      <c r="X314" s="6"/>
      <c r="Y314" s="9" t="e">
        <f t="shared" si="86"/>
        <v>#DIV/0!</v>
      </c>
      <c r="Z314" s="10" t="e">
        <f t="shared" si="87"/>
        <v>#DIV/0!</v>
      </c>
      <c r="AA314" s="10" t="e">
        <f t="shared" si="88"/>
        <v>#DIV/0!</v>
      </c>
      <c r="AB314" s="11" t="e">
        <f t="shared" si="89"/>
        <v>#DIV/0!</v>
      </c>
      <c r="AC314" s="11" t="e">
        <f t="shared" si="90"/>
        <v>#DIV/0!</v>
      </c>
      <c r="AD314" s="11" t="s">
        <v>59</v>
      </c>
    </row>
    <row r="315" spans="1:30" s="1" customFormat="1" ht="17.100000000000001" customHeight="1">
      <c r="A315" s="2">
        <v>313</v>
      </c>
      <c r="B315" s="3" t="s">
        <v>668</v>
      </c>
      <c r="C315" s="3" t="s">
        <v>668</v>
      </c>
      <c r="D315" s="4"/>
      <c r="E315" s="4"/>
      <c r="F315" s="4"/>
      <c r="G315" s="4"/>
      <c r="H315" s="4"/>
      <c r="I315" s="4"/>
      <c r="J315" s="5">
        <f t="shared" si="82"/>
        <v>0</v>
      </c>
      <c r="K315" s="6"/>
      <c r="L315" s="6"/>
      <c r="M315" s="7">
        <f t="shared" si="83"/>
        <v>0</v>
      </c>
      <c r="N315" s="8"/>
      <c r="O315" s="6"/>
      <c r="P315" s="6">
        <f t="shared" si="84"/>
        <v>0</v>
      </c>
      <c r="Q315" s="8">
        <f t="shared" si="85"/>
        <v>0</v>
      </c>
      <c r="R315" s="6"/>
      <c r="S315" s="6" t="s">
        <v>80</v>
      </c>
      <c r="T315" s="6"/>
      <c r="U315" s="6"/>
      <c r="V315" s="6"/>
      <c r="W315" s="9"/>
      <c r="X315" s="6"/>
      <c r="Y315" s="9" t="e">
        <f t="shared" si="86"/>
        <v>#DIV/0!</v>
      </c>
      <c r="Z315" s="10" t="e">
        <f t="shared" si="87"/>
        <v>#DIV/0!</v>
      </c>
      <c r="AA315" s="10" t="e">
        <f t="shared" si="88"/>
        <v>#DIV/0!</v>
      </c>
      <c r="AB315" s="11" t="e">
        <f t="shared" si="89"/>
        <v>#DIV/0!</v>
      </c>
      <c r="AC315" s="11" t="e">
        <f t="shared" si="90"/>
        <v>#DIV/0!</v>
      </c>
      <c r="AD315" s="11" t="s">
        <v>59</v>
      </c>
    </row>
    <row r="316" spans="1:30" s="1" customFormat="1" ht="17.100000000000001" customHeight="1">
      <c r="A316" s="2">
        <v>314</v>
      </c>
      <c r="B316" s="3" t="s">
        <v>669</v>
      </c>
      <c r="C316" s="3" t="s">
        <v>670</v>
      </c>
      <c r="D316" s="4"/>
      <c r="E316" s="4"/>
      <c r="F316" s="4"/>
      <c r="G316" s="4"/>
      <c r="H316" s="4"/>
      <c r="I316" s="4"/>
      <c r="J316" s="5">
        <f t="shared" si="82"/>
        <v>0</v>
      </c>
      <c r="K316" s="6"/>
      <c r="L316" s="6"/>
      <c r="M316" s="7">
        <f t="shared" si="83"/>
        <v>0</v>
      </c>
      <c r="N316" s="8"/>
      <c r="O316" s="6"/>
      <c r="P316" s="6">
        <f t="shared" si="84"/>
        <v>0</v>
      </c>
      <c r="Q316" s="8">
        <f t="shared" si="85"/>
        <v>0</v>
      </c>
      <c r="R316" s="6"/>
      <c r="S316" s="6" t="s">
        <v>80</v>
      </c>
      <c r="T316" s="6"/>
      <c r="U316" s="6"/>
      <c r="V316" s="6"/>
      <c r="W316" s="9"/>
      <c r="X316" s="6" t="s">
        <v>634</v>
      </c>
      <c r="Y316" s="9" t="e">
        <f t="shared" si="86"/>
        <v>#DIV/0!</v>
      </c>
      <c r="Z316" s="10" t="e">
        <f t="shared" si="87"/>
        <v>#DIV/0!</v>
      </c>
      <c r="AA316" s="10" t="e">
        <f t="shared" si="88"/>
        <v>#DIV/0!</v>
      </c>
      <c r="AB316" s="11" t="e">
        <f t="shared" si="89"/>
        <v>#DIV/0!</v>
      </c>
      <c r="AC316" s="11" t="e">
        <f t="shared" si="90"/>
        <v>#DIV/0!</v>
      </c>
      <c r="AD316" s="11" t="s">
        <v>59</v>
      </c>
    </row>
    <row r="317" spans="1:30" s="1" customFormat="1" ht="17.100000000000001" customHeight="1">
      <c r="A317" s="2">
        <v>315</v>
      </c>
      <c r="B317" s="3" t="s">
        <v>671</v>
      </c>
      <c r="C317" s="3" t="s">
        <v>672</v>
      </c>
      <c r="D317" s="4"/>
      <c r="E317" s="4"/>
      <c r="F317" s="4"/>
      <c r="G317" s="4"/>
      <c r="H317" s="4"/>
      <c r="I317" s="4"/>
      <c r="J317" s="5">
        <f t="shared" si="82"/>
        <v>0</v>
      </c>
      <c r="K317" s="6"/>
      <c r="L317" s="6"/>
      <c r="M317" s="7">
        <f t="shared" si="83"/>
        <v>0</v>
      </c>
      <c r="N317" s="8"/>
      <c r="O317" s="6"/>
      <c r="P317" s="6">
        <f t="shared" si="84"/>
        <v>0</v>
      </c>
      <c r="Q317" s="8">
        <f t="shared" si="85"/>
        <v>0</v>
      </c>
      <c r="R317" s="6"/>
      <c r="S317" s="6" t="s">
        <v>80</v>
      </c>
      <c r="T317" s="6"/>
      <c r="U317" s="6"/>
      <c r="V317" s="6"/>
      <c r="W317" s="9"/>
      <c r="X317" s="6"/>
      <c r="Y317" s="9" t="e">
        <f t="shared" si="86"/>
        <v>#DIV/0!</v>
      </c>
      <c r="Z317" s="10" t="e">
        <f t="shared" si="87"/>
        <v>#DIV/0!</v>
      </c>
      <c r="AA317" s="10" t="e">
        <f t="shared" si="88"/>
        <v>#DIV/0!</v>
      </c>
      <c r="AB317" s="11" t="e">
        <f t="shared" si="89"/>
        <v>#DIV/0!</v>
      </c>
      <c r="AC317" s="11" t="e">
        <f t="shared" si="90"/>
        <v>#DIV/0!</v>
      </c>
      <c r="AD317" s="11" t="s">
        <v>59</v>
      </c>
    </row>
    <row r="318" spans="1:30" s="1" customFormat="1" ht="17.100000000000001" customHeight="1">
      <c r="A318" s="2">
        <v>316</v>
      </c>
      <c r="B318" s="3" t="s">
        <v>673</v>
      </c>
      <c r="C318" s="3" t="s">
        <v>674</v>
      </c>
      <c r="D318" s="4"/>
      <c r="E318" s="4"/>
      <c r="F318" s="4"/>
      <c r="G318" s="4"/>
      <c r="H318" s="4"/>
      <c r="I318" s="4"/>
      <c r="J318" s="5">
        <f t="shared" si="82"/>
        <v>0</v>
      </c>
      <c r="K318" s="6"/>
      <c r="L318" s="6"/>
      <c r="M318" s="7">
        <f t="shared" si="83"/>
        <v>0</v>
      </c>
      <c r="N318" s="8"/>
      <c r="O318" s="6"/>
      <c r="P318" s="6">
        <f t="shared" si="84"/>
        <v>0</v>
      </c>
      <c r="Q318" s="8">
        <f t="shared" si="85"/>
        <v>0</v>
      </c>
      <c r="R318" s="6"/>
      <c r="S318" s="6" t="s">
        <v>80</v>
      </c>
      <c r="T318" s="6"/>
      <c r="U318" s="6"/>
      <c r="V318" s="6"/>
      <c r="W318" s="9"/>
      <c r="X318" s="6"/>
      <c r="Y318" s="9" t="e">
        <f t="shared" si="86"/>
        <v>#DIV/0!</v>
      </c>
      <c r="Z318" s="10" t="e">
        <f t="shared" si="87"/>
        <v>#DIV/0!</v>
      </c>
      <c r="AA318" s="10" t="e">
        <f t="shared" si="88"/>
        <v>#DIV/0!</v>
      </c>
      <c r="AB318" s="11" t="e">
        <f t="shared" si="89"/>
        <v>#DIV/0!</v>
      </c>
      <c r="AC318" s="11" t="e">
        <f t="shared" si="90"/>
        <v>#DIV/0!</v>
      </c>
      <c r="AD318" s="11" t="s">
        <v>59</v>
      </c>
    </row>
    <row r="319" spans="1:30" s="1" customFormat="1" ht="17.100000000000001" customHeight="1">
      <c r="A319" s="2">
        <v>317</v>
      </c>
      <c r="B319" s="3" t="s">
        <v>675</v>
      </c>
      <c r="C319" s="3" t="s">
        <v>676</v>
      </c>
      <c r="D319" s="4"/>
      <c r="E319" s="4"/>
      <c r="F319" s="4"/>
      <c r="G319" s="4"/>
      <c r="H319" s="4"/>
      <c r="I319" s="4"/>
      <c r="J319" s="5">
        <f t="shared" si="82"/>
        <v>0</v>
      </c>
      <c r="K319" s="6"/>
      <c r="L319" s="6"/>
      <c r="M319" s="7">
        <f t="shared" si="83"/>
        <v>0</v>
      </c>
      <c r="N319" s="8"/>
      <c r="O319" s="6"/>
      <c r="P319" s="6">
        <f t="shared" si="84"/>
        <v>0</v>
      </c>
      <c r="Q319" s="8">
        <f t="shared" si="85"/>
        <v>0</v>
      </c>
      <c r="R319" s="6"/>
      <c r="S319" s="6" t="s">
        <v>80</v>
      </c>
      <c r="T319" s="6"/>
      <c r="U319" s="6"/>
      <c r="V319" s="6"/>
      <c r="W319" s="9"/>
      <c r="X319" s="6"/>
      <c r="Y319" s="9" t="e">
        <f t="shared" si="86"/>
        <v>#DIV/0!</v>
      </c>
      <c r="Z319" s="10" t="e">
        <f t="shared" si="87"/>
        <v>#DIV/0!</v>
      </c>
      <c r="AA319" s="10" t="e">
        <f t="shared" si="88"/>
        <v>#DIV/0!</v>
      </c>
      <c r="AB319" s="11" t="e">
        <f t="shared" si="89"/>
        <v>#DIV/0!</v>
      </c>
      <c r="AC319" s="11" t="e">
        <f t="shared" si="90"/>
        <v>#DIV/0!</v>
      </c>
      <c r="AD319" s="11" t="s">
        <v>59</v>
      </c>
    </row>
    <row r="320" spans="1:30" s="1" customFormat="1" ht="17.100000000000001" customHeight="1">
      <c r="A320" s="2">
        <v>318</v>
      </c>
      <c r="B320" s="3" t="s">
        <v>677</v>
      </c>
      <c r="C320" s="3" t="s">
        <v>678</v>
      </c>
      <c r="D320" s="4"/>
      <c r="E320" s="4"/>
      <c r="F320" s="4"/>
      <c r="G320" s="4"/>
      <c r="H320" s="4"/>
      <c r="I320" s="4"/>
      <c r="J320" s="5">
        <f t="shared" si="82"/>
        <v>0</v>
      </c>
      <c r="K320" s="6"/>
      <c r="L320" s="6"/>
      <c r="M320" s="7">
        <f t="shared" si="83"/>
        <v>0</v>
      </c>
      <c r="N320" s="8"/>
      <c r="O320" s="6"/>
      <c r="P320" s="6">
        <f t="shared" si="84"/>
        <v>0</v>
      </c>
      <c r="Q320" s="8">
        <f t="shared" si="85"/>
        <v>0</v>
      </c>
      <c r="R320" s="6"/>
      <c r="S320" s="6" t="s">
        <v>80</v>
      </c>
      <c r="T320" s="6"/>
      <c r="U320" s="6"/>
      <c r="V320" s="6"/>
      <c r="W320" s="9"/>
      <c r="X320" s="6"/>
      <c r="Y320" s="9" t="e">
        <f t="shared" si="86"/>
        <v>#DIV/0!</v>
      </c>
      <c r="Z320" s="10" t="e">
        <f t="shared" si="87"/>
        <v>#DIV/0!</v>
      </c>
      <c r="AA320" s="10" t="e">
        <f t="shared" si="88"/>
        <v>#DIV/0!</v>
      </c>
      <c r="AB320" s="11" t="e">
        <f t="shared" si="89"/>
        <v>#DIV/0!</v>
      </c>
      <c r="AC320" s="11" t="e">
        <f t="shared" si="90"/>
        <v>#DIV/0!</v>
      </c>
      <c r="AD320" s="11" t="s">
        <v>59</v>
      </c>
    </row>
    <row r="321" spans="1:30" s="1" customFormat="1" ht="17.100000000000001" customHeight="1">
      <c r="A321" s="2">
        <v>319</v>
      </c>
      <c r="B321" s="3" t="s">
        <v>679</v>
      </c>
      <c r="C321" s="3" t="s">
        <v>680</v>
      </c>
      <c r="D321" s="4"/>
      <c r="E321" s="4"/>
      <c r="F321" s="4"/>
      <c r="G321" s="4"/>
      <c r="H321" s="4"/>
      <c r="I321" s="4"/>
      <c r="J321" s="5">
        <f t="shared" si="82"/>
        <v>0</v>
      </c>
      <c r="K321" s="6"/>
      <c r="L321" s="6"/>
      <c r="M321" s="7">
        <f t="shared" si="83"/>
        <v>0</v>
      </c>
      <c r="N321" s="8"/>
      <c r="O321" s="6"/>
      <c r="P321" s="6">
        <f t="shared" si="84"/>
        <v>0</v>
      </c>
      <c r="Q321" s="8">
        <f t="shared" si="85"/>
        <v>0</v>
      </c>
      <c r="R321" s="6"/>
      <c r="S321" s="6" t="s">
        <v>80</v>
      </c>
      <c r="T321" s="6"/>
      <c r="U321" s="6"/>
      <c r="V321" s="6"/>
      <c r="W321" s="9"/>
      <c r="X321" s="6" t="s">
        <v>58</v>
      </c>
      <c r="Y321" s="9" t="e">
        <f t="shared" si="86"/>
        <v>#DIV/0!</v>
      </c>
      <c r="Z321" s="10" t="e">
        <f t="shared" si="87"/>
        <v>#DIV/0!</v>
      </c>
      <c r="AA321" s="10" t="e">
        <f t="shared" si="88"/>
        <v>#DIV/0!</v>
      </c>
      <c r="AB321" s="11" t="e">
        <f t="shared" si="89"/>
        <v>#DIV/0!</v>
      </c>
      <c r="AC321" s="11" t="e">
        <f t="shared" si="90"/>
        <v>#DIV/0!</v>
      </c>
      <c r="AD321" s="11" t="s">
        <v>59</v>
      </c>
    </row>
    <row r="322" spans="1:30" s="1" customFormat="1" ht="17.100000000000001" customHeight="1">
      <c r="A322" s="2">
        <v>320</v>
      </c>
      <c r="B322" s="3" t="s">
        <v>681</v>
      </c>
      <c r="C322" s="3" t="s">
        <v>682</v>
      </c>
      <c r="D322" s="4"/>
      <c r="E322" s="4"/>
      <c r="F322" s="4"/>
      <c r="G322" s="4"/>
      <c r="H322" s="4"/>
      <c r="I322" s="4"/>
      <c r="J322" s="5">
        <f t="shared" si="82"/>
        <v>0</v>
      </c>
      <c r="K322" s="6"/>
      <c r="L322" s="6"/>
      <c r="M322" s="7">
        <f t="shared" si="83"/>
        <v>0</v>
      </c>
      <c r="N322" s="8"/>
      <c r="O322" s="6"/>
      <c r="P322" s="6">
        <f t="shared" si="84"/>
        <v>0</v>
      </c>
      <c r="Q322" s="8">
        <f t="shared" si="85"/>
        <v>0</v>
      </c>
      <c r="R322" s="6"/>
      <c r="S322" s="6" t="s">
        <v>80</v>
      </c>
      <c r="T322" s="6"/>
      <c r="U322" s="6"/>
      <c r="V322" s="6"/>
      <c r="W322" s="9"/>
      <c r="X322" s="6"/>
      <c r="Y322" s="9" t="e">
        <f t="shared" si="86"/>
        <v>#DIV/0!</v>
      </c>
      <c r="Z322" s="10" t="e">
        <f t="shared" si="87"/>
        <v>#DIV/0!</v>
      </c>
      <c r="AA322" s="10" t="e">
        <f t="shared" si="88"/>
        <v>#DIV/0!</v>
      </c>
      <c r="AB322" s="11" t="e">
        <f t="shared" si="89"/>
        <v>#DIV/0!</v>
      </c>
      <c r="AC322" s="11" t="e">
        <f t="shared" si="90"/>
        <v>#DIV/0!</v>
      </c>
      <c r="AD322" s="11" t="s">
        <v>59</v>
      </c>
    </row>
    <row r="323" spans="1:30" s="1" customFormat="1" ht="17.100000000000001" customHeight="1">
      <c r="A323" s="2">
        <v>321</v>
      </c>
      <c r="B323" s="3" t="s">
        <v>683</v>
      </c>
      <c r="C323" s="3" t="s">
        <v>684</v>
      </c>
      <c r="D323" s="4"/>
      <c r="E323" s="4"/>
      <c r="F323" s="4"/>
      <c r="G323" s="4"/>
      <c r="H323" s="4"/>
      <c r="I323" s="4"/>
      <c r="J323" s="5">
        <f t="shared" si="82"/>
        <v>0</v>
      </c>
      <c r="K323" s="6"/>
      <c r="L323" s="6"/>
      <c r="M323" s="7">
        <f t="shared" si="83"/>
        <v>0</v>
      </c>
      <c r="N323" s="8"/>
      <c r="O323" s="6"/>
      <c r="P323" s="6">
        <f t="shared" si="84"/>
        <v>0</v>
      </c>
      <c r="Q323" s="8">
        <f t="shared" si="85"/>
        <v>0</v>
      </c>
      <c r="R323" s="6"/>
      <c r="S323" s="6" t="s">
        <v>80</v>
      </c>
      <c r="T323" s="6"/>
      <c r="U323" s="6"/>
      <c r="V323" s="6"/>
      <c r="W323" s="9"/>
      <c r="X323" s="6"/>
      <c r="Y323" s="9" t="e">
        <f t="shared" si="86"/>
        <v>#DIV/0!</v>
      </c>
      <c r="Z323" s="10" t="e">
        <f t="shared" si="87"/>
        <v>#DIV/0!</v>
      </c>
      <c r="AA323" s="10" t="e">
        <f t="shared" si="88"/>
        <v>#DIV/0!</v>
      </c>
      <c r="AB323" s="11" t="e">
        <f t="shared" si="89"/>
        <v>#DIV/0!</v>
      </c>
      <c r="AC323" s="11" t="e">
        <f t="shared" si="90"/>
        <v>#DIV/0!</v>
      </c>
      <c r="AD323" s="11" t="s">
        <v>59</v>
      </c>
    </row>
    <row r="324" spans="1:30" s="1" customFormat="1" ht="17.100000000000001" customHeight="1">
      <c r="A324" s="2">
        <v>322</v>
      </c>
      <c r="B324" s="3" t="s">
        <v>685</v>
      </c>
      <c r="C324" s="3" t="s">
        <v>686</v>
      </c>
      <c r="D324" s="4"/>
      <c r="E324" s="4"/>
      <c r="F324" s="4"/>
      <c r="G324" s="4"/>
      <c r="H324" s="4"/>
      <c r="I324" s="4"/>
      <c r="J324" s="5">
        <f t="shared" si="82"/>
        <v>0</v>
      </c>
      <c r="K324" s="6"/>
      <c r="L324" s="6"/>
      <c r="M324" s="7">
        <f t="shared" si="83"/>
        <v>0</v>
      </c>
      <c r="N324" s="8"/>
      <c r="O324" s="6"/>
      <c r="P324" s="6">
        <f t="shared" si="84"/>
        <v>0</v>
      </c>
      <c r="Q324" s="8">
        <f t="shared" si="85"/>
        <v>0</v>
      </c>
      <c r="R324" s="6"/>
      <c r="S324" s="6" t="s">
        <v>80</v>
      </c>
      <c r="T324" s="6"/>
      <c r="U324" s="6"/>
      <c r="V324" s="6"/>
      <c r="W324" s="9"/>
      <c r="X324" s="6"/>
      <c r="Y324" s="9" t="e">
        <f t="shared" si="86"/>
        <v>#DIV/0!</v>
      </c>
      <c r="Z324" s="10" t="e">
        <f t="shared" si="87"/>
        <v>#DIV/0!</v>
      </c>
      <c r="AA324" s="10" t="e">
        <f t="shared" si="88"/>
        <v>#DIV/0!</v>
      </c>
      <c r="AB324" s="11" t="e">
        <f t="shared" si="89"/>
        <v>#DIV/0!</v>
      </c>
      <c r="AC324" s="11" t="e">
        <f t="shared" si="90"/>
        <v>#DIV/0!</v>
      </c>
      <c r="AD324" s="11" t="s">
        <v>59</v>
      </c>
    </row>
    <row r="325" spans="1:30" s="1" customFormat="1" ht="17.100000000000001" customHeight="1">
      <c r="A325" s="2">
        <v>323</v>
      </c>
      <c r="B325" s="3" t="s">
        <v>687</v>
      </c>
      <c r="C325" s="3" t="s">
        <v>688</v>
      </c>
      <c r="D325" s="4"/>
      <c r="E325" s="4"/>
      <c r="F325" s="4"/>
      <c r="G325" s="4"/>
      <c r="H325" s="4"/>
      <c r="I325" s="4"/>
      <c r="J325" s="5">
        <f t="shared" si="82"/>
        <v>0</v>
      </c>
      <c r="K325" s="6"/>
      <c r="L325" s="6"/>
      <c r="M325" s="7">
        <f t="shared" si="83"/>
        <v>0</v>
      </c>
      <c r="N325" s="8"/>
      <c r="O325" s="6"/>
      <c r="P325" s="6">
        <f t="shared" si="84"/>
        <v>0</v>
      </c>
      <c r="Q325" s="8">
        <f t="shared" si="85"/>
        <v>0</v>
      </c>
      <c r="R325" s="6"/>
      <c r="S325" s="6" t="s">
        <v>80</v>
      </c>
      <c r="T325" s="6"/>
      <c r="U325" s="6"/>
      <c r="V325" s="6"/>
      <c r="W325" s="9"/>
      <c r="X325" s="6"/>
      <c r="Y325" s="9" t="e">
        <f t="shared" si="86"/>
        <v>#DIV/0!</v>
      </c>
      <c r="Z325" s="10" t="e">
        <f t="shared" si="87"/>
        <v>#DIV/0!</v>
      </c>
      <c r="AA325" s="10" t="e">
        <f t="shared" si="88"/>
        <v>#DIV/0!</v>
      </c>
      <c r="AB325" s="11" t="e">
        <f t="shared" si="89"/>
        <v>#DIV/0!</v>
      </c>
      <c r="AC325" s="11" t="e">
        <f t="shared" si="90"/>
        <v>#DIV/0!</v>
      </c>
      <c r="AD325" s="11" t="s">
        <v>59</v>
      </c>
    </row>
    <row r="326" spans="1:30" s="1" customFormat="1" ht="17.100000000000001" customHeight="1">
      <c r="A326" s="2">
        <v>324</v>
      </c>
      <c r="B326" s="3" t="s">
        <v>689</v>
      </c>
      <c r="C326" s="3" t="s">
        <v>690</v>
      </c>
      <c r="D326" s="4"/>
      <c r="E326" s="4"/>
      <c r="F326" s="4"/>
      <c r="G326" s="4"/>
      <c r="H326" s="4"/>
      <c r="I326" s="4"/>
      <c r="J326" s="5">
        <f t="shared" si="82"/>
        <v>0</v>
      </c>
      <c r="K326" s="6"/>
      <c r="L326" s="6"/>
      <c r="M326" s="7">
        <f t="shared" si="83"/>
        <v>0</v>
      </c>
      <c r="N326" s="8"/>
      <c r="O326" s="6"/>
      <c r="P326" s="6">
        <f t="shared" si="84"/>
        <v>0</v>
      </c>
      <c r="Q326" s="8">
        <f t="shared" si="85"/>
        <v>0</v>
      </c>
      <c r="R326" s="6"/>
      <c r="S326" s="6" t="s">
        <v>80</v>
      </c>
      <c r="T326" s="6"/>
      <c r="U326" s="6"/>
      <c r="V326" s="6"/>
      <c r="W326" s="9"/>
      <c r="X326" s="6"/>
      <c r="Y326" s="9" t="e">
        <f t="shared" si="86"/>
        <v>#DIV/0!</v>
      </c>
      <c r="Z326" s="10" t="e">
        <f t="shared" si="87"/>
        <v>#DIV/0!</v>
      </c>
      <c r="AA326" s="10" t="e">
        <f t="shared" si="88"/>
        <v>#DIV/0!</v>
      </c>
      <c r="AB326" s="11" t="e">
        <f t="shared" si="89"/>
        <v>#DIV/0!</v>
      </c>
      <c r="AC326" s="11" t="e">
        <f t="shared" si="90"/>
        <v>#DIV/0!</v>
      </c>
      <c r="AD326" s="11" t="s">
        <v>59</v>
      </c>
    </row>
    <row r="327" spans="1:30" s="1" customFormat="1" ht="17.100000000000001" customHeight="1">
      <c r="A327" s="2">
        <v>325</v>
      </c>
      <c r="B327" s="3" t="s">
        <v>691</v>
      </c>
      <c r="C327" s="3" t="s">
        <v>692</v>
      </c>
      <c r="D327" s="4"/>
      <c r="E327" s="4"/>
      <c r="F327" s="4"/>
      <c r="G327" s="4"/>
      <c r="H327" s="4"/>
      <c r="I327" s="4"/>
      <c r="J327" s="5">
        <f t="shared" si="82"/>
        <v>0</v>
      </c>
      <c r="K327" s="6"/>
      <c r="L327" s="6"/>
      <c r="M327" s="7">
        <f t="shared" si="83"/>
        <v>0</v>
      </c>
      <c r="N327" s="8"/>
      <c r="O327" s="6"/>
      <c r="P327" s="6">
        <f t="shared" si="84"/>
        <v>0</v>
      </c>
      <c r="Q327" s="8">
        <f t="shared" si="85"/>
        <v>0</v>
      </c>
      <c r="R327" s="6"/>
      <c r="S327" s="6" t="s">
        <v>80</v>
      </c>
      <c r="T327" s="6"/>
      <c r="U327" s="6"/>
      <c r="V327" s="6"/>
      <c r="W327" s="9"/>
      <c r="X327" s="6"/>
      <c r="Y327" s="9" t="e">
        <f t="shared" si="86"/>
        <v>#DIV/0!</v>
      </c>
      <c r="Z327" s="10" t="e">
        <f t="shared" si="87"/>
        <v>#DIV/0!</v>
      </c>
      <c r="AA327" s="10" t="e">
        <f t="shared" si="88"/>
        <v>#DIV/0!</v>
      </c>
      <c r="AB327" s="11" t="e">
        <f t="shared" si="89"/>
        <v>#DIV/0!</v>
      </c>
      <c r="AC327" s="11" t="e">
        <f t="shared" si="90"/>
        <v>#DIV/0!</v>
      </c>
      <c r="AD327" s="11" t="s">
        <v>59</v>
      </c>
    </row>
    <row r="328" spans="1:30" s="1" customFormat="1" ht="17.100000000000001" customHeight="1">
      <c r="A328" s="2">
        <v>326</v>
      </c>
      <c r="B328" s="3" t="s">
        <v>693</v>
      </c>
      <c r="C328" s="3" t="s">
        <v>694</v>
      </c>
      <c r="D328" s="4"/>
      <c r="E328" s="4"/>
      <c r="F328" s="4"/>
      <c r="G328" s="4"/>
      <c r="H328" s="4"/>
      <c r="I328" s="4"/>
      <c r="J328" s="5">
        <f t="shared" si="82"/>
        <v>0</v>
      </c>
      <c r="K328" s="6"/>
      <c r="L328" s="6"/>
      <c r="M328" s="7">
        <f t="shared" si="83"/>
        <v>0</v>
      </c>
      <c r="N328" s="8"/>
      <c r="O328" s="6"/>
      <c r="P328" s="6">
        <f t="shared" si="84"/>
        <v>0</v>
      </c>
      <c r="Q328" s="8">
        <f t="shared" si="85"/>
        <v>0</v>
      </c>
      <c r="R328" s="6"/>
      <c r="S328" s="6" t="s">
        <v>80</v>
      </c>
      <c r="T328" s="6"/>
      <c r="U328" s="6"/>
      <c r="V328" s="6"/>
      <c r="W328" s="9"/>
      <c r="X328" s="6"/>
      <c r="Y328" s="9" t="e">
        <f t="shared" si="86"/>
        <v>#DIV/0!</v>
      </c>
      <c r="Z328" s="10" t="e">
        <f t="shared" si="87"/>
        <v>#DIV/0!</v>
      </c>
      <c r="AA328" s="10" t="e">
        <f t="shared" si="88"/>
        <v>#DIV/0!</v>
      </c>
      <c r="AB328" s="11" t="e">
        <f t="shared" si="89"/>
        <v>#DIV/0!</v>
      </c>
      <c r="AC328" s="11" t="e">
        <f t="shared" si="90"/>
        <v>#DIV/0!</v>
      </c>
      <c r="AD328" s="11" t="s">
        <v>59</v>
      </c>
    </row>
    <row r="329" spans="1:30" s="1" customFormat="1" ht="17.100000000000001" customHeight="1">
      <c r="A329" s="2">
        <v>327</v>
      </c>
      <c r="B329" s="3" t="s">
        <v>695</v>
      </c>
      <c r="C329" s="3" t="s">
        <v>696</v>
      </c>
      <c r="D329" s="4"/>
      <c r="E329" s="4"/>
      <c r="F329" s="4"/>
      <c r="G329" s="4"/>
      <c r="H329" s="4"/>
      <c r="I329" s="4"/>
      <c r="J329" s="5">
        <f t="shared" si="82"/>
        <v>0</v>
      </c>
      <c r="K329" s="6"/>
      <c r="L329" s="6"/>
      <c r="M329" s="7">
        <f t="shared" si="83"/>
        <v>0</v>
      </c>
      <c r="N329" s="8"/>
      <c r="O329" s="6"/>
      <c r="P329" s="6">
        <f t="shared" si="84"/>
        <v>0</v>
      </c>
      <c r="Q329" s="8">
        <f t="shared" si="85"/>
        <v>0</v>
      </c>
      <c r="R329" s="6"/>
      <c r="S329" s="6" t="s">
        <v>80</v>
      </c>
      <c r="T329" s="6"/>
      <c r="U329" s="6"/>
      <c r="V329" s="6"/>
      <c r="W329" s="9"/>
      <c r="X329" s="6"/>
      <c r="Y329" s="9" t="e">
        <f t="shared" si="86"/>
        <v>#DIV/0!</v>
      </c>
      <c r="Z329" s="10" t="e">
        <f t="shared" si="87"/>
        <v>#DIV/0!</v>
      </c>
      <c r="AA329" s="10" t="e">
        <f t="shared" si="88"/>
        <v>#DIV/0!</v>
      </c>
      <c r="AB329" s="11" t="e">
        <f t="shared" si="89"/>
        <v>#DIV/0!</v>
      </c>
      <c r="AC329" s="11" t="e">
        <f t="shared" si="90"/>
        <v>#DIV/0!</v>
      </c>
      <c r="AD329" s="11" t="s">
        <v>59</v>
      </c>
    </row>
    <row r="330" spans="1:30" s="1" customFormat="1" ht="17.100000000000001" customHeight="1">
      <c r="A330" s="2">
        <v>328</v>
      </c>
      <c r="B330" s="3" t="s">
        <v>697</v>
      </c>
      <c r="C330" s="3" t="s">
        <v>698</v>
      </c>
      <c r="D330" s="4"/>
      <c r="E330" s="4"/>
      <c r="F330" s="4"/>
      <c r="G330" s="4"/>
      <c r="H330" s="4"/>
      <c r="I330" s="4"/>
      <c r="J330" s="5">
        <f t="shared" si="82"/>
        <v>0</v>
      </c>
      <c r="K330" s="6"/>
      <c r="L330" s="6"/>
      <c r="M330" s="7">
        <f t="shared" si="83"/>
        <v>0</v>
      </c>
      <c r="N330" s="8"/>
      <c r="O330" s="6"/>
      <c r="P330" s="6">
        <f t="shared" si="84"/>
        <v>0</v>
      </c>
      <c r="Q330" s="8">
        <f t="shared" si="85"/>
        <v>0</v>
      </c>
      <c r="R330" s="6"/>
      <c r="S330" s="6" t="s">
        <v>80</v>
      </c>
      <c r="T330" s="6"/>
      <c r="U330" s="6"/>
      <c r="V330" s="6"/>
      <c r="W330" s="9"/>
      <c r="X330" s="6"/>
      <c r="Y330" s="9" t="e">
        <f t="shared" si="86"/>
        <v>#DIV/0!</v>
      </c>
      <c r="Z330" s="10" t="e">
        <f t="shared" si="87"/>
        <v>#DIV/0!</v>
      </c>
      <c r="AA330" s="10" t="e">
        <f t="shared" si="88"/>
        <v>#DIV/0!</v>
      </c>
      <c r="AB330" s="11" t="e">
        <f t="shared" si="89"/>
        <v>#DIV/0!</v>
      </c>
      <c r="AC330" s="11" t="e">
        <f t="shared" si="90"/>
        <v>#DIV/0!</v>
      </c>
      <c r="AD330" s="11" t="s">
        <v>59</v>
      </c>
    </row>
    <row r="331" spans="1:30" s="1" customFormat="1" ht="17.100000000000001" customHeight="1">
      <c r="A331" s="2">
        <v>329</v>
      </c>
      <c r="B331" s="3" t="s">
        <v>699</v>
      </c>
      <c r="C331" s="3" t="s">
        <v>700</v>
      </c>
      <c r="D331" s="4"/>
      <c r="E331" s="4"/>
      <c r="F331" s="4"/>
      <c r="G331" s="4"/>
      <c r="H331" s="4"/>
      <c r="I331" s="4"/>
      <c r="J331" s="5">
        <f t="shared" si="82"/>
        <v>0</v>
      </c>
      <c r="K331" s="6"/>
      <c r="L331" s="6"/>
      <c r="M331" s="7">
        <f t="shared" si="83"/>
        <v>0</v>
      </c>
      <c r="N331" s="8"/>
      <c r="O331" s="6"/>
      <c r="P331" s="6">
        <f t="shared" si="84"/>
        <v>0</v>
      </c>
      <c r="Q331" s="8">
        <f t="shared" si="85"/>
        <v>0</v>
      </c>
      <c r="R331" s="6"/>
      <c r="S331" s="6" t="s">
        <v>80</v>
      </c>
      <c r="T331" s="6"/>
      <c r="U331" s="6"/>
      <c r="V331" s="6"/>
      <c r="W331" s="9"/>
      <c r="X331" s="6"/>
      <c r="Y331" s="9" t="e">
        <f t="shared" si="86"/>
        <v>#DIV/0!</v>
      </c>
      <c r="Z331" s="10" t="e">
        <f t="shared" si="87"/>
        <v>#DIV/0!</v>
      </c>
      <c r="AA331" s="10" t="e">
        <f t="shared" si="88"/>
        <v>#DIV/0!</v>
      </c>
      <c r="AB331" s="11" t="e">
        <f t="shared" si="89"/>
        <v>#DIV/0!</v>
      </c>
      <c r="AC331" s="11" t="e">
        <f t="shared" si="90"/>
        <v>#DIV/0!</v>
      </c>
      <c r="AD331" s="11" t="s">
        <v>59</v>
      </c>
    </row>
    <row r="332" spans="1:30" s="1" customFormat="1" ht="17.100000000000001" customHeight="1">
      <c r="A332" s="2">
        <v>330</v>
      </c>
      <c r="B332" s="3" t="s">
        <v>701</v>
      </c>
      <c r="C332" s="3" t="s">
        <v>702</v>
      </c>
      <c r="D332" s="4"/>
      <c r="E332" s="4"/>
      <c r="F332" s="4"/>
      <c r="G332" s="4"/>
      <c r="H332" s="4"/>
      <c r="I332" s="4"/>
      <c r="J332" s="5">
        <f t="shared" si="82"/>
        <v>0</v>
      </c>
      <c r="K332" s="6"/>
      <c r="L332" s="6"/>
      <c r="M332" s="7">
        <f t="shared" si="83"/>
        <v>0</v>
      </c>
      <c r="N332" s="8"/>
      <c r="O332" s="6"/>
      <c r="P332" s="6">
        <f t="shared" si="84"/>
        <v>0</v>
      </c>
      <c r="Q332" s="8">
        <f t="shared" si="85"/>
        <v>0</v>
      </c>
      <c r="R332" s="6"/>
      <c r="S332" s="6" t="s">
        <v>80</v>
      </c>
      <c r="T332" s="6"/>
      <c r="U332" s="6"/>
      <c r="V332" s="6"/>
      <c r="W332" s="9"/>
      <c r="X332" s="6"/>
      <c r="Y332" s="9" t="e">
        <f t="shared" si="86"/>
        <v>#DIV/0!</v>
      </c>
      <c r="Z332" s="10" t="e">
        <f t="shared" si="87"/>
        <v>#DIV/0!</v>
      </c>
      <c r="AA332" s="10" t="e">
        <f t="shared" si="88"/>
        <v>#DIV/0!</v>
      </c>
      <c r="AB332" s="11" t="e">
        <f t="shared" si="89"/>
        <v>#DIV/0!</v>
      </c>
      <c r="AC332" s="11" t="e">
        <f t="shared" si="90"/>
        <v>#DIV/0!</v>
      </c>
      <c r="AD332" s="11" t="s">
        <v>59</v>
      </c>
    </row>
    <row r="333" spans="1:30" s="1" customFormat="1" ht="17.100000000000001" customHeight="1">
      <c r="A333" s="2">
        <v>331</v>
      </c>
      <c r="B333" s="3" t="s">
        <v>703</v>
      </c>
      <c r="C333" s="3" t="s">
        <v>704</v>
      </c>
      <c r="D333" s="4"/>
      <c r="E333" s="4"/>
      <c r="F333" s="4"/>
      <c r="G333" s="4"/>
      <c r="H333" s="4"/>
      <c r="I333" s="4"/>
      <c r="J333" s="5">
        <f t="shared" si="82"/>
        <v>0</v>
      </c>
      <c r="K333" s="6"/>
      <c r="L333" s="6"/>
      <c r="M333" s="7">
        <f t="shared" si="83"/>
        <v>0</v>
      </c>
      <c r="N333" s="8"/>
      <c r="O333" s="6"/>
      <c r="P333" s="6">
        <f t="shared" si="84"/>
        <v>0</v>
      </c>
      <c r="Q333" s="8">
        <f t="shared" si="85"/>
        <v>0</v>
      </c>
      <c r="R333" s="6"/>
      <c r="S333" s="6" t="s">
        <v>80</v>
      </c>
      <c r="T333" s="6"/>
      <c r="U333" s="6"/>
      <c r="V333" s="6"/>
      <c r="W333" s="9"/>
      <c r="X333" s="6"/>
      <c r="Y333" s="9" t="e">
        <f t="shared" si="86"/>
        <v>#DIV/0!</v>
      </c>
      <c r="Z333" s="10" t="e">
        <f t="shared" si="87"/>
        <v>#DIV/0!</v>
      </c>
      <c r="AA333" s="10" t="e">
        <f t="shared" si="88"/>
        <v>#DIV/0!</v>
      </c>
      <c r="AB333" s="11" t="e">
        <f t="shared" si="89"/>
        <v>#DIV/0!</v>
      </c>
      <c r="AC333" s="11" t="e">
        <f t="shared" si="90"/>
        <v>#DIV/0!</v>
      </c>
      <c r="AD333" s="11" t="s">
        <v>59</v>
      </c>
    </row>
    <row r="334" spans="1:30" s="1" customFormat="1" ht="17.100000000000001" customHeight="1">
      <c r="A334" s="2">
        <v>332</v>
      </c>
      <c r="B334" s="3" t="s">
        <v>705</v>
      </c>
      <c r="C334" s="3" t="s">
        <v>706</v>
      </c>
      <c r="D334" s="4"/>
      <c r="E334" s="4"/>
      <c r="F334" s="4"/>
      <c r="G334" s="4"/>
      <c r="H334" s="4"/>
      <c r="I334" s="4"/>
      <c r="J334" s="5">
        <f t="shared" si="82"/>
        <v>0</v>
      </c>
      <c r="K334" s="6"/>
      <c r="L334" s="6"/>
      <c r="M334" s="7">
        <f t="shared" si="83"/>
        <v>0</v>
      </c>
      <c r="N334" s="8"/>
      <c r="O334" s="6"/>
      <c r="P334" s="6">
        <f t="shared" si="84"/>
        <v>0</v>
      </c>
      <c r="Q334" s="8">
        <f t="shared" si="85"/>
        <v>0</v>
      </c>
      <c r="R334" s="6"/>
      <c r="S334" s="6" t="s">
        <v>80</v>
      </c>
      <c r="T334" s="6"/>
      <c r="U334" s="6"/>
      <c r="V334" s="6"/>
      <c r="W334" s="9"/>
      <c r="X334" s="6"/>
      <c r="Y334" s="9" t="e">
        <f t="shared" ref="Y334:Y397" si="91">R334/M334*W334</f>
        <v>#DIV/0!</v>
      </c>
      <c r="Z334" s="10" t="e">
        <f t="shared" ref="Z334:Z397" si="92">(G334*H334*I334/4000)*(W334/M334)</f>
        <v>#DIV/0!</v>
      </c>
      <c r="AA334" s="10" t="e">
        <f t="shared" ref="AA334:AA397" si="93">(G334*H334*I334/6000)*(W334/M334)</f>
        <v>#DIV/0!</v>
      </c>
      <c r="AB334" s="11" t="e">
        <f t="shared" ref="AB334:AB397" si="94">(G334*H334*I334/1000000)*(W334/M334)</f>
        <v>#DIV/0!</v>
      </c>
      <c r="AC334" s="11" t="e">
        <f t="shared" ref="AC334:AC397" si="95">ROUNDUP(W334/M334,0)</f>
        <v>#DIV/0!</v>
      </c>
      <c r="AD334" s="11" t="s">
        <v>59</v>
      </c>
    </row>
    <row r="335" spans="1:30" s="1" customFormat="1" ht="17.100000000000001" customHeight="1">
      <c r="A335" s="2">
        <v>333</v>
      </c>
      <c r="B335" s="3" t="s">
        <v>707</v>
      </c>
      <c r="C335" s="3" t="s">
        <v>708</v>
      </c>
      <c r="D335" s="4"/>
      <c r="E335" s="4"/>
      <c r="F335" s="4"/>
      <c r="G335" s="4"/>
      <c r="H335" s="4"/>
      <c r="I335" s="4"/>
      <c r="J335" s="5">
        <f t="shared" si="82"/>
        <v>0</v>
      </c>
      <c r="K335" s="6"/>
      <c r="L335" s="6"/>
      <c r="M335" s="7">
        <f t="shared" si="83"/>
        <v>0</v>
      </c>
      <c r="N335" s="8"/>
      <c r="O335" s="6"/>
      <c r="P335" s="6">
        <f t="shared" si="84"/>
        <v>0</v>
      </c>
      <c r="Q335" s="8">
        <f t="shared" si="85"/>
        <v>0</v>
      </c>
      <c r="R335" s="6"/>
      <c r="S335" s="6" t="s">
        <v>80</v>
      </c>
      <c r="T335" s="6"/>
      <c r="U335" s="6"/>
      <c r="V335" s="6"/>
      <c r="W335" s="9"/>
      <c r="X335" s="6"/>
      <c r="Y335" s="9" t="e">
        <f t="shared" si="91"/>
        <v>#DIV/0!</v>
      </c>
      <c r="Z335" s="10" t="e">
        <f t="shared" si="92"/>
        <v>#DIV/0!</v>
      </c>
      <c r="AA335" s="10" t="e">
        <f t="shared" si="93"/>
        <v>#DIV/0!</v>
      </c>
      <c r="AB335" s="11" t="e">
        <f t="shared" si="94"/>
        <v>#DIV/0!</v>
      </c>
      <c r="AC335" s="11" t="e">
        <f t="shared" si="95"/>
        <v>#DIV/0!</v>
      </c>
      <c r="AD335" s="11" t="s">
        <v>59</v>
      </c>
    </row>
    <row r="336" spans="1:30" s="1" customFormat="1" ht="17.100000000000001" customHeight="1">
      <c r="A336" s="2">
        <v>334</v>
      </c>
      <c r="B336" s="3" t="s">
        <v>709</v>
      </c>
      <c r="C336" s="3" t="s">
        <v>710</v>
      </c>
      <c r="D336" s="4"/>
      <c r="E336" s="4"/>
      <c r="F336" s="4"/>
      <c r="G336" s="4"/>
      <c r="H336" s="4"/>
      <c r="I336" s="4"/>
      <c r="J336" s="5">
        <f t="shared" si="82"/>
        <v>0</v>
      </c>
      <c r="K336" s="6"/>
      <c r="L336" s="6"/>
      <c r="M336" s="7">
        <f t="shared" si="83"/>
        <v>0</v>
      </c>
      <c r="N336" s="8"/>
      <c r="O336" s="6"/>
      <c r="P336" s="6">
        <f t="shared" si="84"/>
        <v>0</v>
      </c>
      <c r="Q336" s="8">
        <f t="shared" si="85"/>
        <v>0</v>
      </c>
      <c r="R336" s="6"/>
      <c r="S336" s="6" t="s">
        <v>80</v>
      </c>
      <c r="T336" s="6"/>
      <c r="U336" s="6"/>
      <c r="V336" s="6"/>
      <c r="W336" s="9"/>
      <c r="X336" s="6"/>
      <c r="Y336" s="9" t="e">
        <f t="shared" si="91"/>
        <v>#DIV/0!</v>
      </c>
      <c r="Z336" s="10" t="e">
        <f t="shared" si="92"/>
        <v>#DIV/0!</v>
      </c>
      <c r="AA336" s="10" t="e">
        <f t="shared" si="93"/>
        <v>#DIV/0!</v>
      </c>
      <c r="AB336" s="11" t="e">
        <f t="shared" si="94"/>
        <v>#DIV/0!</v>
      </c>
      <c r="AC336" s="11" t="e">
        <f t="shared" si="95"/>
        <v>#DIV/0!</v>
      </c>
      <c r="AD336" s="11" t="s">
        <v>59</v>
      </c>
    </row>
    <row r="337" spans="1:30" s="1" customFormat="1" ht="17.100000000000001" customHeight="1">
      <c r="A337" s="2">
        <v>335</v>
      </c>
      <c r="B337" s="3" t="s">
        <v>711</v>
      </c>
      <c r="C337" s="3" t="s">
        <v>712</v>
      </c>
      <c r="D337" s="4"/>
      <c r="E337" s="4"/>
      <c r="F337" s="4"/>
      <c r="G337" s="4"/>
      <c r="H337" s="4"/>
      <c r="I337" s="4"/>
      <c r="J337" s="5">
        <f t="shared" si="82"/>
        <v>0</v>
      </c>
      <c r="K337" s="6"/>
      <c r="L337" s="6"/>
      <c r="M337" s="7">
        <f t="shared" si="83"/>
        <v>0</v>
      </c>
      <c r="N337" s="8"/>
      <c r="O337" s="6"/>
      <c r="P337" s="6">
        <f t="shared" si="84"/>
        <v>0</v>
      </c>
      <c r="Q337" s="8">
        <f t="shared" si="85"/>
        <v>0</v>
      </c>
      <c r="R337" s="6"/>
      <c r="S337" s="6" t="s">
        <v>80</v>
      </c>
      <c r="T337" s="6"/>
      <c r="U337" s="6"/>
      <c r="V337" s="6"/>
      <c r="W337" s="9"/>
      <c r="X337" s="6"/>
      <c r="Y337" s="9" t="e">
        <f t="shared" si="91"/>
        <v>#DIV/0!</v>
      </c>
      <c r="Z337" s="10" t="e">
        <f t="shared" si="92"/>
        <v>#DIV/0!</v>
      </c>
      <c r="AA337" s="10" t="e">
        <f t="shared" si="93"/>
        <v>#DIV/0!</v>
      </c>
      <c r="AB337" s="11" t="e">
        <f t="shared" si="94"/>
        <v>#DIV/0!</v>
      </c>
      <c r="AC337" s="11" t="e">
        <f t="shared" si="95"/>
        <v>#DIV/0!</v>
      </c>
      <c r="AD337" s="11" t="s">
        <v>59</v>
      </c>
    </row>
    <row r="338" spans="1:30" s="1" customFormat="1" ht="17.100000000000001" customHeight="1">
      <c r="A338" s="2">
        <v>336</v>
      </c>
      <c r="B338" s="3" t="s">
        <v>713</v>
      </c>
      <c r="C338" s="3" t="s">
        <v>714</v>
      </c>
      <c r="D338" s="4"/>
      <c r="E338" s="4"/>
      <c r="F338" s="4"/>
      <c r="G338" s="4"/>
      <c r="H338" s="4"/>
      <c r="I338" s="4"/>
      <c r="J338" s="5">
        <f t="shared" si="82"/>
        <v>0</v>
      </c>
      <c r="K338" s="6"/>
      <c r="L338" s="6"/>
      <c r="M338" s="7">
        <f t="shared" si="83"/>
        <v>0</v>
      </c>
      <c r="N338" s="8"/>
      <c r="O338" s="6"/>
      <c r="P338" s="6">
        <f t="shared" si="84"/>
        <v>0</v>
      </c>
      <c r="Q338" s="8">
        <f t="shared" si="85"/>
        <v>0</v>
      </c>
      <c r="R338" s="6"/>
      <c r="S338" s="6" t="s">
        <v>80</v>
      </c>
      <c r="T338" s="6"/>
      <c r="U338" s="6"/>
      <c r="V338" s="6"/>
      <c r="W338" s="9"/>
      <c r="X338" s="6"/>
      <c r="Y338" s="9" t="e">
        <f t="shared" si="91"/>
        <v>#DIV/0!</v>
      </c>
      <c r="Z338" s="10" t="e">
        <f t="shared" si="92"/>
        <v>#DIV/0!</v>
      </c>
      <c r="AA338" s="10" t="e">
        <f t="shared" si="93"/>
        <v>#DIV/0!</v>
      </c>
      <c r="AB338" s="11" t="e">
        <f t="shared" si="94"/>
        <v>#DIV/0!</v>
      </c>
      <c r="AC338" s="11" t="e">
        <f t="shared" si="95"/>
        <v>#DIV/0!</v>
      </c>
      <c r="AD338" s="11" t="s">
        <v>59</v>
      </c>
    </row>
    <row r="339" spans="1:30" s="1" customFormat="1" ht="17.100000000000001" customHeight="1">
      <c r="A339" s="2">
        <v>337</v>
      </c>
      <c r="B339" s="3" t="s">
        <v>715</v>
      </c>
      <c r="C339" s="3" t="s">
        <v>716</v>
      </c>
      <c r="D339" s="4"/>
      <c r="E339" s="4"/>
      <c r="F339" s="4"/>
      <c r="G339" s="4"/>
      <c r="H339" s="4"/>
      <c r="I339" s="4"/>
      <c r="J339" s="5">
        <f t="shared" si="82"/>
        <v>0</v>
      </c>
      <c r="K339" s="6"/>
      <c r="L339" s="6"/>
      <c r="M339" s="7">
        <f t="shared" si="83"/>
        <v>0</v>
      </c>
      <c r="N339" s="8"/>
      <c r="O339" s="6"/>
      <c r="P339" s="6">
        <f t="shared" si="84"/>
        <v>0</v>
      </c>
      <c r="Q339" s="8">
        <f t="shared" si="85"/>
        <v>0</v>
      </c>
      <c r="R339" s="6"/>
      <c r="S339" s="6" t="s">
        <v>80</v>
      </c>
      <c r="T339" s="6"/>
      <c r="U339" s="6"/>
      <c r="V339" s="6"/>
      <c r="W339" s="9"/>
      <c r="X339" s="6"/>
      <c r="Y339" s="9" t="e">
        <f t="shared" si="91"/>
        <v>#DIV/0!</v>
      </c>
      <c r="Z339" s="10" t="e">
        <f t="shared" si="92"/>
        <v>#DIV/0!</v>
      </c>
      <c r="AA339" s="10" t="e">
        <f t="shared" si="93"/>
        <v>#DIV/0!</v>
      </c>
      <c r="AB339" s="11" t="e">
        <f t="shared" si="94"/>
        <v>#DIV/0!</v>
      </c>
      <c r="AC339" s="11" t="e">
        <f t="shared" si="95"/>
        <v>#DIV/0!</v>
      </c>
      <c r="AD339" s="11" t="s">
        <v>59</v>
      </c>
    </row>
    <row r="340" spans="1:30" s="1" customFormat="1" ht="17.100000000000001" customHeight="1">
      <c r="A340" s="2">
        <v>338</v>
      </c>
      <c r="B340" s="3" t="s">
        <v>717</v>
      </c>
      <c r="C340" s="3" t="s">
        <v>718</v>
      </c>
      <c r="D340" s="4"/>
      <c r="E340" s="4"/>
      <c r="F340" s="4"/>
      <c r="G340" s="4"/>
      <c r="H340" s="4"/>
      <c r="I340" s="4"/>
      <c r="J340" s="5">
        <f t="shared" si="82"/>
        <v>0</v>
      </c>
      <c r="K340" s="6"/>
      <c r="L340" s="6"/>
      <c r="M340" s="7">
        <f t="shared" si="83"/>
        <v>0</v>
      </c>
      <c r="N340" s="8"/>
      <c r="O340" s="6"/>
      <c r="P340" s="6">
        <f t="shared" si="84"/>
        <v>0</v>
      </c>
      <c r="Q340" s="8">
        <f t="shared" si="85"/>
        <v>0</v>
      </c>
      <c r="R340" s="6"/>
      <c r="S340" s="6" t="s">
        <v>80</v>
      </c>
      <c r="T340" s="6"/>
      <c r="U340" s="6"/>
      <c r="V340" s="6"/>
      <c r="W340" s="9"/>
      <c r="X340" s="6"/>
      <c r="Y340" s="9" t="e">
        <f t="shared" si="91"/>
        <v>#DIV/0!</v>
      </c>
      <c r="Z340" s="10" t="e">
        <f t="shared" si="92"/>
        <v>#DIV/0!</v>
      </c>
      <c r="AA340" s="10" t="e">
        <f t="shared" si="93"/>
        <v>#DIV/0!</v>
      </c>
      <c r="AB340" s="11" t="e">
        <f t="shared" si="94"/>
        <v>#DIV/0!</v>
      </c>
      <c r="AC340" s="11" t="e">
        <f t="shared" si="95"/>
        <v>#DIV/0!</v>
      </c>
      <c r="AD340" s="11" t="s">
        <v>59</v>
      </c>
    </row>
    <row r="341" spans="1:30" s="1" customFormat="1" ht="17.100000000000001" customHeight="1">
      <c r="A341" s="2">
        <v>339</v>
      </c>
      <c r="B341" s="3" t="s">
        <v>719</v>
      </c>
      <c r="C341" s="3" t="s">
        <v>720</v>
      </c>
      <c r="D341" s="4"/>
      <c r="E341" s="4"/>
      <c r="F341" s="4"/>
      <c r="G341" s="4"/>
      <c r="H341" s="4"/>
      <c r="I341" s="4"/>
      <c r="J341" s="5">
        <f t="shared" si="82"/>
        <v>0</v>
      </c>
      <c r="K341" s="6"/>
      <c r="L341" s="6"/>
      <c r="M341" s="7">
        <f t="shared" si="83"/>
        <v>0</v>
      </c>
      <c r="N341" s="8"/>
      <c r="O341" s="6"/>
      <c r="P341" s="6">
        <f t="shared" si="84"/>
        <v>0</v>
      </c>
      <c r="Q341" s="8">
        <f t="shared" si="85"/>
        <v>0</v>
      </c>
      <c r="R341" s="6"/>
      <c r="S341" s="6" t="s">
        <v>80</v>
      </c>
      <c r="T341" s="6"/>
      <c r="U341" s="6"/>
      <c r="V341" s="6"/>
      <c r="W341" s="9"/>
      <c r="X341" s="6"/>
      <c r="Y341" s="9" t="e">
        <f t="shared" si="91"/>
        <v>#DIV/0!</v>
      </c>
      <c r="Z341" s="10" t="e">
        <f t="shared" si="92"/>
        <v>#DIV/0!</v>
      </c>
      <c r="AA341" s="10" t="e">
        <f t="shared" si="93"/>
        <v>#DIV/0!</v>
      </c>
      <c r="AB341" s="11" t="e">
        <f t="shared" si="94"/>
        <v>#DIV/0!</v>
      </c>
      <c r="AC341" s="11" t="e">
        <f t="shared" si="95"/>
        <v>#DIV/0!</v>
      </c>
      <c r="AD341" s="11" t="s">
        <v>59</v>
      </c>
    </row>
    <row r="342" spans="1:30" s="1" customFormat="1" ht="17.100000000000001" customHeight="1">
      <c r="A342" s="2">
        <v>340</v>
      </c>
      <c r="B342" s="3" t="s">
        <v>721</v>
      </c>
      <c r="C342" s="3" t="s">
        <v>722</v>
      </c>
      <c r="D342" s="4"/>
      <c r="E342" s="4"/>
      <c r="F342" s="4"/>
      <c r="G342" s="4"/>
      <c r="H342" s="4"/>
      <c r="I342" s="4"/>
      <c r="J342" s="5">
        <f t="shared" si="82"/>
        <v>0</v>
      </c>
      <c r="K342" s="6"/>
      <c r="L342" s="6"/>
      <c r="M342" s="7">
        <f t="shared" ref="M342:M405" si="96">K342*L342</f>
        <v>0</v>
      </c>
      <c r="N342" s="8"/>
      <c r="O342" s="6"/>
      <c r="P342" s="6">
        <f t="shared" ref="P342:P405" si="97">N342*O342</f>
        <v>0</v>
      </c>
      <c r="Q342" s="8">
        <f t="shared" ref="Q342:Q405" si="98">M342*P342</f>
        <v>0</v>
      </c>
      <c r="R342" s="6"/>
      <c r="S342" s="6" t="s">
        <v>80</v>
      </c>
      <c r="T342" s="6"/>
      <c r="U342" s="6"/>
      <c r="V342" s="6"/>
      <c r="W342" s="9"/>
      <c r="X342" s="6"/>
      <c r="Y342" s="9" t="e">
        <f t="shared" si="91"/>
        <v>#DIV/0!</v>
      </c>
      <c r="Z342" s="10" t="e">
        <f t="shared" si="92"/>
        <v>#DIV/0!</v>
      </c>
      <c r="AA342" s="10" t="e">
        <f t="shared" si="93"/>
        <v>#DIV/0!</v>
      </c>
      <c r="AB342" s="11" t="e">
        <f t="shared" si="94"/>
        <v>#DIV/0!</v>
      </c>
      <c r="AC342" s="11" t="e">
        <f t="shared" si="95"/>
        <v>#DIV/0!</v>
      </c>
      <c r="AD342" s="11" t="s">
        <v>59</v>
      </c>
    </row>
    <row r="343" spans="1:30" s="1" customFormat="1" ht="17.100000000000001" customHeight="1">
      <c r="A343" s="2">
        <v>341</v>
      </c>
      <c r="B343" s="3" t="s">
        <v>723</v>
      </c>
      <c r="C343" s="3" t="s">
        <v>724</v>
      </c>
      <c r="D343" s="4"/>
      <c r="E343" s="4"/>
      <c r="F343" s="4"/>
      <c r="G343" s="4"/>
      <c r="H343" s="4"/>
      <c r="I343" s="4"/>
      <c r="J343" s="5">
        <f t="shared" si="82"/>
        <v>0</v>
      </c>
      <c r="K343" s="6"/>
      <c r="L343" s="6"/>
      <c r="M343" s="7">
        <f t="shared" si="96"/>
        <v>0</v>
      </c>
      <c r="N343" s="8"/>
      <c r="O343" s="6"/>
      <c r="P343" s="6">
        <f t="shared" si="97"/>
        <v>0</v>
      </c>
      <c r="Q343" s="8">
        <f t="shared" si="98"/>
        <v>0</v>
      </c>
      <c r="R343" s="6"/>
      <c r="S343" s="6" t="s">
        <v>80</v>
      </c>
      <c r="T343" s="6"/>
      <c r="U343" s="6"/>
      <c r="V343" s="6"/>
      <c r="W343" s="9"/>
      <c r="X343" s="6"/>
      <c r="Y343" s="9" t="e">
        <f t="shared" si="91"/>
        <v>#DIV/0!</v>
      </c>
      <c r="Z343" s="10" t="e">
        <f t="shared" si="92"/>
        <v>#DIV/0!</v>
      </c>
      <c r="AA343" s="10" t="e">
        <f t="shared" si="93"/>
        <v>#DIV/0!</v>
      </c>
      <c r="AB343" s="11" t="e">
        <f t="shared" si="94"/>
        <v>#DIV/0!</v>
      </c>
      <c r="AC343" s="11" t="e">
        <f t="shared" si="95"/>
        <v>#DIV/0!</v>
      </c>
      <c r="AD343" s="11" t="s">
        <v>59</v>
      </c>
    </row>
    <row r="344" spans="1:30" s="1" customFormat="1" ht="17.100000000000001" customHeight="1">
      <c r="A344" s="2">
        <v>342</v>
      </c>
      <c r="B344" s="3" t="s">
        <v>725</v>
      </c>
      <c r="C344" s="3" t="s">
        <v>726</v>
      </c>
      <c r="D344" s="4"/>
      <c r="E344" s="4"/>
      <c r="F344" s="4"/>
      <c r="G344" s="4"/>
      <c r="H344" s="4"/>
      <c r="I344" s="4"/>
      <c r="J344" s="5">
        <f t="shared" si="82"/>
        <v>0</v>
      </c>
      <c r="K344" s="6"/>
      <c r="L344" s="6"/>
      <c r="M344" s="7">
        <f t="shared" si="96"/>
        <v>0</v>
      </c>
      <c r="N344" s="8"/>
      <c r="O344" s="6"/>
      <c r="P344" s="6">
        <f t="shared" si="97"/>
        <v>0</v>
      </c>
      <c r="Q344" s="8">
        <f t="shared" si="98"/>
        <v>0</v>
      </c>
      <c r="R344" s="6"/>
      <c r="S344" s="6" t="s">
        <v>80</v>
      </c>
      <c r="T344" s="6"/>
      <c r="U344" s="6"/>
      <c r="V344" s="6"/>
      <c r="W344" s="9"/>
      <c r="X344" s="6"/>
      <c r="Y344" s="9" t="e">
        <f t="shared" si="91"/>
        <v>#DIV/0!</v>
      </c>
      <c r="Z344" s="10" t="e">
        <f t="shared" si="92"/>
        <v>#DIV/0!</v>
      </c>
      <c r="AA344" s="10" t="e">
        <f t="shared" si="93"/>
        <v>#DIV/0!</v>
      </c>
      <c r="AB344" s="11" t="e">
        <f t="shared" si="94"/>
        <v>#DIV/0!</v>
      </c>
      <c r="AC344" s="11" t="e">
        <f t="shared" si="95"/>
        <v>#DIV/0!</v>
      </c>
      <c r="AD344" s="11" t="s">
        <v>59</v>
      </c>
    </row>
    <row r="345" spans="1:30" s="1" customFormat="1" ht="17.100000000000001" customHeight="1">
      <c r="A345" s="2">
        <v>343</v>
      </c>
      <c r="B345" s="3" t="s">
        <v>727</v>
      </c>
      <c r="C345" s="3" t="s">
        <v>728</v>
      </c>
      <c r="D345" s="4"/>
      <c r="E345" s="4"/>
      <c r="F345" s="4"/>
      <c r="G345" s="4"/>
      <c r="H345" s="4"/>
      <c r="I345" s="4"/>
      <c r="J345" s="5">
        <f t="shared" si="82"/>
        <v>0</v>
      </c>
      <c r="K345" s="6"/>
      <c r="L345" s="6"/>
      <c r="M345" s="7">
        <f t="shared" si="96"/>
        <v>0</v>
      </c>
      <c r="N345" s="8"/>
      <c r="O345" s="6"/>
      <c r="P345" s="6">
        <f t="shared" si="97"/>
        <v>0</v>
      </c>
      <c r="Q345" s="8">
        <f t="shared" si="98"/>
        <v>0</v>
      </c>
      <c r="R345" s="6"/>
      <c r="S345" s="6" t="s">
        <v>80</v>
      </c>
      <c r="T345" s="6"/>
      <c r="U345" s="6"/>
      <c r="V345" s="6"/>
      <c r="W345" s="9"/>
      <c r="X345" s="6"/>
      <c r="Y345" s="9" t="e">
        <f t="shared" si="91"/>
        <v>#DIV/0!</v>
      </c>
      <c r="Z345" s="10" t="e">
        <f t="shared" si="92"/>
        <v>#DIV/0!</v>
      </c>
      <c r="AA345" s="10" t="e">
        <f t="shared" si="93"/>
        <v>#DIV/0!</v>
      </c>
      <c r="AB345" s="11" t="e">
        <f t="shared" si="94"/>
        <v>#DIV/0!</v>
      </c>
      <c r="AC345" s="11" t="e">
        <f t="shared" si="95"/>
        <v>#DIV/0!</v>
      </c>
      <c r="AD345" s="11" t="s">
        <v>59</v>
      </c>
    </row>
    <row r="346" spans="1:30" s="1" customFormat="1" ht="17.100000000000001" customHeight="1">
      <c r="A346" s="2">
        <v>344</v>
      </c>
      <c r="B346" s="3" t="s">
        <v>729</v>
      </c>
      <c r="C346" s="3" t="s">
        <v>730</v>
      </c>
      <c r="D346" s="4"/>
      <c r="E346" s="4"/>
      <c r="F346" s="4"/>
      <c r="G346" s="4"/>
      <c r="H346" s="4"/>
      <c r="I346" s="4"/>
      <c r="J346" s="5">
        <f t="shared" si="82"/>
        <v>0</v>
      </c>
      <c r="K346" s="6"/>
      <c r="L346" s="6"/>
      <c r="M346" s="7">
        <f t="shared" si="96"/>
        <v>0</v>
      </c>
      <c r="N346" s="8"/>
      <c r="O346" s="6"/>
      <c r="P346" s="6">
        <f t="shared" si="97"/>
        <v>0</v>
      </c>
      <c r="Q346" s="8">
        <f t="shared" si="98"/>
        <v>0</v>
      </c>
      <c r="R346" s="6"/>
      <c r="S346" s="6" t="s">
        <v>80</v>
      </c>
      <c r="T346" s="6"/>
      <c r="U346" s="6"/>
      <c r="V346" s="6"/>
      <c r="W346" s="9"/>
      <c r="X346" s="6"/>
      <c r="Y346" s="9" t="e">
        <f t="shared" si="91"/>
        <v>#DIV/0!</v>
      </c>
      <c r="Z346" s="10" t="e">
        <f t="shared" si="92"/>
        <v>#DIV/0!</v>
      </c>
      <c r="AA346" s="10" t="e">
        <f t="shared" si="93"/>
        <v>#DIV/0!</v>
      </c>
      <c r="AB346" s="11" t="e">
        <f t="shared" si="94"/>
        <v>#DIV/0!</v>
      </c>
      <c r="AC346" s="11" t="e">
        <f t="shared" si="95"/>
        <v>#DIV/0!</v>
      </c>
      <c r="AD346" s="11" t="s">
        <v>59</v>
      </c>
    </row>
    <row r="347" spans="1:30" s="1" customFormat="1" ht="17.100000000000001" customHeight="1">
      <c r="A347" s="2">
        <v>345</v>
      </c>
      <c r="B347" s="3" t="s">
        <v>731</v>
      </c>
      <c r="C347" s="3" t="s">
        <v>732</v>
      </c>
      <c r="D347" s="4"/>
      <c r="E347" s="4"/>
      <c r="F347" s="4"/>
      <c r="G347" s="4"/>
      <c r="H347" s="4"/>
      <c r="I347" s="4"/>
      <c r="J347" s="5">
        <f t="shared" si="82"/>
        <v>0</v>
      </c>
      <c r="K347" s="6"/>
      <c r="L347" s="6"/>
      <c r="M347" s="7">
        <f t="shared" si="96"/>
        <v>0</v>
      </c>
      <c r="N347" s="8"/>
      <c r="O347" s="6"/>
      <c r="P347" s="6">
        <f t="shared" si="97"/>
        <v>0</v>
      </c>
      <c r="Q347" s="8">
        <f t="shared" si="98"/>
        <v>0</v>
      </c>
      <c r="R347" s="6"/>
      <c r="S347" s="6" t="s">
        <v>80</v>
      </c>
      <c r="T347" s="6"/>
      <c r="U347" s="6"/>
      <c r="V347" s="6"/>
      <c r="W347" s="9"/>
      <c r="X347" s="6"/>
      <c r="Y347" s="9" t="e">
        <f t="shared" si="91"/>
        <v>#DIV/0!</v>
      </c>
      <c r="Z347" s="10" t="e">
        <f t="shared" si="92"/>
        <v>#DIV/0!</v>
      </c>
      <c r="AA347" s="10" t="e">
        <f t="shared" si="93"/>
        <v>#DIV/0!</v>
      </c>
      <c r="AB347" s="11" t="e">
        <f t="shared" si="94"/>
        <v>#DIV/0!</v>
      </c>
      <c r="AC347" s="11" t="e">
        <f t="shared" si="95"/>
        <v>#DIV/0!</v>
      </c>
      <c r="AD347" s="11" t="s">
        <v>59</v>
      </c>
    </row>
    <row r="348" spans="1:30" s="1" customFormat="1" ht="17.100000000000001" customHeight="1">
      <c r="A348" s="2">
        <v>346</v>
      </c>
      <c r="B348" s="3" t="s">
        <v>733</v>
      </c>
      <c r="C348" s="3" t="s">
        <v>734</v>
      </c>
      <c r="D348" s="4"/>
      <c r="E348" s="4"/>
      <c r="F348" s="4"/>
      <c r="G348" s="4"/>
      <c r="H348" s="4"/>
      <c r="I348" s="4"/>
      <c r="J348" s="5">
        <f t="shared" si="82"/>
        <v>0</v>
      </c>
      <c r="K348" s="6"/>
      <c r="L348" s="6"/>
      <c r="M348" s="7">
        <f t="shared" si="96"/>
        <v>0</v>
      </c>
      <c r="N348" s="8"/>
      <c r="O348" s="6"/>
      <c r="P348" s="6">
        <f t="shared" si="97"/>
        <v>0</v>
      </c>
      <c r="Q348" s="8">
        <f t="shared" si="98"/>
        <v>0</v>
      </c>
      <c r="R348" s="6"/>
      <c r="S348" s="6" t="s">
        <v>80</v>
      </c>
      <c r="T348" s="6"/>
      <c r="U348" s="6"/>
      <c r="V348" s="6"/>
      <c r="W348" s="9"/>
      <c r="X348" s="6"/>
      <c r="Y348" s="9" t="e">
        <f t="shared" si="91"/>
        <v>#DIV/0!</v>
      </c>
      <c r="Z348" s="10" t="e">
        <f t="shared" si="92"/>
        <v>#DIV/0!</v>
      </c>
      <c r="AA348" s="10" t="e">
        <f t="shared" si="93"/>
        <v>#DIV/0!</v>
      </c>
      <c r="AB348" s="11" t="e">
        <f t="shared" si="94"/>
        <v>#DIV/0!</v>
      </c>
      <c r="AC348" s="11" t="e">
        <f t="shared" si="95"/>
        <v>#DIV/0!</v>
      </c>
      <c r="AD348" s="11" t="s">
        <v>59</v>
      </c>
    </row>
    <row r="349" spans="1:30" s="1" customFormat="1" ht="17.100000000000001" customHeight="1">
      <c r="A349" s="2">
        <v>347</v>
      </c>
      <c r="B349" s="3" t="s">
        <v>735</v>
      </c>
      <c r="C349" s="3" t="s">
        <v>736</v>
      </c>
      <c r="D349" s="4"/>
      <c r="E349" s="4"/>
      <c r="F349" s="4"/>
      <c r="G349" s="4"/>
      <c r="H349" s="4"/>
      <c r="I349" s="4"/>
      <c r="J349" s="5">
        <f t="shared" si="82"/>
        <v>0</v>
      </c>
      <c r="K349" s="6"/>
      <c r="L349" s="6"/>
      <c r="M349" s="7">
        <f t="shared" si="96"/>
        <v>0</v>
      </c>
      <c r="N349" s="8"/>
      <c r="O349" s="6"/>
      <c r="P349" s="6">
        <f t="shared" si="97"/>
        <v>0</v>
      </c>
      <c r="Q349" s="8">
        <f t="shared" si="98"/>
        <v>0</v>
      </c>
      <c r="R349" s="6"/>
      <c r="S349" s="6" t="s">
        <v>80</v>
      </c>
      <c r="T349" s="6"/>
      <c r="U349" s="6"/>
      <c r="V349" s="6"/>
      <c r="W349" s="9"/>
      <c r="X349" s="6"/>
      <c r="Y349" s="9" t="e">
        <f t="shared" si="91"/>
        <v>#DIV/0!</v>
      </c>
      <c r="Z349" s="10" t="e">
        <f t="shared" si="92"/>
        <v>#DIV/0!</v>
      </c>
      <c r="AA349" s="10" t="e">
        <f t="shared" si="93"/>
        <v>#DIV/0!</v>
      </c>
      <c r="AB349" s="11" t="e">
        <f t="shared" si="94"/>
        <v>#DIV/0!</v>
      </c>
      <c r="AC349" s="11" t="e">
        <f t="shared" si="95"/>
        <v>#DIV/0!</v>
      </c>
      <c r="AD349" s="11" t="s">
        <v>59</v>
      </c>
    </row>
    <row r="350" spans="1:30" s="1" customFormat="1" ht="17.100000000000001" customHeight="1">
      <c r="A350" s="2">
        <v>348</v>
      </c>
      <c r="B350" s="3" t="s">
        <v>737</v>
      </c>
      <c r="C350" s="3" t="s">
        <v>738</v>
      </c>
      <c r="D350" s="4"/>
      <c r="E350" s="4"/>
      <c r="F350" s="4"/>
      <c r="G350" s="4"/>
      <c r="H350" s="4"/>
      <c r="I350" s="4"/>
      <c r="J350" s="5">
        <f t="shared" si="82"/>
        <v>0</v>
      </c>
      <c r="K350" s="6"/>
      <c r="L350" s="6"/>
      <c r="M350" s="7">
        <f t="shared" si="96"/>
        <v>0</v>
      </c>
      <c r="N350" s="8"/>
      <c r="O350" s="6"/>
      <c r="P350" s="6">
        <f t="shared" si="97"/>
        <v>0</v>
      </c>
      <c r="Q350" s="8">
        <f t="shared" si="98"/>
        <v>0</v>
      </c>
      <c r="R350" s="6"/>
      <c r="S350" s="6" t="s">
        <v>80</v>
      </c>
      <c r="T350" s="6"/>
      <c r="U350" s="6"/>
      <c r="V350" s="6"/>
      <c r="W350" s="9"/>
      <c r="X350" s="6"/>
      <c r="Y350" s="9" t="e">
        <f t="shared" si="91"/>
        <v>#DIV/0!</v>
      </c>
      <c r="Z350" s="10" t="e">
        <f t="shared" si="92"/>
        <v>#DIV/0!</v>
      </c>
      <c r="AA350" s="10" t="e">
        <f t="shared" si="93"/>
        <v>#DIV/0!</v>
      </c>
      <c r="AB350" s="11" t="e">
        <f t="shared" si="94"/>
        <v>#DIV/0!</v>
      </c>
      <c r="AC350" s="11" t="e">
        <f t="shared" si="95"/>
        <v>#DIV/0!</v>
      </c>
      <c r="AD350" s="11" t="s">
        <v>59</v>
      </c>
    </row>
    <row r="351" spans="1:30" s="1" customFormat="1" ht="17.100000000000001" customHeight="1">
      <c r="A351" s="2">
        <v>349</v>
      </c>
      <c r="B351" s="3" t="s">
        <v>739</v>
      </c>
      <c r="C351" s="3" t="s">
        <v>740</v>
      </c>
      <c r="D351" s="4"/>
      <c r="E351" s="4"/>
      <c r="F351" s="4"/>
      <c r="G351" s="4"/>
      <c r="H351" s="4"/>
      <c r="I351" s="4"/>
      <c r="J351" s="5">
        <f t="shared" si="82"/>
        <v>0</v>
      </c>
      <c r="K351" s="6"/>
      <c r="L351" s="6"/>
      <c r="M351" s="7">
        <f t="shared" si="96"/>
        <v>0</v>
      </c>
      <c r="N351" s="8"/>
      <c r="O351" s="6"/>
      <c r="P351" s="6">
        <f t="shared" si="97"/>
        <v>0</v>
      </c>
      <c r="Q351" s="8">
        <f t="shared" si="98"/>
        <v>0</v>
      </c>
      <c r="R351" s="6"/>
      <c r="S351" s="6" t="s">
        <v>80</v>
      </c>
      <c r="T351" s="6"/>
      <c r="U351" s="6"/>
      <c r="V351" s="6"/>
      <c r="W351" s="9"/>
      <c r="X351" s="6"/>
      <c r="Y351" s="9" t="e">
        <f t="shared" si="91"/>
        <v>#DIV/0!</v>
      </c>
      <c r="Z351" s="10" t="e">
        <f t="shared" si="92"/>
        <v>#DIV/0!</v>
      </c>
      <c r="AA351" s="10" t="e">
        <f t="shared" si="93"/>
        <v>#DIV/0!</v>
      </c>
      <c r="AB351" s="11" t="e">
        <f t="shared" si="94"/>
        <v>#DIV/0!</v>
      </c>
      <c r="AC351" s="11" t="e">
        <f t="shared" si="95"/>
        <v>#DIV/0!</v>
      </c>
      <c r="AD351" s="11" t="s">
        <v>59</v>
      </c>
    </row>
    <row r="352" spans="1:30" s="1" customFormat="1" ht="17.100000000000001" customHeight="1">
      <c r="A352" s="2">
        <v>350</v>
      </c>
      <c r="B352" s="3" t="s">
        <v>741</v>
      </c>
      <c r="C352" s="3" t="s">
        <v>742</v>
      </c>
      <c r="D352" s="4"/>
      <c r="E352" s="4"/>
      <c r="F352" s="4"/>
      <c r="G352" s="4"/>
      <c r="H352" s="4"/>
      <c r="I352" s="4"/>
      <c r="J352" s="5">
        <f t="shared" ref="J352:J415" si="99">(G352*H352*I352)/1000000</f>
        <v>0</v>
      </c>
      <c r="K352" s="6"/>
      <c r="L352" s="6"/>
      <c r="M352" s="7">
        <f t="shared" si="96"/>
        <v>0</v>
      </c>
      <c r="N352" s="8"/>
      <c r="O352" s="6"/>
      <c r="P352" s="6">
        <f t="shared" si="97"/>
        <v>0</v>
      </c>
      <c r="Q352" s="8">
        <f t="shared" si="98"/>
        <v>0</v>
      </c>
      <c r="R352" s="6"/>
      <c r="S352" s="6" t="s">
        <v>80</v>
      </c>
      <c r="T352" s="6"/>
      <c r="U352" s="6"/>
      <c r="V352" s="6"/>
      <c r="W352" s="9"/>
      <c r="X352" s="6"/>
      <c r="Y352" s="9" t="e">
        <f t="shared" si="91"/>
        <v>#DIV/0!</v>
      </c>
      <c r="Z352" s="10" t="e">
        <f t="shared" si="92"/>
        <v>#DIV/0!</v>
      </c>
      <c r="AA352" s="10" t="e">
        <f t="shared" si="93"/>
        <v>#DIV/0!</v>
      </c>
      <c r="AB352" s="11" t="e">
        <f t="shared" si="94"/>
        <v>#DIV/0!</v>
      </c>
      <c r="AC352" s="11" t="e">
        <f t="shared" si="95"/>
        <v>#DIV/0!</v>
      </c>
      <c r="AD352" s="11" t="s">
        <v>59</v>
      </c>
    </row>
    <row r="353" spans="1:30" s="1" customFormat="1" ht="17.100000000000001" customHeight="1">
      <c r="A353" s="2">
        <v>351</v>
      </c>
      <c r="B353" s="3" t="s">
        <v>743</v>
      </c>
      <c r="C353" s="3" t="s">
        <v>744</v>
      </c>
      <c r="D353" s="4"/>
      <c r="E353" s="4"/>
      <c r="F353" s="4"/>
      <c r="G353" s="4"/>
      <c r="H353" s="4"/>
      <c r="I353" s="4"/>
      <c r="J353" s="5">
        <f t="shared" si="99"/>
        <v>0</v>
      </c>
      <c r="K353" s="6"/>
      <c r="L353" s="6"/>
      <c r="M353" s="7">
        <f t="shared" si="96"/>
        <v>0</v>
      </c>
      <c r="N353" s="8"/>
      <c r="O353" s="6"/>
      <c r="P353" s="6">
        <f t="shared" si="97"/>
        <v>0</v>
      </c>
      <c r="Q353" s="8">
        <f t="shared" si="98"/>
        <v>0</v>
      </c>
      <c r="R353" s="6"/>
      <c r="S353" s="6" t="s">
        <v>80</v>
      </c>
      <c r="T353" s="6"/>
      <c r="U353" s="6"/>
      <c r="V353" s="6"/>
      <c r="W353" s="9"/>
      <c r="X353" s="6"/>
      <c r="Y353" s="9" t="e">
        <f t="shared" si="91"/>
        <v>#DIV/0!</v>
      </c>
      <c r="Z353" s="10" t="e">
        <f t="shared" si="92"/>
        <v>#DIV/0!</v>
      </c>
      <c r="AA353" s="10" t="e">
        <f t="shared" si="93"/>
        <v>#DIV/0!</v>
      </c>
      <c r="AB353" s="11" t="e">
        <f t="shared" si="94"/>
        <v>#DIV/0!</v>
      </c>
      <c r="AC353" s="11" t="e">
        <f t="shared" si="95"/>
        <v>#DIV/0!</v>
      </c>
      <c r="AD353" s="11" t="s">
        <v>59</v>
      </c>
    </row>
    <row r="354" spans="1:30" s="1" customFormat="1" ht="17.100000000000001" customHeight="1">
      <c r="A354" s="2">
        <v>352</v>
      </c>
      <c r="B354" s="3" t="s">
        <v>745</v>
      </c>
      <c r="C354" s="3" t="s">
        <v>746</v>
      </c>
      <c r="D354" s="4"/>
      <c r="E354" s="4"/>
      <c r="F354" s="4"/>
      <c r="G354" s="4"/>
      <c r="H354" s="4"/>
      <c r="I354" s="4"/>
      <c r="J354" s="5">
        <f t="shared" si="99"/>
        <v>0</v>
      </c>
      <c r="K354" s="6"/>
      <c r="L354" s="6"/>
      <c r="M354" s="7">
        <f t="shared" si="96"/>
        <v>0</v>
      </c>
      <c r="N354" s="8"/>
      <c r="O354" s="6"/>
      <c r="P354" s="6">
        <f t="shared" si="97"/>
        <v>0</v>
      </c>
      <c r="Q354" s="8">
        <f t="shared" si="98"/>
        <v>0</v>
      </c>
      <c r="R354" s="6"/>
      <c r="S354" s="6" t="s">
        <v>80</v>
      </c>
      <c r="T354" s="6"/>
      <c r="U354" s="6"/>
      <c r="V354" s="6"/>
      <c r="W354" s="9"/>
      <c r="X354" s="6"/>
      <c r="Y354" s="9" t="e">
        <f t="shared" si="91"/>
        <v>#DIV/0!</v>
      </c>
      <c r="Z354" s="10" t="e">
        <f t="shared" si="92"/>
        <v>#DIV/0!</v>
      </c>
      <c r="AA354" s="10" t="e">
        <f t="shared" si="93"/>
        <v>#DIV/0!</v>
      </c>
      <c r="AB354" s="11" t="e">
        <f t="shared" si="94"/>
        <v>#DIV/0!</v>
      </c>
      <c r="AC354" s="11" t="e">
        <f t="shared" si="95"/>
        <v>#DIV/0!</v>
      </c>
      <c r="AD354" s="11" t="s">
        <v>59</v>
      </c>
    </row>
    <row r="355" spans="1:30" s="1" customFormat="1" ht="17.100000000000001" customHeight="1">
      <c r="A355" s="2">
        <v>353</v>
      </c>
      <c r="B355" s="3" t="s">
        <v>747</v>
      </c>
      <c r="C355" s="3" t="s">
        <v>748</v>
      </c>
      <c r="D355" s="4"/>
      <c r="E355" s="4"/>
      <c r="F355" s="4"/>
      <c r="G355" s="4"/>
      <c r="H355" s="4"/>
      <c r="I355" s="4"/>
      <c r="J355" s="5">
        <f t="shared" si="99"/>
        <v>0</v>
      </c>
      <c r="K355" s="6"/>
      <c r="L355" s="6"/>
      <c r="M355" s="7">
        <f t="shared" si="96"/>
        <v>0</v>
      </c>
      <c r="N355" s="8"/>
      <c r="O355" s="6"/>
      <c r="P355" s="6">
        <f t="shared" si="97"/>
        <v>0</v>
      </c>
      <c r="Q355" s="8">
        <f t="shared" si="98"/>
        <v>0</v>
      </c>
      <c r="R355" s="6"/>
      <c r="S355" s="6" t="s">
        <v>80</v>
      </c>
      <c r="T355" s="6"/>
      <c r="U355" s="6"/>
      <c r="V355" s="6"/>
      <c r="W355" s="9"/>
      <c r="X355" s="6"/>
      <c r="Y355" s="9" t="e">
        <f t="shared" si="91"/>
        <v>#DIV/0!</v>
      </c>
      <c r="Z355" s="10" t="e">
        <f t="shared" si="92"/>
        <v>#DIV/0!</v>
      </c>
      <c r="AA355" s="10" t="e">
        <f t="shared" si="93"/>
        <v>#DIV/0!</v>
      </c>
      <c r="AB355" s="11" t="e">
        <f t="shared" si="94"/>
        <v>#DIV/0!</v>
      </c>
      <c r="AC355" s="11" t="e">
        <f t="shared" si="95"/>
        <v>#DIV/0!</v>
      </c>
      <c r="AD355" s="11" t="s">
        <v>59</v>
      </c>
    </row>
    <row r="356" spans="1:30" s="1" customFormat="1" ht="17.100000000000001" customHeight="1">
      <c r="A356" s="2">
        <v>354</v>
      </c>
      <c r="B356" s="3" t="s">
        <v>749</v>
      </c>
      <c r="C356" s="3" t="s">
        <v>750</v>
      </c>
      <c r="D356" s="4"/>
      <c r="E356" s="4"/>
      <c r="F356" s="4"/>
      <c r="G356" s="4"/>
      <c r="H356" s="4"/>
      <c r="I356" s="4"/>
      <c r="J356" s="5">
        <f t="shared" si="99"/>
        <v>0</v>
      </c>
      <c r="K356" s="6"/>
      <c r="L356" s="6"/>
      <c r="M356" s="7">
        <f t="shared" si="96"/>
        <v>0</v>
      </c>
      <c r="N356" s="8"/>
      <c r="O356" s="6"/>
      <c r="P356" s="6">
        <f t="shared" si="97"/>
        <v>0</v>
      </c>
      <c r="Q356" s="8">
        <f t="shared" si="98"/>
        <v>0</v>
      </c>
      <c r="R356" s="6"/>
      <c r="S356" s="6" t="s">
        <v>80</v>
      </c>
      <c r="T356" s="6"/>
      <c r="U356" s="6"/>
      <c r="V356" s="6"/>
      <c r="W356" s="9"/>
      <c r="X356" s="6"/>
      <c r="Y356" s="9" t="e">
        <f t="shared" si="91"/>
        <v>#DIV/0!</v>
      </c>
      <c r="Z356" s="10" t="e">
        <f t="shared" si="92"/>
        <v>#DIV/0!</v>
      </c>
      <c r="AA356" s="10" t="e">
        <f t="shared" si="93"/>
        <v>#DIV/0!</v>
      </c>
      <c r="AB356" s="11" t="e">
        <f t="shared" si="94"/>
        <v>#DIV/0!</v>
      </c>
      <c r="AC356" s="11" t="e">
        <f t="shared" si="95"/>
        <v>#DIV/0!</v>
      </c>
      <c r="AD356" s="11" t="s">
        <v>59</v>
      </c>
    </row>
    <row r="357" spans="1:30" s="1" customFormat="1" ht="17.100000000000001" customHeight="1">
      <c r="A357" s="2">
        <v>355</v>
      </c>
      <c r="B357" s="3" t="s">
        <v>751</v>
      </c>
      <c r="C357" s="3" t="s">
        <v>752</v>
      </c>
      <c r="D357" s="4"/>
      <c r="E357" s="4"/>
      <c r="F357" s="4"/>
      <c r="G357" s="4"/>
      <c r="H357" s="4"/>
      <c r="I357" s="4"/>
      <c r="J357" s="5">
        <f t="shared" si="99"/>
        <v>0</v>
      </c>
      <c r="K357" s="6"/>
      <c r="L357" s="6"/>
      <c r="M357" s="7">
        <f t="shared" si="96"/>
        <v>0</v>
      </c>
      <c r="N357" s="8"/>
      <c r="O357" s="6"/>
      <c r="P357" s="6">
        <f t="shared" si="97"/>
        <v>0</v>
      </c>
      <c r="Q357" s="8">
        <f t="shared" si="98"/>
        <v>0</v>
      </c>
      <c r="R357" s="6"/>
      <c r="S357" s="6" t="s">
        <v>80</v>
      </c>
      <c r="T357" s="6"/>
      <c r="U357" s="6"/>
      <c r="V357" s="6"/>
      <c r="W357" s="9"/>
      <c r="X357" s="6"/>
      <c r="Y357" s="9" t="e">
        <f t="shared" si="91"/>
        <v>#DIV/0!</v>
      </c>
      <c r="Z357" s="10" t="e">
        <f t="shared" si="92"/>
        <v>#DIV/0!</v>
      </c>
      <c r="AA357" s="10" t="e">
        <f t="shared" si="93"/>
        <v>#DIV/0!</v>
      </c>
      <c r="AB357" s="11" t="e">
        <f t="shared" si="94"/>
        <v>#DIV/0!</v>
      </c>
      <c r="AC357" s="11" t="e">
        <f t="shared" si="95"/>
        <v>#DIV/0!</v>
      </c>
      <c r="AD357" s="11" t="s">
        <v>59</v>
      </c>
    </row>
    <row r="358" spans="1:30" s="1" customFormat="1" ht="17.100000000000001" customHeight="1">
      <c r="A358" s="2">
        <v>356</v>
      </c>
      <c r="B358" s="3" t="s">
        <v>753</v>
      </c>
      <c r="C358" s="3" t="s">
        <v>754</v>
      </c>
      <c r="D358" s="4"/>
      <c r="E358" s="4"/>
      <c r="F358" s="4"/>
      <c r="G358" s="4"/>
      <c r="H358" s="4"/>
      <c r="I358" s="4"/>
      <c r="J358" s="5">
        <f t="shared" si="99"/>
        <v>0</v>
      </c>
      <c r="K358" s="6"/>
      <c r="L358" s="6"/>
      <c r="M358" s="7">
        <f t="shared" si="96"/>
        <v>0</v>
      </c>
      <c r="N358" s="8"/>
      <c r="O358" s="6"/>
      <c r="P358" s="6">
        <f t="shared" si="97"/>
        <v>0</v>
      </c>
      <c r="Q358" s="8">
        <f t="shared" si="98"/>
        <v>0</v>
      </c>
      <c r="R358" s="6"/>
      <c r="S358" s="6" t="s">
        <v>80</v>
      </c>
      <c r="T358" s="6"/>
      <c r="U358" s="6"/>
      <c r="V358" s="6"/>
      <c r="W358" s="9"/>
      <c r="X358" s="6"/>
      <c r="Y358" s="9" t="e">
        <f t="shared" si="91"/>
        <v>#DIV/0!</v>
      </c>
      <c r="Z358" s="10" t="e">
        <f t="shared" si="92"/>
        <v>#DIV/0!</v>
      </c>
      <c r="AA358" s="10" t="e">
        <f t="shared" si="93"/>
        <v>#DIV/0!</v>
      </c>
      <c r="AB358" s="11" t="e">
        <f t="shared" si="94"/>
        <v>#DIV/0!</v>
      </c>
      <c r="AC358" s="11" t="e">
        <f t="shared" si="95"/>
        <v>#DIV/0!</v>
      </c>
      <c r="AD358" s="11" t="s">
        <v>59</v>
      </c>
    </row>
    <row r="359" spans="1:30" s="1" customFormat="1" ht="17.100000000000001" customHeight="1">
      <c r="A359" s="2">
        <v>357</v>
      </c>
      <c r="B359" s="3" t="s">
        <v>755</v>
      </c>
      <c r="C359" s="3" t="s">
        <v>756</v>
      </c>
      <c r="D359" s="4"/>
      <c r="E359" s="4"/>
      <c r="F359" s="4"/>
      <c r="G359" s="4"/>
      <c r="H359" s="4"/>
      <c r="I359" s="4"/>
      <c r="J359" s="5">
        <f t="shared" si="99"/>
        <v>0</v>
      </c>
      <c r="K359" s="6"/>
      <c r="L359" s="6"/>
      <c r="M359" s="7">
        <f t="shared" si="96"/>
        <v>0</v>
      </c>
      <c r="N359" s="8"/>
      <c r="O359" s="6"/>
      <c r="P359" s="6">
        <f t="shared" si="97"/>
        <v>0</v>
      </c>
      <c r="Q359" s="8">
        <f t="shared" si="98"/>
        <v>0</v>
      </c>
      <c r="R359" s="6"/>
      <c r="S359" s="6" t="s">
        <v>80</v>
      </c>
      <c r="T359" s="6"/>
      <c r="U359" s="6"/>
      <c r="V359" s="6"/>
      <c r="W359" s="9"/>
      <c r="X359" s="6"/>
      <c r="Y359" s="9" t="e">
        <f t="shared" si="91"/>
        <v>#DIV/0!</v>
      </c>
      <c r="Z359" s="10" t="e">
        <f t="shared" si="92"/>
        <v>#DIV/0!</v>
      </c>
      <c r="AA359" s="10" t="e">
        <f t="shared" si="93"/>
        <v>#DIV/0!</v>
      </c>
      <c r="AB359" s="11" t="e">
        <f t="shared" si="94"/>
        <v>#DIV/0!</v>
      </c>
      <c r="AC359" s="11" t="e">
        <f t="shared" si="95"/>
        <v>#DIV/0!</v>
      </c>
      <c r="AD359" s="11" t="s">
        <v>59</v>
      </c>
    </row>
    <row r="360" spans="1:30" s="1" customFormat="1" ht="17.100000000000001" customHeight="1">
      <c r="A360" s="2">
        <v>358</v>
      </c>
      <c r="B360" s="3" t="s">
        <v>757</v>
      </c>
      <c r="C360" s="3" t="s">
        <v>758</v>
      </c>
      <c r="D360" s="4"/>
      <c r="E360" s="4"/>
      <c r="F360" s="4"/>
      <c r="G360" s="4"/>
      <c r="H360" s="4"/>
      <c r="I360" s="4"/>
      <c r="J360" s="5">
        <f t="shared" si="99"/>
        <v>0</v>
      </c>
      <c r="K360" s="6"/>
      <c r="L360" s="6"/>
      <c r="M360" s="7">
        <f t="shared" si="96"/>
        <v>0</v>
      </c>
      <c r="N360" s="8"/>
      <c r="O360" s="6"/>
      <c r="P360" s="6">
        <f t="shared" si="97"/>
        <v>0</v>
      </c>
      <c r="Q360" s="8">
        <f t="shared" si="98"/>
        <v>0</v>
      </c>
      <c r="R360" s="6"/>
      <c r="S360" s="6" t="s">
        <v>80</v>
      </c>
      <c r="T360" s="6"/>
      <c r="U360" s="6"/>
      <c r="V360" s="6"/>
      <c r="W360" s="9"/>
      <c r="X360" s="6"/>
      <c r="Y360" s="9" t="e">
        <f t="shared" si="91"/>
        <v>#DIV/0!</v>
      </c>
      <c r="Z360" s="10" t="e">
        <f t="shared" si="92"/>
        <v>#DIV/0!</v>
      </c>
      <c r="AA360" s="10" t="e">
        <f t="shared" si="93"/>
        <v>#DIV/0!</v>
      </c>
      <c r="AB360" s="11" t="e">
        <f t="shared" si="94"/>
        <v>#DIV/0!</v>
      </c>
      <c r="AC360" s="11" t="e">
        <f t="shared" si="95"/>
        <v>#DIV/0!</v>
      </c>
      <c r="AD360" s="11" t="s">
        <v>59</v>
      </c>
    </row>
    <row r="361" spans="1:30" s="1" customFormat="1" ht="17.100000000000001" customHeight="1">
      <c r="A361" s="2">
        <v>359</v>
      </c>
      <c r="B361" s="3" t="s">
        <v>759</v>
      </c>
      <c r="C361" s="3" t="s">
        <v>760</v>
      </c>
      <c r="D361" s="4"/>
      <c r="E361" s="4"/>
      <c r="F361" s="4"/>
      <c r="G361" s="4"/>
      <c r="H361" s="4"/>
      <c r="I361" s="4"/>
      <c r="J361" s="5">
        <f t="shared" si="99"/>
        <v>0</v>
      </c>
      <c r="K361" s="6"/>
      <c r="L361" s="6"/>
      <c r="M361" s="7">
        <f t="shared" si="96"/>
        <v>0</v>
      </c>
      <c r="N361" s="8"/>
      <c r="O361" s="6"/>
      <c r="P361" s="6">
        <f t="shared" si="97"/>
        <v>0</v>
      </c>
      <c r="Q361" s="8">
        <f t="shared" si="98"/>
        <v>0</v>
      </c>
      <c r="R361" s="6"/>
      <c r="S361" s="6" t="s">
        <v>80</v>
      </c>
      <c r="T361" s="6"/>
      <c r="U361" s="6"/>
      <c r="V361" s="6"/>
      <c r="W361" s="9"/>
      <c r="X361" s="6"/>
      <c r="Y361" s="9" t="e">
        <f t="shared" si="91"/>
        <v>#DIV/0!</v>
      </c>
      <c r="Z361" s="10" t="e">
        <f t="shared" si="92"/>
        <v>#DIV/0!</v>
      </c>
      <c r="AA361" s="10" t="e">
        <f t="shared" si="93"/>
        <v>#DIV/0!</v>
      </c>
      <c r="AB361" s="11" t="e">
        <f t="shared" si="94"/>
        <v>#DIV/0!</v>
      </c>
      <c r="AC361" s="11" t="e">
        <f t="shared" si="95"/>
        <v>#DIV/0!</v>
      </c>
      <c r="AD361" s="11" t="s">
        <v>59</v>
      </c>
    </row>
    <row r="362" spans="1:30" s="1" customFormat="1" ht="17.100000000000001" customHeight="1">
      <c r="A362" s="2">
        <v>360</v>
      </c>
      <c r="B362" s="3" t="s">
        <v>761</v>
      </c>
      <c r="C362" s="3" t="s">
        <v>762</v>
      </c>
      <c r="D362" s="4"/>
      <c r="E362" s="4"/>
      <c r="F362" s="4"/>
      <c r="G362" s="4"/>
      <c r="H362" s="4"/>
      <c r="I362" s="4"/>
      <c r="J362" s="5">
        <f t="shared" si="99"/>
        <v>0</v>
      </c>
      <c r="K362" s="6"/>
      <c r="L362" s="6"/>
      <c r="M362" s="7">
        <f t="shared" si="96"/>
        <v>0</v>
      </c>
      <c r="N362" s="8"/>
      <c r="O362" s="6"/>
      <c r="P362" s="6">
        <f t="shared" si="97"/>
        <v>0</v>
      </c>
      <c r="Q362" s="8">
        <f t="shared" si="98"/>
        <v>0</v>
      </c>
      <c r="R362" s="6"/>
      <c r="S362" s="6" t="s">
        <v>80</v>
      </c>
      <c r="T362" s="6"/>
      <c r="U362" s="6"/>
      <c r="V362" s="6"/>
      <c r="W362" s="9"/>
      <c r="X362" s="6"/>
      <c r="Y362" s="9" t="e">
        <f t="shared" si="91"/>
        <v>#DIV/0!</v>
      </c>
      <c r="Z362" s="10" t="e">
        <f t="shared" si="92"/>
        <v>#DIV/0!</v>
      </c>
      <c r="AA362" s="10" t="e">
        <f t="shared" si="93"/>
        <v>#DIV/0!</v>
      </c>
      <c r="AB362" s="11" t="e">
        <f t="shared" si="94"/>
        <v>#DIV/0!</v>
      </c>
      <c r="AC362" s="11" t="e">
        <f t="shared" si="95"/>
        <v>#DIV/0!</v>
      </c>
      <c r="AD362" s="11" t="s">
        <v>59</v>
      </c>
    </row>
    <row r="363" spans="1:30" s="1" customFormat="1" ht="17.100000000000001" customHeight="1">
      <c r="A363" s="2">
        <v>361</v>
      </c>
      <c r="B363" s="3" t="s">
        <v>763</v>
      </c>
      <c r="C363" s="3" t="s">
        <v>764</v>
      </c>
      <c r="D363" s="4"/>
      <c r="E363" s="4"/>
      <c r="F363" s="4"/>
      <c r="G363" s="4"/>
      <c r="H363" s="4"/>
      <c r="I363" s="4"/>
      <c r="J363" s="5">
        <f t="shared" si="99"/>
        <v>0</v>
      </c>
      <c r="K363" s="6"/>
      <c r="L363" s="6"/>
      <c r="M363" s="7">
        <f t="shared" si="96"/>
        <v>0</v>
      </c>
      <c r="N363" s="8"/>
      <c r="O363" s="6"/>
      <c r="P363" s="6">
        <f t="shared" si="97"/>
        <v>0</v>
      </c>
      <c r="Q363" s="8">
        <f t="shared" si="98"/>
        <v>0</v>
      </c>
      <c r="R363" s="6"/>
      <c r="S363" s="6" t="s">
        <v>80</v>
      </c>
      <c r="T363" s="6"/>
      <c r="U363" s="6"/>
      <c r="V363" s="6"/>
      <c r="W363" s="9"/>
      <c r="X363" s="6"/>
      <c r="Y363" s="9" t="e">
        <f t="shared" si="91"/>
        <v>#DIV/0!</v>
      </c>
      <c r="Z363" s="10" t="e">
        <f t="shared" si="92"/>
        <v>#DIV/0!</v>
      </c>
      <c r="AA363" s="10" t="e">
        <f t="shared" si="93"/>
        <v>#DIV/0!</v>
      </c>
      <c r="AB363" s="11" t="e">
        <f t="shared" si="94"/>
        <v>#DIV/0!</v>
      </c>
      <c r="AC363" s="11" t="e">
        <f t="shared" si="95"/>
        <v>#DIV/0!</v>
      </c>
      <c r="AD363" s="11" t="s">
        <v>59</v>
      </c>
    </row>
    <row r="364" spans="1:30" s="1" customFormat="1" ht="17.100000000000001" customHeight="1">
      <c r="A364" s="2">
        <v>362</v>
      </c>
      <c r="B364" s="3" t="s">
        <v>765</v>
      </c>
      <c r="C364" s="3" t="s">
        <v>766</v>
      </c>
      <c r="D364" s="4"/>
      <c r="E364" s="4"/>
      <c r="F364" s="4"/>
      <c r="G364" s="4"/>
      <c r="H364" s="4"/>
      <c r="I364" s="4"/>
      <c r="J364" s="5">
        <f t="shared" si="99"/>
        <v>0</v>
      </c>
      <c r="K364" s="6"/>
      <c r="L364" s="6"/>
      <c r="M364" s="7">
        <f t="shared" si="96"/>
        <v>0</v>
      </c>
      <c r="N364" s="8"/>
      <c r="O364" s="6"/>
      <c r="P364" s="6">
        <f t="shared" si="97"/>
        <v>0</v>
      </c>
      <c r="Q364" s="8">
        <f t="shared" si="98"/>
        <v>0</v>
      </c>
      <c r="R364" s="6"/>
      <c r="S364" s="6" t="s">
        <v>80</v>
      </c>
      <c r="T364" s="6"/>
      <c r="U364" s="6"/>
      <c r="V364" s="6"/>
      <c r="W364" s="9"/>
      <c r="X364" s="6"/>
      <c r="Y364" s="9" t="e">
        <f t="shared" si="91"/>
        <v>#DIV/0!</v>
      </c>
      <c r="Z364" s="10" t="e">
        <f t="shared" si="92"/>
        <v>#DIV/0!</v>
      </c>
      <c r="AA364" s="10" t="e">
        <f t="shared" si="93"/>
        <v>#DIV/0!</v>
      </c>
      <c r="AB364" s="11" t="e">
        <f t="shared" si="94"/>
        <v>#DIV/0!</v>
      </c>
      <c r="AC364" s="11" t="e">
        <f t="shared" si="95"/>
        <v>#DIV/0!</v>
      </c>
      <c r="AD364" s="11" t="s">
        <v>59</v>
      </c>
    </row>
    <row r="365" spans="1:30" s="1" customFormat="1" ht="17.100000000000001" customHeight="1">
      <c r="A365" s="2">
        <v>363</v>
      </c>
      <c r="B365" s="3" t="s">
        <v>767</v>
      </c>
      <c r="C365" s="3" t="s">
        <v>768</v>
      </c>
      <c r="D365" s="4"/>
      <c r="E365" s="4"/>
      <c r="F365" s="4"/>
      <c r="G365" s="4"/>
      <c r="H365" s="4"/>
      <c r="I365" s="4"/>
      <c r="J365" s="5">
        <f t="shared" si="99"/>
        <v>0</v>
      </c>
      <c r="K365" s="6"/>
      <c r="L365" s="6"/>
      <c r="M365" s="7">
        <f t="shared" si="96"/>
        <v>0</v>
      </c>
      <c r="N365" s="8"/>
      <c r="O365" s="6"/>
      <c r="P365" s="6">
        <f t="shared" si="97"/>
        <v>0</v>
      </c>
      <c r="Q365" s="8">
        <f t="shared" si="98"/>
        <v>0</v>
      </c>
      <c r="R365" s="6"/>
      <c r="S365" s="6" t="s">
        <v>80</v>
      </c>
      <c r="T365" s="6"/>
      <c r="U365" s="6"/>
      <c r="V365" s="6"/>
      <c r="W365" s="9"/>
      <c r="X365" s="6"/>
      <c r="Y365" s="9" t="e">
        <f t="shared" si="91"/>
        <v>#DIV/0!</v>
      </c>
      <c r="Z365" s="10" t="e">
        <f t="shared" si="92"/>
        <v>#DIV/0!</v>
      </c>
      <c r="AA365" s="10" t="e">
        <f t="shared" si="93"/>
        <v>#DIV/0!</v>
      </c>
      <c r="AB365" s="11" t="e">
        <f t="shared" si="94"/>
        <v>#DIV/0!</v>
      </c>
      <c r="AC365" s="11" t="e">
        <f t="shared" si="95"/>
        <v>#DIV/0!</v>
      </c>
      <c r="AD365" s="11" t="s">
        <v>59</v>
      </c>
    </row>
    <row r="366" spans="1:30" s="1" customFormat="1" ht="17.100000000000001" customHeight="1">
      <c r="A366" s="2">
        <v>364</v>
      </c>
      <c r="B366" s="3" t="s">
        <v>769</v>
      </c>
      <c r="C366" s="3" t="s">
        <v>770</v>
      </c>
      <c r="D366" s="4"/>
      <c r="E366" s="4"/>
      <c r="F366" s="4"/>
      <c r="G366" s="4"/>
      <c r="H366" s="4"/>
      <c r="I366" s="4"/>
      <c r="J366" s="5">
        <f t="shared" si="99"/>
        <v>0</v>
      </c>
      <c r="K366" s="6"/>
      <c r="L366" s="6"/>
      <c r="M366" s="7">
        <f t="shared" si="96"/>
        <v>0</v>
      </c>
      <c r="N366" s="8"/>
      <c r="O366" s="6"/>
      <c r="P366" s="6">
        <f t="shared" si="97"/>
        <v>0</v>
      </c>
      <c r="Q366" s="8">
        <f t="shared" si="98"/>
        <v>0</v>
      </c>
      <c r="R366" s="6"/>
      <c r="S366" s="6" t="s">
        <v>80</v>
      </c>
      <c r="T366" s="6"/>
      <c r="U366" s="6"/>
      <c r="V366" s="6"/>
      <c r="W366" s="9"/>
      <c r="X366" s="6"/>
      <c r="Y366" s="9" t="e">
        <f t="shared" si="91"/>
        <v>#DIV/0!</v>
      </c>
      <c r="Z366" s="10" t="e">
        <f t="shared" si="92"/>
        <v>#DIV/0!</v>
      </c>
      <c r="AA366" s="10" t="e">
        <f t="shared" si="93"/>
        <v>#DIV/0!</v>
      </c>
      <c r="AB366" s="11" t="e">
        <f t="shared" si="94"/>
        <v>#DIV/0!</v>
      </c>
      <c r="AC366" s="11" t="e">
        <f t="shared" si="95"/>
        <v>#DIV/0!</v>
      </c>
      <c r="AD366" s="11" t="s">
        <v>59</v>
      </c>
    </row>
    <row r="367" spans="1:30" s="1" customFormat="1" ht="17.100000000000001" customHeight="1">
      <c r="A367" s="2">
        <v>365</v>
      </c>
      <c r="B367" s="3" t="s">
        <v>771</v>
      </c>
      <c r="C367" s="3" t="s">
        <v>772</v>
      </c>
      <c r="D367" s="4"/>
      <c r="E367" s="4"/>
      <c r="F367" s="4"/>
      <c r="G367" s="4"/>
      <c r="H367" s="4"/>
      <c r="I367" s="4"/>
      <c r="J367" s="5">
        <f t="shared" si="99"/>
        <v>0</v>
      </c>
      <c r="K367" s="6"/>
      <c r="L367" s="6"/>
      <c r="M367" s="7">
        <f t="shared" si="96"/>
        <v>0</v>
      </c>
      <c r="N367" s="8"/>
      <c r="O367" s="6"/>
      <c r="P367" s="6">
        <f t="shared" si="97"/>
        <v>0</v>
      </c>
      <c r="Q367" s="8">
        <f t="shared" si="98"/>
        <v>0</v>
      </c>
      <c r="R367" s="6"/>
      <c r="S367" s="6" t="s">
        <v>80</v>
      </c>
      <c r="T367" s="6"/>
      <c r="U367" s="6"/>
      <c r="V367" s="6"/>
      <c r="W367" s="9"/>
      <c r="X367" s="6"/>
      <c r="Y367" s="9" t="e">
        <f t="shared" si="91"/>
        <v>#DIV/0!</v>
      </c>
      <c r="Z367" s="10" t="e">
        <f t="shared" si="92"/>
        <v>#DIV/0!</v>
      </c>
      <c r="AA367" s="10" t="e">
        <f t="shared" si="93"/>
        <v>#DIV/0!</v>
      </c>
      <c r="AB367" s="11" t="e">
        <f t="shared" si="94"/>
        <v>#DIV/0!</v>
      </c>
      <c r="AC367" s="11" t="e">
        <f t="shared" si="95"/>
        <v>#DIV/0!</v>
      </c>
      <c r="AD367" s="11" t="s">
        <v>59</v>
      </c>
    </row>
    <row r="368" spans="1:30" s="1" customFormat="1" ht="17.100000000000001" customHeight="1">
      <c r="A368" s="2">
        <v>366</v>
      </c>
      <c r="B368" s="3" t="s">
        <v>773</v>
      </c>
      <c r="C368" s="3" t="s">
        <v>774</v>
      </c>
      <c r="D368" s="4"/>
      <c r="E368" s="4"/>
      <c r="F368" s="4"/>
      <c r="G368" s="4"/>
      <c r="H368" s="4"/>
      <c r="I368" s="4"/>
      <c r="J368" s="5">
        <f t="shared" si="99"/>
        <v>0</v>
      </c>
      <c r="K368" s="6"/>
      <c r="L368" s="6"/>
      <c r="M368" s="7">
        <f t="shared" si="96"/>
        <v>0</v>
      </c>
      <c r="N368" s="8"/>
      <c r="O368" s="6"/>
      <c r="P368" s="6">
        <f t="shared" si="97"/>
        <v>0</v>
      </c>
      <c r="Q368" s="8">
        <f t="shared" si="98"/>
        <v>0</v>
      </c>
      <c r="R368" s="6"/>
      <c r="S368" s="6" t="s">
        <v>80</v>
      </c>
      <c r="T368" s="6"/>
      <c r="U368" s="6"/>
      <c r="V368" s="6"/>
      <c r="W368" s="9"/>
      <c r="X368" s="6"/>
      <c r="Y368" s="9" t="e">
        <f t="shared" si="91"/>
        <v>#DIV/0!</v>
      </c>
      <c r="Z368" s="10" t="e">
        <f t="shared" si="92"/>
        <v>#DIV/0!</v>
      </c>
      <c r="AA368" s="10" t="e">
        <f t="shared" si="93"/>
        <v>#DIV/0!</v>
      </c>
      <c r="AB368" s="11" t="e">
        <f t="shared" si="94"/>
        <v>#DIV/0!</v>
      </c>
      <c r="AC368" s="11" t="e">
        <f t="shared" si="95"/>
        <v>#DIV/0!</v>
      </c>
      <c r="AD368" s="11" t="s">
        <v>59</v>
      </c>
    </row>
    <row r="369" spans="1:30" s="1" customFormat="1" ht="17.100000000000001" customHeight="1">
      <c r="A369" s="2">
        <v>367</v>
      </c>
      <c r="B369" s="3" t="s">
        <v>775</v>
      </c>
      <c r="C369" s="3" t="s">
        <v>776</v>
      </c>
      <c r="D369" s="4"/>
      <c r="E369" s="4"/>
      <c r="F369" s="4"/>
      <c r="G369" s="4"/>
      <c r="H369" s="4"/>
      <c r="I369" s="4"/>
      <c r="J369" s="5">
        <f t="shared" si="99"/>
        <v>0</v>
      </c>
      <c r="K369" s="6"/>
      <c r="L369" s="6"/>
      <c r="M369" s="7">
        <f t="shared" si="96"/>
        <v>0</v>
      </c>
      <c r="N369" s="8"/>
      <c r="O369" s="6"/>
      <c r="P369" s="6">
        <f t="shared" si="97"/>
        <v>0</v>
      </c>
      <c r="Q369" s="8">
        <f t="shared" si="98"/>
        <v>0</v>
      </c>
      <c r="R369" s="6"/>
      <c r="S369" s="6" t="s">
        <v>80</v>
      </c>
      <c r="T369" s="6"/>
      <c r="U369" s="6"/>
      <c r="V369" s="6"/>
      <c r="W369" s="9"/>
      <c r="X369" s="6"/>
      <c r="Y369" s="9" t="e">
        <f t="shared" si="91"/>
        <v>#DIV/0!</v>
      </c>
      <c r="Z369" s="10" t="e">
        <f t="shared" si="92"/>
        <v>#DIV/0!</v>
      </c>
      <c r="AA369" s="10" t="e">
        <f t="shared" si="93"/>
        <v>#DIV/0!</v>
      </c>
      <c r="AB369" s="11" t="e">
        <f t="shared" si="94"/>
        <v>#DIV/0!</v>
      </c>
      <c r="AC369" s="11" t="e">
        <f t="shared" si="95"/>
        <v>#DIV/0!</v>
      </c>
      <c r="AD369" s="11" t="s">
        <v>59</v>
      </c>
    </row>
    <row r="370" spans="1:30" s="1" customFormat="1" ht="17.100000000000001" customHeight="1">
      <c r="A370" s="2">
        <v>368</v>
      </c>
      <c r="B370" s="3" t="s">
        <v>777</v>
      </c>
      <c r="C370" s="3" t="s">
        <v>778</v>
      </c>
      <c r="D370" s="4"/>
      <c r="E370" s="4"/>
      <c r="F370" s="4"/>
      <c r="G370" s="4"/>
      <c r="H370" s="4"/>
      <c r="I370" s="4"/>
      <c r="J370" s="5">
        <f t="shared" si="99"/>
        <v>0</v>
      </c>
      <c r="K370" s="6"/>
      <c r="L370" s="6"/>
      <c r="M370" s="7">
        <f t="shared" si="96"/>
        <v>0</v>
      </c>
      <c r="N370" s="8"/>
      <c r="O370" s="6"/>
      <c r="P370" s="6">
        <f t="shared" si="97"/>
        <v>0</v>
      </c>
      <c r="Q370" s="8">
        <f t="shared" si="98"/>
        <v>0</v>
      </c>
      <c r="R370" s="6"/>
      <c r="S370" s="6" t="s">
        <v>80</v>
      </c>
      <c r="T370" s="6"/>
      <c r="U370" s="6"/>
      <c r="V370" s="6"/>
      <c r="W370" s="9"/>
      <c r="X370" s="6"/>
      <c r="Y370" s="9" t="e">
        <f t="shared" si="91"/>
        <v>#DIV/0!</v>
      </c>
      <c r="Z370" s="10" t="e">
        <f t="shared" si="92"/>
        <v>#DIV/0!</v>
      </c>
      <c r="AA370" s="10" t="e">
        <f t="shared" si="93"/>
        <v>#DIV/0!</v>
      </c>
      <c r="AB370" s="11" t="e">
        <f t="shared" si="94"/>
        <v>#DIV/0!</v>
      </c>
      <c r="AC370" s="11" t="e">
        <f t="shared" si="95"/>
        <v>#DIV/0!</v>
      </c>
      <c r="AD370" s="11" t="s">
        <v>59</v>
      </c>
    </row>
    <row r="371" spans="1:30" s="1" customFormat="1" ht="17.100000000000001" customHeight="1">
      <c r="A371" s="2">
        <v>369</v>
      </c>
      <c r="B371" s="3" t="s">
        <v>779</v>
      </c>
      <c r="C371" s="3" t="s">
        <v>780</v>
      </c>
      <c r="D371" s="4"/>
      <c r="E371" s="4"/>
      <c r="F371" s="4"/>
      <c r="G371" s="4"/>
      <c r="H371" s="4"/>
      <c r="I371" s="4"/>
      <c r="J371" s="5">
        <f t="shared" si="99"/>
        <v>0</v>
      </c>
      <c r="K371" s="6"/>
      <c r="L371" s="6"/>
      <c r="M371" s="7">
        <f t="shared" si="96"/>
        <v>0</v>
      </c>
      <c r="N371" s="8"/>
      <c r="O371" s="6"/>
      <c r="P371" s="6">
        <f t="shared" si="97"/>
        <v>0</v>
      </c>
      <c r="Q371" s="8">
        <f t="shared" si="98"/>
        <v>0</v>
      </c>
      <c r="R371" s="6"/>
      <c r="S371" s="6" t="s">
        <v>80</v>
      </c>
      <c r="T371" s="6"/>
      <c r="U371" s="6"/>
      <c r="V371" s="6"/>
      <c r="W371" s="9"/>
      <c r="X371" s="6"/>
      <c r="Y371" s="9" t="e">
        <f t="shared" si="91"/>
        <v>#DIV/0!</v>
      </c>
      <c r="Z371" s="10" t="e">
        <f t="shared" si="92"/>
        <v>#DIV/0!</v>
      </c>
      <c r="AA371" s="10" t="e">
        <f t="shared" si="93"/>
        <v>#DIV/0!</v>
      </c>
      <c r="AB371" s="11" t="e">
        <f t="shared" si="94"/>
        <v>#DIV/0!</v>
      </c>
      <c r="AC371" s="11" t="e">
        <f t="shared" si="95"/>
        <v>#DIV/0!</v>
      </c>
      <c r="AD371" s="11" t="s">
        <v>59</v>
      </c>
    </row>
    <row r="372" spans="1:30" s="1" customFormat="1" ht="17.100000000000001" customHeight="1">
      <c r="A372" s="2">
        <v>370</v>
      </c>
      <c r="B372" s="3" t="s">
        <v>781</v>
      </c>
      <c r="C372" s="3" t="s">
        <v>782</v>
      </c>
      <c r="D372" s="4"/>
      <c r="E372" s="4"/>
      <c r="F372" s="4"/>
      <c r="G372" s="4"/>
      <c r="H372" s="4"/>
      <c r="I372" s="4"/>
      <c r="J372" s="5">
        <f t="shared" si="99"/>
        <v>0</v>
      </c>
      <c r="K372" s="6"/>
      <c r="L372" s="6"/>
      <c r="M372" s="7">
        <f t="shared" si="96"/>
        <v>0</v>
      </c>
      <c r="N372" s="8"/>
      <c r="O372" s="6"/>
      <c r="P372" s="6">
        <f t="shared" si="97"/>
        <v>0</v>
      </c>
      <c r="Q372" s="8">
        <f t="shared" si="98"/>
        <v>0</v>
      </c>
      <c r="R372" s="6"/>
      <c r="S372" s="6" t="s">
        <v>80</v>
      </c>
      <c r="T372" s="6"/>
      <c r="U372" s="6"/>
      <c r="V372" s="6"/>
      <c r="W372" s="9"/>
      <c r="X372" s="6"/>
      <c r="Y372" s="9" t="e">
        <f t="shared" si="91"/>
        <v>#DIV/0!</v>
      </c>
      <c r="Z372" s="10" t="e">
        <f t="shared" si="92"/>
        <v>#DIV/0!</v>
      </c>
      <c r="AA372" s="10" t="e">
        <f t="shared" si="93"/>
        <v>#DIV/0!</v>
      </c>
      <c r="AB372" s="11" t="e">
        <f t="shared" si="94"/>
        <v>#DIV/0!</v>
      </c>
      <c r="AC372" s="11" t="e">
        <f t="shared" si="95"/>
        <v>#DIV/0!</v>
      </c>
      <c r="AD372" s="11" t="s">
        <v>59</v>
      </c>
    </row>
    <row r="373" spans="1:30" s="1" customFormat="1" ht="17.100000000000001" customHeight="1">
      <c r="A373" s="2">
        <v>371</v>
      </c>
      <c r="B373" s="3" t="s">
        <v>783</v>
      </c>
      <c r="C373" s="3" t="s">
        <v>784</v>
      </c>
      <c r="D373" s="4"/>
      <c r="E373" s="4"/>
      <c r="F373" s="4"/>
      <c r="G373" s="4"/>
      <c r="H373" s="4"/>
      <c r="I373" s="4"/>
      <c r="J373" s="5">
        <f t="shared" si="99"/>
        <v>0</v>
      </c>
      <c r="K373" s="6"/>
      <c r="L373" s="6"/>
      <c r="M373" s="7">
        <f t="shared" si="96"/>
        <v>0</v>
      </c>
      <c r="N373" s="8"/>
      <c r="O373" s="6"/>
      <c r="P373" s="6">
        <f t="shared" si="97"/>
        <v>0</v>
      </c>
      <c r="Q373" s="8">
        <f t="shared" si="98"/>
        <v>0</v>
      </c>
      <c r="R373" s="6"/>
      <c r="S373" s="6" t="s">
        <v>80</v>
      </c>
      <c r="T373" s="6"/>
      <c r="U373" s="6"/>
      <c r="V373" s="6"/>
      <c r="W373" s="9"/>
      <c r="X373" s="6"/>
      <c r="Y373" s="9" t="e">
        <f t="shared" si="91"/>
        <v>#DIV/0!</v>
      </c>
      <c r="Z373" s="10" t="e">
        <f t="shared" si="92"/>
        <v>#DIV/0!</v>
      </c>
      <c r="AA373" s="10" t="e">
        <f t="shared" si="93"/>
        <v>#DIV/0!</v>
      </c>
      <c r="AB373" s="11" t="e">
        <f t="shared" si="94"/>
        <v>#DIV/0!</v>
      </c>
      <c r="AC373" s="11" t="e">
        <f t="shared" si="95"/>
        <v>#DIV/0!</v>
      </c>
      <c r="AD373" s="11" t="s">
        <v>59</v>
      </c>
    </row>
    <row r="374" spans="1:30" s="1" customFormat="1" ht="17.100000000000001" customHeight="1">
      <c r="A374" s="2">
        <v>372</v>
      </c>
      <c r="B374" s="3" t="s">
        <v>785</v>
      </c>
      <c r="C374" s="3" t="s">
        <v>786</v>
      </c>
      <c r="D374" s="4"/>
      <c r="E374" s="4"/>
      <c r="F374" s="4"/>
      <c r="G374" s="4"/>
      <c r="H374" s="4"/>
      <c r="I374" s="4"/>
      <c r="J374" s="5">
        <f t="shared" si="99"/>
        <v>0</v>
      </c>
      <c r="K374" s="6"/>
      <c r="L374" s="6"/>
      <c r="M374" s="7">
        <f t="shared" si="96"/>
        <v>0</v>
      </c>
      <c r="N374" s="8"/>
      <c r="O374" s="6"/>
      <c r="P374" s="6">
        <f t="shared" si="97"/>
        <v>0</v>
      </c>
      <c r="Q374" s="8">
        <f t="shared" si="98"/>
        <v>0</v>
      </c>
      <c r="R374" s="6"/>
      <c r="S374" s="6" t="s">
        <v>80</v>
      </c>
      <c r="T374" s="6"/>
      <c r="U374" s="6"/>
      <c r="V374" s="6"/>
      <c r="W374" s="9"/>
      <c r="X374" s="6"/>
      <c r="Y374" s="9" t="e">
        <f t="shared" si="91"/>
        <v>#DIV/0!</v>
      </c>
      <c r="Z374" s="10" t="e">
        <f t="shared" si="92"/>
        <v>#DIV/0!</v>
      </c>
      <c r="AA374" s="10" t="e">
        <f t="shared" si="93"/>
        <v>#DIV/0!</v>
      </c>
      <c r="AB374" s="11" t="e">
        <f t="shared" si="94"/>
        <v>#DIV/0!</v>
      </c>
      <c r="AC374" s="11" t="e">
        <f t="shared" si="95"/>
        <v>#DIV/0!</v>
      </c>
      <c r="AD374" s="11" t="s">
        <v>59</v>
      </c>
    </row>
    <row r="375" spans="1:30" s="1" customFormat="1" ht="17.100000000000001" customHeight="1">
      <c r="A375" s="2">
        <v>373</v>
      </c>
      <c r="B375" s="3" t="s">
        <v>787</v>
      </c>
      <c r="C375" s="3" t="s">
        <v>787</v>
      </c>
      <c r="D375" s="4"/>
      <c r="E375" s="4"/>
      <c r="F375" s="4"/>
      <c r="G375" s="4"/>
      <c r="H375" s="4"/>
      <c r="I375" s="4"/>
      <c r="J375" s="5">
        <f t="shared" si="99"/>
        <v>0</v>
      </c>
      <c r="K375" s="6"/>
      <c r="L375" s="6"/>
      <c r="M375" s="7">
        <f t="shared" si="96"/>
        <v>0</v>
      </c>
      <c r="N375" s="8"/>
      <c r="O375" s="6"/>
      <c r="P375" s="6">
        <f t="shared" si="97"/>
        <v>0</v>
      </c>
      <c r="Q375" s="8">
        <f t="shared" si="98"/>
        <v>0</v>
      </c>
      <c r="R375" s="6"/>
      <c r="S375" s="6" t="s">
        <v>80</v>
      </c>
      <c r="T375" s="6"/>
      <c r="U375" s="6"/>
      <c r="V375" s="6"/>
      <c r="W375" s="9"/>
      <c r="X375" s="6"/>
      <c r="Y375" s="9" t="e">
        <f t="shared" si="91"/>
        <v>#DIV/0!</v>
      </c>
      <c r="Z375" s="10" t="e">
        <f t="shared" si="92"/>
        <v>#DIV/0!</v>
      </c>
      <c r="AA375" s="10" t="e">
        <f t="shared" si="93"/>
        <v>#DIV/0!</v>
      </c>
      <c r="AB375" s="11" t="e">
        <f t="shared" si="94"/>
        <v>#DIV/0!</v>
      </c>
      <c r="AC375" s="11" t="e">
        <f t="shared" si="95"/>
        <v>#DIV/0!</v>
      </c>
      <c r="AD375" s="11" t="s">
        <v>59</v>
      </c>
    </row>
    <row r="376" spans="1:30" s="1" customFormat="1" ht="17.100000000000001" customHeight="1">
      <c r="A376" s="2">
        <v>374</v>
      </c>
      <c r="B376" s="3" t="s">
        <v>788</v>
      </c>
      <c r="C376" s="3" t="s">
        <v>789</v>
      </c>
      <c r="D376" s="4"/>
      <c r="E376" s="4"/>
      <c r="F376" s="4"/>
      <c r="G376" s="4"/>
      <c r="H376" s="4"/>
      <c r="I376" s="4"/>
      <c r="J376" s="5">
        <f t="shared" si="99"/>
        <v>0</v>
      </c>
      <c r="K376" s="6"/>
      <c r="L376" s="6"/>
      <c r="M376" s="7">
        <f t="shared" si="96"/>
        <v>0</v>
      </c>
      <c r="N376" s="8"/>
      <c r="O376" s="6"/>
      <c r="P376" s="6">
        <f t="shared" si="97"/>
        <v>0</v>
      </c>
      <c r="Q376" s="8">
        <f t="shared" si="98"/>
        <v>0</v>
      </c>
      <c r="R376" s="6"/>
      <c r="S376" s="6" t="s">
        <v>80</v>
      </c>
      <c r="T376" s="6"/>
      <c r="U376" s="6"/>
      <c r="V376" s="6"/>
      <c r="W376" s="9"/>
      <c r="X376" s="6"/>
      <c r="Y376" s="9" t="e">
        <f t="shared" si="91"/>
        <v>#DIV/0!</v>
      </c>
      <c r="Z376" s="10" t="e">
        <f t="shared" si="92"/>
        <v>#DIV/0!</v>
      </c>
      <c r="AA376" s="10" t="e">
        <f t="shared" si="93"/>
        <v>#DIV/0!</v>
      </c>
      <c r="AB376" s="11" t="e">
        <f t="shared" si="94"/>
        <v>#DIV/0!</v>
      </c>
      <c r="AC376" s="11" t="e">
        <f t="shared" si="95"/>
        <v>#DIV/0!</v>
      </c>
      <c r="AD376" s="11" t="s">
        <v>59</v>
      </c>
    </row>
    <row r="377" spans="1:30" s="1" customFormat="1" ht="17.100000000000001" customHeight="1">
      <c r="A377" s="2">
        <v>375</v>
      </c>
      <c r="B377" s="3" t="s">
        <v>790</v>
      </c>
      <c r="C377" s="3" t="s">
        <v>791</v>
      </c>
      <c r="D377" s="4"/>
      <c r="E377" s="4"/>
      <c r="F377" s="4"/>
      <c r="G377" s="4"/>
      <c r="H377" s="4"/>
      <c r="I377" s="4"/>
      <c r="J377" s="5">
        <f t="shared" si="99"/>
        <v>0</v>
      </c>
      <c r="K377" s="6"/>
      <c r="L377" s="6"/>
      <c r="M377" s="7">
        <f t="shared" si="96"/>
        <v>0</v>
      </c>
      <c r="N377" s="8"/>
      <c r="O377" s="6"/>
      <c r="P377" s="6">
        <f t="shared" si="97"/>
        <v>0</v>
      </c>
      <c r="Q377" s="8">
        <f t="shared" si="98"/>
        <v>0</v>
      </c>
      <c r="R377" s="6"/>
      <c r="S377" s="6" t="s">
        <v>80</v>
      </c>
      <c r="T377" s="6"/>
      <c r="U377" s="6"/>
      <c r="V377" s="6"/>
      <c r="W377" s="9"/>
      <c r="X377" s="6"/>
      <c r="Y377" s="9" t="e">
        <f t="shared" si="91"/>
        <v>#DIV/0!</v>
      </c>
      <c r="Z377" s="10" t="e">
        <f t="shared" si="92"/>
        <v>#DIV/0!</v>
      </c>
      <c r="AA377" s="10" t="e">
        <f t="shared" si="93"/>
        <v>#DIV/0!</v>
      </c>
      <c r="AB377" s="11" t="e">
        <f t="shared" si="94"/>
        <v>#DIV/0!</v>
      </c>
      <c r="AC377" s="11" t="e">
        <f t="shared" si="95"/>
        <v>#DIV/0!</v>
      </c>
      <c r="AD377" s="11" t="s">
        <v>59</v>
      </c>
    </row>
    <row r="378" spans="1:30" s="1" customFormat="1" ht="17.100000000000001" customHeight="1">
      <c r="A378" s="2">
        <v>376</v>
      </c>
      <c r="B378" s="3" t="s">
        <v>792</v>
      </c>
      <c r="C378" s="3" t="s">
        <v>793</v>
      </c>
      <c r="D378" s="4"/>
      <c r="E378" s="4"/>
      <c r="F378" s="4"/>
      <c r="G378" s="4"/>
      <c r="H378" s="4"/>
      <c r="I378" s="4"/>
      <c r="J378" s="5">
        <f t="shared" si="99"/>
        <v>0</v>
      </c>
      <c r="K378" s="6"/>
      <c r="L378" s="6"/>
      <c r="M378" s="7">
        <f t="shared" si="96"/>
        <v>0</v>
      </c>
      <c r="N378" s="8"/>
      <c r="O378" s="6"/>
      <c r="P378" s="6">
        <f t="shared" si="97"/>
        <v>0</v>
      </c>
      <c r="Q378" s="8">
        <f t="shared" si="98"/>
        <v>0</v>
      </c>
      <c r="R378" s="6"/>
      <c r="S378" s="6" t="s">
        <v>80</v>
      </c>
      <c r="T378" s="6"/>
      <c r="U378" s="6"/>
      <c r="V378" s="6"/>
      <c r="W378" s="9"/>
      <c r="X378" s="6"/>
      <c r="Y378" s="9" t="e">
        <f t="shared" si="91"/>
        <v>#DIV/0!</v>
      </c>
      <c r="Z378" s="10" t="e">
        <f t="shared" si="92"/>
        <v>#DIV/0!</v>
      </c>
      <c r="AA378" s="10" t="e">
        <f t="shared" si="93"/>
        <v>#DIV/0!</v>
      </c>
      <c r="AB378" s="11" t="e">
        <f t="shared" si="94"/>
        <v>#DIV/0!</v>
      </c>
      <c r="AC378" s="11" t="e">
        <f t="shared" si="95"/>
        <v>#DIV/0!</v>
      </c>
      <c r="AD378" s="11" t="s">
        <v>59</v>
      </c>
    </row>
    <row r="379" spans="1:30" s="1" customFormat="1" ht="17.100000000000001" customHeight="1">
      <c r="A379" s="2">
        <v>377</v>
      </c>
      <c r="B379" s="3" t="s">
        <v>794</v>
      </c>
      <c r="C379" s="3" t="s">
        <v>795</v>
      </c>
      <c r="D379" s="4"/>
      <c r="E379" s="4"/>
      <c r="F379" s="4"/>
      <c r="G379" s="4"/>
      <c r="H379" s="4"/>
      <c r="I379" s="4"/>
      <c r="J379" s="5">
        <f t="shared" si="99"/>
        <v>0</v>
      </c>
      <c r="K379" s="6"/>
      <c r="L379" s="6"/>
      <c r="M379" s="7">
        <f t="shared" si="96"/>
        <v>0</v>
      </c>
      <c r="N379" s="8"/>
      <c r="O379" s="6"/>
      <c r="P379" s="6">
        <f t="shared" si="97"/>
        <v>0</v>
      </c>
      <c r="Q379" s="8">
        <f t="shared" si="98"/>
        <v>0</v>
      </c>
      <c r="R379" s="6"/>
      <c r="S379" s="6" t="s">
        <v>80</v>
      </c>
      <c r="T379" s="6"/>
      <c r="U379" s="6"/>
      <c r="V379" s="6"/>
      <c r="W379" s="9"/>
      <c r="X379" s="6"/>
      <c r="Y379" s="9" t="e">
        <f t="shared" si="91"/>
        <v>#DIV/0!</v>
      </c>
      <c r="Z379" s="10" t="e">
        <f t="shared" si="92"/>
        <v>#DIV/0!</v>
      </c>
      <c r="AA379" s="10" t="e">
        <f t="shared" si="93"/>
        <v>#DIV/0!</v>
      </c>
      <c r="AB379" s="11" t="e">
        <f t="shared" si="94"/>
        <v>#DIV/0!</v>
      </c>
      <c r="AC379" s="11" t="e">
        <f t="shared" si="95"/>
        <v>#DIV/0!</v>
      </c>
      <c r="AD379" s="11" t="s">
        <v>59</v>
      </c>
    </row>
    <row r="380" spans="1:30" s="1" customFormat="1" ht="17.100000000000001" customHeight="1">
      <c r="A380" s="2">
        <v>378</v>
      </c>
      <c r="B380" s="3" t="s">
        <v>796</v>
      </c>
      <c r="C380" s="3" t="s">
        <v>797</v>
      </c>
      <c r="D380" s="4"/>
      <c r="E380" s="4"/>
      <c r="F380" s="4"/>
      <c r="G380" s="4"/>
      <c r="H380" s="4"/>
      <c r="I380" s="4"/>
      <c r="J380" s="5">
        <f t="shared" si="99"/>
        <v>0</v>
      </c>
      <c r="K380" s="6"/>
      <c r="L380" s="6"/>
      <c r="M380" s="7">
        <f t="shared" si="96"/>
        <v>0</v>
      </c>
      <c r="N380" s="8"/>
      <c r="O380" s="6"/>
      <c r="P380" s="6">
        <f t="shared" si="97"/>
        <v>0</v>
      </c>
      <c r="Q380" s="8">
        <f t="shared" si="98"/>
        <v>0</v>
      </c>
      <c r="R380" s="6"/>
      <c r="S380" s="6" t="s">
        <v>80</v>
      </c>
      <c r="T380" s="6"/>
      <c r="U380" s="6"/>
      <c r="V380" s="6"/>
      <c r="W380" s="9"/>
      <c r="X380" s="6"/>
      <c r="Y380" s="9" t="e">
        <f t="shared" si="91"/>
        <v>#DIV/0!</v>
      </c>
      <c r="Z380" s="10" t="e">
        <f t="shared" si="92"/>
        <v>#DIV/0!</v>
      </c>
      <c r="AA380" s="10" t="e">
        <f t="shared" si="93"/>
        <v>#DIV/0!</v>
      </c>
      <c r="AB380" s="11" t="e">
        <f t="shared" si="94"/>
        <v>#DIV/0!</v>
      </c>
      <c r="AC380" s="11" t="e">
        <f t="shared" si="95"/>
        <v>#DIV/0!</v>
      </c>
      <c r="AD380" s="11" t="s">
        <v>59</v>
      </c>
    </row>
    <row r="381" spans="1:30" s="1" customFormat="1" ht="17.100000000000001" customHeight="1">
      <c r="A381" s="2">
        <v>379</v>
      </c>
      <c r="B381" s="3" t="s">
        <v>798</v>
      </c>
      <c r="C381" s="3" t="s">
        <v>799</v>
      </c>
      <c r="D381" s="4"/>
      <c r="E381" s="4"/>
      <c r="F381" s="4"/>
      <c r="G381" s="4"/>
      <c r="H381" s="4"/>
      <c r="I381" s="4"/>
      <c r="J381" s="5">
        <f t="shared" si="99"/>
        <v>0</v>
      </c>
      <c r="K381" s="6"/>
      <c r="L381" s="6"/>
      <c r="M381" s="7">
        <f t="shared" si="96"/>
        <v>0</v>
      </c>
      <c r="N381" s="8"/>
      <c r="O381" s="6"/>
      <c r="P381" s="6">
        <f t="shared" si="97"/>
        <v>0</v>
      </c>
      <c r="Q381" s="8">
        <f t="shared" si="98"/>
        <v>0</v>
      </c>
      <c r="R381" s="6"/>
      <c r="S381" s="6" t="s">
        <v>80</v>
      </c>
      <c r="T381" s="6"/>
      <c r="U381" s="6"/>
      <c r="V381" s="6"/>
      <c r="W381" s="9"/>
      <c r="X381" s="6"/>
      <c r="Y381" s="9" t="e">
        <f t="shared" si="91"/>
        <v>#DIV/0!</v>
      </c>
      <c r="Z381" s="10" t="e">
        <f t="shared" si="92"/>
        <v>#DIV/0!</v>
      </c>
      <c r="AA381" s="10" t="e">
        <f t="shared" si="93"/>
        <v>#DIV/0!</v>
      </c>
      <c r="AB381" s="11" t="e">
        <f t="shared" si="94"/>
        <v>#DIV/0!</v>
      </c>
      <c r="AC381" s="11" t="e">
        <f t="shared" si="95"/>
        <v>#DIV/0!</v>
      </c>
      <c r="AD381" s="11" t="s">
        <v>59</v>
      </c>
    </row>
    <row r="382" spans="1:30" s="1" customFormat="1" ht="17.100000000000001" customHeight="1">
      <c r="A382" s="2">
        <v>380</v>
      </c>
      <c r="B382" s="3" t="s">
        <v>800</v>
      </c>
      <c r="C382" s="3" t="s">
        <v>801</v>
      </c>
      <c r="D382" s="4"/>
      <c r="E382" s="4"/>
      <c r="F382" s="4"/>
      <c r="G382" s="4"/>
      <c r="H382" s="4"/>
      <c r="I382" s="4"/>
      <c r="J382" s="5">
        <f t="shared" si="99"/>
        <v>0</v>
      </c>
      <c r="K382" s="6"/>
      <c r="L382" s="6"/>
      <c r="M382" s="7">
        <f t="shared" si="96"/>
        <v>0</v>
      </c>
      <c r="N382" s="8"/>
      <c r="O382" s="6"/>
      <c r="P382" s="6">
        <f t="shared" si="97"/>
        <v>0</v>
      </c>
      <c r="Q382" s="8">
        <f t="shared" si="98"/>
        <v>0</v>
      </c>
      <c r="R382" s="6"/>
      <c r="S382" s="6" t="s">
        <v>80</v>
      </c>
      <c r="T382" s="6"/>
      <c r="U382" s="6"/>
      <c r="V382" s="6"/>
      <c r="W382" s="9"/>
      <c r="X382" s="6"/>
      <c r="Y382" s="9" t="e">
        <f t="shared" si="91"/>
        <v>#DIV/0!</v>
      </c>
      <c r="Z382" s="10" t="e">
        <f t="shared" si="92"/>
        <v>#DIV/0!</v>
      </c>
      <c r="AA382" s="10" t="e">
        <f t="shared" si="93"/>
        <v>#DIV/0!</v>
      </c>
      <c r="AB382" s="11" t="e">
        <f t="shared" si="94"/>
        <v>#DIV/0!</v>
      </c>
      <c r="AC382" s="11" t="e">
        <f t="shared" si="95"/>
        <v>#DIV/0!</v>
      </c>
      <c r="AD382" s="11" t="s">
        <v>59</v>
      </c>
    </row>
    <row r="383" spans="1:30" s="1" customFormat="1" ht="17.100000000000001" customHeight="1">
      <c r="A383" s="2">
        <v>381</v>
      </c>
      <c r="B383" s="3" t="s">
        <v>802</v>
      </c>
      <c r="C383" s="3" t="s">
        <v>803</v>
      </c>
      <c r="D383" s="4"/>
      <c r="E383" s="4"/>
      <c r="F383" s="4"/>
      <c r="G383" s="4"/>
      <c r="H383" s="4"/>
      <c r="I383" s="4"/>
      <c r="J383" s="5">
        <f t="shared" si="99"/>
        <v>0</v>
      </c>
      <c r="K383" s="6"/>
      <c r="L383" s="6"/>
      <c r="M383" s="7">
        <f t="shared" si="96"/>
        <v>0</v>
      </c>
      <c r="N383" s="8"/>
      <c r="O383" s="6"/>
      <c r="P383" s="6">
        <f t="shared" si="97"/>
        <v>0</v>
      </c>
      <c r="Q383" s="8">
        <f t="shared" si="98"/>
        <v>0</v>
      </c>
      <c r="R383" s="6"/>
      <c r="S383" s="6" t="s">
        <v>80</v>
      </c>
      <c r="T383" s="6"/>
      <c r="U383" s="6"/>
      <c r="V383" s="6"/>
      <c r="W383" s="9"/>
      <c r="X383" s="6"/>
      <c r="Y383" s="9" t="e">
        <f t="shared" si="91"/>
        <v>#DIV/0!</v>
      </c>
      <c r="Z383" s="10" t="e">
        <f t="shared" si="92"/>
        <v>#DIV/0!</v>
      </c>
      <c r="AA383" s="10" t="e">
        <f t="shared" si="93"/>
        <v>#DIV/0!</v>
      </c>
      <c r="AB383" s="11" t="e">
        <f t="shared" si="94"/>
        <v>#DIV/0!</v>
      </c>
      <c r="AC383" s="11" t="e">
        <f t="shared" si="95"/>
        <v>#DIV/0!</v>
      </c>
      <c r="AD383" s="11" t="s">
        <v>59</v>
      </c>
    </row>
    <row r="384" spans="1:30" s="1" customFormat="1" ht="17.100000000000001" customHeight="1">
      <c r="A384" s="2">
        <v>382</v>
      </c>
      <c r="B384" s="3" t="s">
        <v>804</v>
      </c>
      <c r="C384" s="3" t="s">
        <v>805</v>
      </c>
      <c r="D384" s="4"/>
      <c r="E384" s="4"/>
      <c r="F384" s="4"/>
      <c r="G384" s="4"/>
      <c r="H384" s="4"/>
      <c r="I384" s="4"/>
      <c r="J384" s="5">
        <f t="shared" si="99"/>
        <v>0</v>
      </c>
      <c r="K384" s="6"/>
      <c r="L384" s="6"/>
      <c r="M384" s="7">
        <f t="shared" si="96"/>
        <v>0</v>
      </c>
      <c r="N384" s="8"/>
      <c r="O384" s="6"/>
      <c r="P384" s="6">
        <f t="shared" si="97"/>
        <v>0</v>
      </c>
      <c r="Q384" s="8">
        <f t="shared" si="98"/>
        <v>0</v>
      </c>
      <c r="R384" s="6"/>
      <c r="S384" s="6" t="s">
        <v>80</v>
      </c>
      <c r="T384" s="6"/>
      <c r="U384" s="6"/>
      <c r="V384" s="6"/>
      <c r="W384" s="9"/>
      <c r="X384" s="6"/>
      <c r="Y384" s="9" t="e">
        <f t="shared" si="91"/>
        <v>#DIV/0!</v>
      </c>
      <c r="Z384" s="10" t="e">
        <f t="shared" si="92"/>
        <v>#DIV/0!</v>
      </c>
      <c r="AA384" s="10" t="e">
        <f t="shared" si="93"/>
        <v>#DIV/0!</v>
      </c>
      <c r="AB384" s="11" t="e">
        <f t="shared" si="94"/>
        <v>#DIV/0!</v>
      </c>
      <c r="AC384" s="11" t="e">
        <f t="shared" si="95"/>
        <v>#DIV/0!</v>
      </c>
      <c r="AD384" s="11" t="s">
        <v>59</v>
      </c>
    </row>
    <row r="385" spans="1:30" s="1" customFormat="1" ht="17.100000000000001" customHeight="1">
      <c r="A385" s="2">
        <v>383</v>
      </c>
      <c r="B385" s="3" t="s">
        <v>806</v>
      </c>
      <c r="C385" s="3" t="s">
        <v>807</v>
      </c>
      <c r="D385" s="4"/>
      <c r="E385" s="4"/>
      <c r="F385" s="4"/>
      <c r="G385" s="4"/>
      <c r="H385" s="4"/>
      <c r="I385" s="4"/>
      <c r="J385" s="5">
        <f t="shared" si="99"/>
        <v>0</v>
      </c>
      <c r="K385" s="6"/>
      <c r="L385" s="6"/>
      <c r="M385" s="7">
        <f t="shared" si="96"/>
        <v>0</v>
      </c>
      <c r="N385" s="8"/>
      <c r="O385" s="6"/>
      <c r="P385" s="6">
        <f t="shared" si="97"/>
        <v>0</v>
      </c>
      <c r="Q385" s="8">
        <f t="shared" si="98"/>
        <v>0</v>
      </c>
      <c r="R385" s="6"/>
      <c r="S385" s="6" t="s">
        <v>80</v>
      </c>
      <c r="T385" s="6"/>
      <c r="U385" s="6"/>
      <c r="V385" s="6"/>
      <c r="W385" s="9"/>
      <c r="X385" s="6"/>
      <c r="Y385" s="9" t="e">
        <f t="shared" si="91"/>
        <v>#DIV/0!</v>
      </c>
      <c r="Z385" s="10" t="e">
        <f t="shared" si="92"/>
        <v>#DIV/0!</v>
      </c>
      <c r="AA385" s="10" t="e">
        <f t="shared" si="93"/>
        <v>#DIV/0!</v>
      </c>
      <c r="AB385" s="11" t="e">
        <f t="shared" si="94"/>
        <v>#DIV/0!</v>
      </c>
      <c r="AC385" s="11" t="e">
        <f t="shared" si="95"/>
        <v>#DIV/0!</v>
      </c>
      <c r="AD385" s="11" t="s">
        <v>59</v>
      </c>
    </row>
    <row r="386" spans="1:30" s="1" customFormat="1" ht="17.100000000000001" customHeight="1">
      <c r="A386" s="2">
        <v>384</v>
      </c>
      <c r="B386" s="3" t="s">
        <v>808</v>
      </c>
      <c r="C386" s="3" t="s">
        <v>809</v>
      </c>
      <c r="D386" s="4"/>
      <c r="E386" s="4"/>
      <c r="F386" s="4"/>
      <c r="G386" s="4"/>
      <c r="H386" s="4"/>
      <c r="I386" s="4"/>
      <c r="J386" s="5">
        <f t="shared" si="99"/>
        <v>0</v>
      </c>
      <c r="K386" s="6"/>
      <c r="L386" s="6"/>
      <c r="M386" s="7">
        <f t="shared" si="96"/>
        <v>0</v>
      </c>
      <c r="N386" s="8"/>
      <c r="O386" s="6"/>
      <c r="P386" s="6">
        <f t="shared" si="97"/>
        <v>0</v>
      </c>
      <c r="Q386" s="8">
        <f t="shared" si="98"/>
        <v>0</v>
      </c>
      <c r="R386" s="6"/>
      <c r="S386" s="6" t="s">
        <v>80</v>
      </c>
      <c r="T386" s="6"/>
      <c r="U386" s="6"/>
      <c r="V386" s="6"/>
      <c r="W386" s="9"/>
      <c r="X386" s="6"/>
      <c r="Y386" s="9" t="e">
        <f t="shared" si="91"/>
        <v>#DIV/0!</v>
      </c>
      <c r="Z386" s="10" t="e">
        <f t="shared" si="92"/>
        <v>#DIV/0!</v>
      </c>
      <c r="AA386" s="10" t="e">
        <f t="shared" si="93"/>
        <v>#DIV/0!</v>
      </c>
      <c r="AB386" s="11" t="e">
        <f t="shared" si="94"/>
        <v>#DIV/0!</v>
      </c>
      <c r="AC386" s="11" t="e">
        <f t="shared" si="95"/>
        <v>#DIV/0!</v>
      </c>
      <c r="AD386" s="11" t="s">
        <v>59</v>
      </c>
    </row>
    <row r="387" spans="1:30" s="1" customFormat="1" ht="17.100000000000001" customHeight="1">
      <c r="A387" s="2">
        <v>385</v>
      </c>
      <c r="B387" s="3" t="s">
        <v>810</v>
      </c>
      <c r="C387" s="3" t="s">
        <v>811</v>
      </c>
      <c r="D387" s="4"/>
      <c r="E387" s="4"/>
      <c r="F387" s="4"/>
      <c r="G387" s="4"/>
      <c r="H387" s="4"/>
      <c r="I387" s="4"/>
      <c r="J387" s="5">
        <f t="shared" si="99"/>
        <v>0</v>
      </c>
      <c r="K387" s="6"/>
      <c r="L387" s="6"/>
      <c r="M387" s="7">
        <f t="shared" si="96"/>
        <v>0</v>
      </c>
      <c r="N387" s="8"/>
      <c r="O387" s="6"/>
      <c r="P387" s="6">
        <f t="shared" si="97"/>
        <v>0</v>
      </c>
      <c r="Q387" s="8">
        <f t="shared" si="98"/>
        <v>0</v>
      </c>
      <c r="R387" s="6"/>
      <c r="S387" s="6" t="s">
        <v>80</v>
      </c>
      <c r="T387" s="6"/>
      <c r="U387" s="6"/>
      <c r="V387" s="6"/>
      <c r="W387" s="9"/>
      <c r="X387" s="6"/>
      <c r="Y387" s="9" t="e">
        <f t="shared" si="91"/>
        <v>#DIV/0!</v>
      </c>
      <c r="Z387" s="10" t="e">
        <f t="shared" si="92"/>
        <v>#DIV/0!</v>
      </c>
      <c r="AA387" s="10" t="e">
        <f t="shared" si="93"/>
        <v>#DIV/0!</v>
      </c>
      <c r="AB387" s="11" t="e">
        <f t="shared" si="94"/>
        <v>#DIV/0!</v>
      </c>
      <c r="AC387" s="11" t="e">
        <f t="shared" si="95"/>
        <v>#DIV/0!</v>
      </c>
      <c r="AD387" s="11" t="s">
        <v>59</v>
      </c>
    </row>
    <row r="388" spans="1:30" s="1" customFormat="1" ht="17.100000000000001" customHeight="1">
      <c r="A388" s="2">
        <v>386</v>
      </c>
      <c r="B388" s="3" t="s">
        <v>812</v>
      </c>
      <c r="C388" s="3" t="s">
        <v>813</v>
      </c>
      <c r="D388" s="4"/>
      <c r="E388" s="4"/>
      <c r="F388" s="4"/>
      <c r="G388" s="4"/>
      <c r="H388" s="4"/>
      <c r="I388" s="4"/>
      <c r="J388" s="5">
        <f t="shared" si="99"/>
        <v>0</v>
      </c>
      <c r="K388" s="6"/>
      <c r="L388" s="6"/>
      <c r="M388" s="7">
        <f t="shared" si="96"/>
        <v>0</v>
      </c>
      <c r="N388" s="8"/>
      <c r="O388" s="6"/>
      <c r="P388" s="6">
        <f t="shared" si="97"/>
        <v>0</v>
      </c>
      <c r="Q388" s="8">
        <f t="shared" si="98"/>
        <v>0</v>
      </c>
      <c r="R388" s="6"/>
      <c r="S388" s="6" t="s">
        <v>80</v>
      </c>
      <c r="T388" s="6"/>
      <c r="U388" s="6"/>
      <c r="V388" s="6"/>
      <c r="W388" s="9"/>
      <c r="X388" s="6"/>
      <c r="Y388" s="9" t="e">
        <f t="shared" si="91"/>
        <v>#DIV/0!</v>
      </c>
      <c r="Z388" s="10" t="e">
        <f t="shared" si="92"/>
        <v>#DIV/0!</v>
      </c>
      <c r="AA388" s="10" t="e">
        <f t="shared" si="93"/>
        <v>#DIV/0!</v>
      </c>
      <c r="AB388" s="11" t="e">
        <f t="shared" si="94"/>
        <v>#DIV/0!</v>
      </c>
      <c r="AC388" s="11" t="e">
        <f t="shared" si="95"/>
        <v>#DIV/0!</v>
      </c>
      <c r="AD388" s="11" t="s">
        <v>59</v>
      </c>
    </row>
    <row r="389" spans="1:30" s="1" customFormat="1" ht="17.100000000000001" customHeight="1">
      <c r="A389" s="2">
        <v>387</v>
      </c>
      <c r="B389" s="3" t="s">
        <v>814</v>
      </c>
      <c r="C389" s="3" t="s">
        <v>815</v>
      </c>
      <c r="D389" s="4"/>
      <c r="E389" s="4"/>
      <c r="F389" s="4"/>
      <c r="G389" s="4"/>
      <c r="H389" s="4"/>
      <c r="I389" s="4"/>
      <c r="J389" s="5">
        <f t="shared" si="99"/>
        <v>0</v>
      </c>
      <c r="K389" s="6"/>
      <c r="L389" s="6"/>
      <c r="M389" s="7">
        <f t="shared" si="96"/>
        <v>0</v>
      </c>
      <c r="N389" s="8"/>
      <c r="O389" s="6"/>
      <c r="P389" s="6">
        <f t="shared" si="97"/>
        <v>0</v>
      </c>
      <c r="Q389" s="8">
        <f t="shared" si="98"/>
        <v>0</v>
      </c>
      <c r="R389" s="6"/>
      <c r="S389" s="6" t="s">
        <v>80</v>
      </c>
      <c r="T389" s="6"/>
      <c r="U389" s="6"/>
      <c r="V389" s="6"/>
      <c r="W389" s="9"/>
      <c r="X389" s="6"/>
      <c r="Y389" s="9" t="e">
        <f t="shared" si="91"/>
        <v>#DIV/0!</v>
      </c>
      <c r="Z389" s="10" t="e">
        <f t="shared" si="92"/>
        <v>#DIV/0!</v>
      </c>
      <c r="AA389" s="10" t="e">
        <f t="shared" si="93"/>
        <v>#DIV/0!</v>
      </c>
      <c r="AB389" s="11" t="e">
        <f t="shared" si="94"/>
        <v>#DIV/0!</v>
      </c>
      <c r="AC389" s="11" t="e">
        <f t="shared" si="95"/>
        <v>#DIV/0!</v>
      </c>
      <c r="AD389" s="11" t="s">
        <v>59</v>
      </c>
    </row>
    <row r="390" spans="1:30" s="1" customFormat="1" ht="17.100000000000001" customHeight="1">
      <c r="A390" s="2">
        <v>388</v>
      </c>
      <c r="B390" s="3" t="s">
        <v>816</v>
      </c>
      <c r="C390" s="3" t="s">
        <v>817</v>
      </c>
      <c r="D390" s="4"/>
      <c r="E390" s="4"/>
      <c r="F390" s="4"/>
      <c r="G390" s="4"/>
      <c r="H390" s="4"/>
      <c r="I390" s="4"/>
      <c r="J390" s="5">
        <f t="shared" si="99"/>
        <v>0</v>
      </c>
      <c r="K390" s="6"/>
      <c r="L390" s="6"/>
      <c r="M390" s="7">
        <f t="shared" si="96"/>
        <v>0</v>
      </c>
      <c r="N390" s="8"/>
      <c r="O390" s="6"/>
      <c r="P390" s="6">
        <f t="shared" si="97"/>
        <v>0</v>
      </c>
      <c r="Q390" s="8">
        <f t="shared" si="98"/>
        <v>0</v>
      </c>
      <c r="R390" s="6"/>
      <c r="S390" s="6" t="s">
        <v>80</v>
      </c>
      <c r="T390" s="6"/>
      <c r="U390" s="6"/>
      <c r="V390" s="6"/>
      <c r="W390" s="9"/>
      <c r="X390" s="6"/>
      <c r="Y390" s="9" t="e">
        <f t="shared" si="91"/>
        <v>#DIV/0!</v>
      </c>
      <c r="Z390" s="10" t="e">
        <f t="shared" si="92"/>
        <v>#DIV/0!</v>
      </c>
      <c r="AA390" s="10" t="e">
        <f t="shared" si="93"/>
        <v>#DIV/0!</v>
      </c>
      <c r="AB390" s="11" t="e">
        <f t="shared" si="94"/>
        <v>#DIV/0!</v>
      </c>
      <c r="AC390" s="11" t="e">
        <f t="shared" si="95"/>
        <v>#DIV/0!</v>
      </c>
      <c r="AD390" s="11" t="s">
        <v>59</v>
      </c>
    </row>
    <row r="391" spans="1:30" s="1" customFormat="1" ht="17.100000000000001" customHeight="1">
      <c r="A391" s="2">
        <v>389</v>
      </c>
      <c r="B391" s="3" t="s">
        <v>818</v>
      </c>
      <c r="C391" s="3" t="s">
        <v>819</v>
      </c>
      <c r="D391" s="4"/>
      <c r="E391" s="4"/>
      <c r="F391" s="4"/>
      <c r="G391" s="4"/>
      <c r="H391" s="4"/>
      <c r="I391" s="4"/>
      <c r="J391" s="5">
        <f t="shared" si="99"/>
        <v>0</v>
      </c>
      <c r="K391" s="6"/>
      <c r="L391" s="6"/>
      <c r="M391" s="7">
        <f t="shared" si="96"/>
        <v>0</v>
      </c>
      <c r="N391" s="8"/>
      <c r="O391" s="6"/>
      <c r="P391" s="6">
        <f t="shared" si="97"/>
        <v>0</v>
      </c>
      <c r="Q391" s="8">
        <f t="shared" si="98"/>
        <v>0</v>
      </c>
      <c r="R391" s="6"/>
      <c r="S391" s="6" t="s">
        <v>80</v>
      </c>
      <c r="T391" s="6"/>
      <c r="U391" s="6"/>
      <c r="V391" s="6"/>
      <c r="W391" s="9"/>
      <c r="X391" s="6"/>
      <c r="Y391" s="9" t="e">
        <f t="shared" si="91"/>
        <v>#DIV/0!</v>
      </c>
      <c r="Z391" s="10" t="e">
        <f t="shared" si="92"/>
        <v>#DIV/0!</v>
      </c>
      <c r="AA391" s="10" t="e">
        <f t="shared" si="93"/>
        <v>#DIV/0!</v>
      </c>
      <c r="AB391" s="11" t="e">
        <f t="shared" si="94"/>
        <v>#DIV/0!</v>
      </c>
      <c r="AC391" s="11" t="e">
        <f t="shared" si="95"/>
        <v>#DIV/0!</v>
      </c>
      <c r="AD391" s="11" t="s">
        <v>59</v>
      </c>
    </row>
    <row r="392" spans="1:30" s="1" customFormat="1" ht="17.100000000000001" customHeight="1">
      <c r="A392" s="2">
        <v>390</v>
      </c>
      <c r="B392" s="3" t="s">
        <v>820</v>
      </c>
      <c r="C392" s="3" t="s">
        <v>821</v>
      </c>
      <c r="D392" s="4"/>
      <c r="E392" s="4"/>
      <c r="F392" s="4"/>
      <c r="G392" s="4"/>
      <c r="H392" s="4"/>
      <c r="I392" s="4"/>
      <c r="J392" s="5">
        <f t="shared" si="99"/>
        <v>0</v>
      </c>
      <c r="K392" s="6"/>
      <c r="L392" s="6"/>
      <c r="M392" s="7">
        <f t="shared" si="96"/>
        <v>0</v>
      </c>
      <c r="N392" s="8"/>
      <c r="O392" s="6"/>
      <c r="P392" s="6">
        <f t="shared" si="97"/>
        <v>0</v>
      </c>
      <c r="Q392" s="8">
        <f t="shared" si="98"/>
        <v>0</v>
      </c>
      <c r="R392" s="6"/>
      <c r="S392" s="6" t="s">
        <v>80</v>
      </c>
      <c r="T392" s="6"/>
      <c r="U392" s="6"/>
      <c r="V392" s="6"/>
      <c r="W392" s="9"/>
      <c r="X392" s="6"/>
      <c r="Y392" s="9" t="e">
        <f t="shared" si="91"/>
        <v>#DIV/0!</v>
      </c>
      <c r="Z392" s="10" t="e">
        <f t="shared" si="92"/>
        <v>#DIV/0!</v>
      </c>
      <c r="AA392" s="10" t="e">
        <f t="shared" si="93"/>
        <v>#DIV/0!</v>
      </c>
      <c r="AB392" s="11" t="e">
        <f t="shared" si="94"/>
        <v>#DIV/0!</v>
      </c>
      <c r="AC392" s="11" t="e">
        <f t="shared" si="95"/>
        <v>#DIV/0!</v>
      </c>
      <c r="AD392" s="11" t="s">
        <v>59</v>
      </c>
    </row>
    <row r="393" spans="1:30" s="1" customFormat="1" ht="17.100000000000001" customHeight="1">
      <c r="A393" s="2">
        <v>391</v>
      </c>
      <c r="B393" s="3" t="s">
        <v>822</v>
      </c>
      <c r="C393" s="3" t="s">
        <v>823</v>
      </c>
      <c r="D393" s="4"/>
      <c r="E393" s="4"/>
      <c r="F393" s="4"/>
      <c r="G393" s="4"/>
      <c r="H393" s="4"/>
      <c r="I393" s="4"/>
      <c r="J393" s="5">
        <f t="shared" si="99"/>
        <v>0</v>
      </c>
      <c r="K393" s="6"/>
      <c r="L393" s="6"/>
      <c r="M393" s="7">
        <f t="shared" si="96"/>
        <v>0</v>
      </c>
      <c r="N393" s="8"/>
      <c r="O393" s="6"/>
      <c r="P393" s="6">
        <f t="shared" si="97"/>
        <v>0</v>
      </c>
      <c r="Q393" s="8">
        <f t="shared" si="98"/>
        <v>0</v>
      </c>
      <c r="R393" s="6"/>
      <c r="S393" s="6" t="s">
        <v>80</v>
      </c>
      <c r="T393" s="6"/>
      <c r="U393" s="6"/>
      <c r="V393" s="6"/>
      <c r="W393" s="9"/>
      <c r="X393" s="6"/>
      <c r="Y393" s="9" t="e">
        <f t="shared" si="91"/>
        <v>#DIV/0!</v>
      </c>
      <c r="Z393" s="10" t="e">
        <f t="shared" si="92"/>
        <v>#DIV/0!</v>
      </c>
      <c r="AA393" s="10" t="e">
        <f t="shared" si="93"/>
        <v>#DIV/0!</v>
      </c>
      <c r="AB393" s="11" t="e">
        <f t="shared" si="94"/>
        <v>#DIV/0!</v>
      </c>
      <c r="AC393" s="11" t="e">
        <f t="shared" si="95"/>
        <v>#DIV/0!</v>
      </c>
      <c r="AD393" s="11" t="s">
        <v>59</v>
      </c>
    </row>
    <row r="394" spans="1:30" s="1" customFormat="1" ht="17.100000000000001" customHeight="1">
      <c r="A394" s="2">
        <v>392</v>
      </c>
      <c r="B394" s="3" t="s">
        <v>824</v>
      </c>
      <c r="C394" s="3" t="s">
        <v>825</v>
      </c>
      <c r="D394" s="4"/>
      <c r="E394" s="4"/>
      <c r="F394" s="4"/>
      <c r="G394" s="4"/>
      <c r="H394" s="4"/>
      <c r="I394" s="4"/>
      <c r="J394" s="5">
        <f t="shared" si="99"/>
        <v>0</v>
      </c>
      <c r="K394" s="6"/>
      <c r="L394" s="6"/>
      <c r="M394" s="7">
        <f t="shared" si="96"/>
        <v>0</v>
      </c>
      <c r="N394" s="8"/>
      <c r="O394" s="6"/>
      <c r="P394" s="6">
        <f t="shared" si="97"/>
        <v>0</v>
      </c>
      <c r="Q394" s="8">
        <f t="shared" si="98"/>
        <v>0</v>
      </c>
      <c r="R394" s="6"/>
      <c r="S394" s="6" t="s">
        <v>80</v>
      </c>
      <c r="T394" s="6"/>
      <c r="U394" s="6"/>
      <c r="V394" s="6"/>
      <c r="W394" s="9"/>
      <c r="X394" s="6"/>
      <c r="Y394" s="9" t="e">
        <f t="shared" si="91"/>
        <v>#DIV/0!</v>
      </c>
      <c r="Z394" s="10" t="e">
        <f t="shared" si="92"/>
        <v>#DIV/0!</v>
      </c>
      <c r="AA394" s="10" t="e">
        <f t="shared" si="93"/>
        <v>#DIV/0!</v>
      </c>
      <c r="AB394" s="11" t="e">
        <f t="shared" si="94"/>
        <v>#DIV/0!</v>
      </c>
      <c r="AC394" s="11" t="e">
        <f t="shared" si="95"/>
        <v>#DIV/0!</v>
      </c>
      <c r="AD394" s="11" t="s">
        <v>59</v>
      </c>
    </row>
    <row r="395" spans="1:30" s="1" customFormat="1" ht="17.100000000000001" customHeight="1">
      <c r="A395" s="2">
        <v>393</v>
      </c>
      <c r="B395" s="3" t="s">
        <v>826</v>
      </c>
      <c r="C395" s="3" t="s">
        <v>827</v>
      </c>
      <c r="D395" s="4"/>
      <c r="E395" s="4"/>
      <c r="F395" s="4"/>
      <c r="G395" s="4"/>
      <c r="H395" s="4"/>
      <c r="I395" s="4"/>
      <c r="J395" s="5">
        <f t="shared" si="99"/>
        <v>0</v>
      </c>
      <c r="K395" s="6"/>
      <c r="L395" s="6"/>
      <c r="M395" s="7">
        <f t="shared" si="96"/>
        <v>0</v>
      </c>
      <c r="N395" s="8"/>
      <c r="O395" s="6"/>
      <c r="P395" s="6">
        <f t="shared" si="97"/>
        <v>0</v>
      </c>
      <c r="Q395" s="8">
        <f t="shared" si="98"/>
        <v>0</v>
      </c>
      <c r="R395" s="6"/>
      <c r="S395" s="6" t="s">
        <v>80</v>
      </c>
      <c r="T395" s="6"/>
      <c r="U395" s="6"/>
      <c r="V395" s="6"/>
      <c r="W395" s="9"/>
      <c r="X395" s="6"/>
      <c r="Y395" s="9" t="e">
        <f t="shared" si="91"/>
        <v>#DIV/0!</v>
      </c>
      <c r="Z395" s="10" t="e">
        <f t="shared" si="92"/>
        <v>#DIV/0!</v>
      </c>
      <c r="AA395" s="10" t="e">
        <f t="shared" si="93"/>
        <v>#DIV/0!</v>
      </c>
      <c r="AB395" s="11" t="e">
        <f t="shared" si="94"/>
        <v>#DIV/0!</v>
      </c>
      <c r="AC395" s="11" t="e">
        <f t="shared" si="95"/>
        <v>#DIV/0!</v>
      </c>
      <c r="AD395" s="11" t="s">
        <v>59</v>
      </c>
    </row>
    <row r="396" spans="1:30" s="1" customFormat="1" ht="17.100000000000001" customHeight="1">
      <c r="A396" s="2">
        <v>394</v>
      </c>
      <c r="B396" s="3" t="s">
        <v>828</v>
      </c>
      <c r="C396" s="3" t="s">
        <v>829</v>
      </c>
      <c r="D396" s="4"/>
      <c r="E396" s="4"/>
      <c r="F396" s="4"/>
      <c r="G396" s="4"/>
      <c r="H396" s="4"/>
      <c r="I396" s="4"/>
      <c r="J396" s="5">
        <f t="shared" si="99"/>
        <v>0</v>
      </c>
      <c r="K396" s="6"/>
      <c r="L396" s="6"/>
      <c r="M396" s="7">
        <f t="shared" si="96"/>
        <v>0</v>
      </c>
      <c r="N396" s="8"/>
      <c r="O396" s="6"/>
      <c r="P396" s="6">
        <f t="shared" si="97"/>
        <v>0</v>
      </c>
      <c r="Q396" s="8">
        <f t="shared" si="98"/>
        <v>0</v>
      </c>
      <c r="R396" s="6"/>
      <c r="S396" s="6" t="s">
        <v>80</v>
      </c>
      <c r="T396" s="6"/>
      <c r="U396" s="6"/>
      <c r="V396" s="6"/>
      <c r="W396" s="9"/>
      <c r="X396" s="6"/>
      <c r="Y396" s="9" t="e">
        <f t="shared" si="91"/>
        <v>#DIV/0!</v>
      </c>
      <c r="Z396" s="10" t="e">
        <f t="shared" si="92"/>
        <v>#DIV/0!</v>
      </c>
      <c r="AA396" s="10" t="e">
        <f t="shared" si="93"/>
        <v>#DIV/0!</v>
      </c>
      <c r="AB396" s="11" t="e">
        <f t="shared" si="94"/>
        <v>#DIV/0!</v>
      </c>
      <c r="AC396" s="11" t="e">
        <f t="shared" si="95"/>
        <v>#DIV/0!</v>
      </c>
      <c r="AD396" s="11" t="s">
        <v>59</v>
      </c>
    </row>
    <row r="397" spans="1:30" s="1" customFormat="1" ht="17.100000000000001" customHeight="1">
      <c r="A397" s="2">
        <v>395</v>
      </c>
      <c r="B397" s="3" t="s">
        <v>830</v>
      </c>
      <c r="C397" s="3" t="s">
        <v>831</v>
      </c>
      <c r="D397" s="4"/>
      <c r="E397" s="4"/>
      <c r="F397" s="4"/>
      <c r="G397" s="4"/>
      <c r="H397" s="4"/>
      <c r="I397" s="4"/>
      <c r="J397" s="5">
        <f t="shared" si="99"/>
        <v>0</v>
      </c>
      <c r="K397" s="6"/>
      <c r="L397" s="6"/>
      <c r="M397" s="7">
        <f t="shared" si="96"/>
        <v>0</v>
      </c>
      <c r="N397" s="8"/>
      <c r="O397" s="6"/>
      <c r="P397" s="6">
        <f t="shared" si="97"/>
        <v>0</v>
      </c>
      <c r="Q397" s="8">
        <f t="shared" si="98"/>
        <v>0</v>
      </c>
      <c r="R397" s="6"/>
      <c r="S397" s="6" t="s">
        <v>80</v>
      </c>
      <c r="T397" s="6"/>
      <c r="U397" s="6"/>
      <c r="V397" s="6"/>
      <c r="W397" s="9"/>
      <c r="X397" s="6"/>
      <c r="Y397" s="9" t="e">
        <f t="shared" si="91"/>
        <v>#DIV/0!</v>
      </c>
      <c r="Z397" s="10" t="e">
        <f t="shared" si="92"/>
        <v>#DIV/0!</v>
      </c>
      <c r="AA397" s="10" t="e">
        <f t="shared" si="93"/>
        <v>#DIV/0!</v>
      </c>
      <c r="AB397" s="11" t="e">
        <f t="shared" si="94"/>
        <v>#DIV/0!</v>
      </c>
      <c r="AC397" s="11" t="e">
        <f t="shared" si="95"/>
        <v>#DIV/0!</v>
      </c>
      <c r="AD397" s="11" t="s">
        <v>59</v>
      </c>
    </row>
    <row r="398" spans="1:30" s="1" customFormat="1" ht="17.100000000000001" customHeight="1">
      <c r="A398" s="2">
        <v>396</v>
      </c>
      <c r="B398" s="3" t="s">
        <v>832</v>
      </c>
      <c r="C398" s="3" t="s">
        <v>833</v>
      </c>
      <c r="D398" s="4"/>
      <c r="E398" s="4"/>
      <c r="F398" s="4"/>
      <c r="G398" s="4"/>
      <c r="H398" s="4"/>
      <c r="I398" s="4"/>
      <c r="J398" s="5">
        <f t="shared" si="99"/>
        <v>0</v>
      </c>
      <c r="K398" s="6"/>
      <c r="L398" s="6"/>
      <c r="M398" s="7">
        <f t="shared" si="96"/>
        <v>0</v>
      </c>
      <c r="N398" s="8"/>
      <c r="O398" s="6"/>
      <c r="P398" s="6">
        <f t="shared" si="97"/>
        <v>0</v>
      </c>
      <c r="Q398" s="8">
        <f t="shared" si="98"/>
        <v>0</v>
      </c>
      <c r="R398" s="6"/>
      <c r="S398" s="6" t="s">
        <v>80</v>
      </c>
      <c r="T398" s="6"/>
      <c r="U398" s="6"/>
      <c r="V398" s="6"/>
      <c r="W398" s="9"/>
      <c r="X398" s="6"/>
      <c r="Y398" s="9" t="e">
        <f t="shared" ref="Y398:Y461" si="100">R398/M398*W398</f>
        <v>#DIV/0!</v>
      </c>
      <c r="Z398" s="10" t="e">
        <f t="shared" ref="Z398:Z461" si="101">(G398*H398*I398/4000)*(W398/M398)</f>
        <v>#DIV/0!</v>
      </c>
      <c r="AA398" s="10" t="e">
        <f t="shared" ref="AA398:AA461" si="102">(G398*H398*I398/6000)*(W398/M398)</f>
        <v>#DIV/0!</v>
      </c>
      <c r="AB398" s="11" t="e">
        <f t="shared" ref="AB398:AB461" si="103">(G398*H398*I398/1000000)*(W398/M398)</f>
        <v>#DIV/0!</v>
      </c>
      <c r="AC398" s="11" t="e">
        <f t="shared" ref="AC398:AC461" si="104">ROUNDUP(W398/M398,0)</f>
        <v>#DIV/0!</v>
      </c>
      <c r="AD398" s="11" t="s">
        <v>59</v>
      </c>
    </row>
    <row r="399" spans="1:30" s="1" customFormat="1" ht="17.100000000000001" customHeight="1">
      <c r="A399" s="2">
        <v>397</v>
      </c>
      <c r="B399" s="3" t="s">
        <v>834</v>
      </c>
      <c r="C399" s="3" t="s">
        <v>835</v>
      </c>
      <c r="D399" s="4"/>
      <c r="E399" s="4"/>
      <c r="F399" s="4"/>
      <c r="G399" s="4"/>
      <c r="H399" s="4"/>
      <c r="I399" s="4"/>
      <c r="J399" s="5">
        <f t="shared" si="99"/>
        <v>0</v>
      </c>
      <c r="K399" s="6"/>
      <c r="L399" s="6"/>
      <c r="M399" s="7">
        <f t="shared" si="96"/>
        <v>0</v>
      </c>
      <c r="N399" s="8"/>
      <c r="O399" s="6"/>
      <c r="P399" s="6">
        <f t="shared" si="97"/>
        <v>0</v>
      </c>
      <c r="Q399" s="8">
        <f t="shared" si="98"/>
        <v>0</v>
      </c>
      <c r="R399" s="6"/>
      <c r="S399" s="6" t="s">
        <v>80</v>
      </c>
      <c r="T399" s="6"/>
      <c r="U399" s="6"/>
      <c r="V399" s="6"/>
      <c r="W399" s="9"/>
      <c r="X399" s="6"/>
      <c r="Y399" s="9" t="e">
        <f t="shared" si="100"/>
        <v>#DIV/0!</v>
      </c>
      <c r="Z399" s="10" t="e">
        <f t="shared" si="101"/>
        <v>#DIV/0!</v>
      </c>
      <c r="AA399" s="10" t="e">
        <f t="shared" si="102"/>
        <v>#DIV/0!</v>
      </c>
      <c r="AB399" s="11" t="e">
        <f t="shared" si="103"/>
        <v>#DIV/0!</v>
      </c>
      <c r="AC399" s="11" t="e">
        <f t="shared" si="104"/>
        <v>#DIV/0!</v>
      </c>
      <c r="AD399" s="11" t="s">
        <v>59</v>
      </c>
    </row>
    <row r="400" spans="1:30" s="1" customFormat="1" ht="17.100000000000001" customHeight="1">
      <c r="A400" s="2">
        <v>398</v>
      </c>
      <c r="B400" s="3" t="s">
        <v>836</v>
      </c>
      <c r="C400" s="3" t="s">
        <v>837</v>
      </c>
      <c r="D400" s="4"/>
      <c r="E400" s="4"/>
      <c r="F400" s="4"/>
      <c r="G400" s="4"/>
      <c r="H400" s="4"/>
      <c r="I400" s="4"/>
      <c r="J400" s="5">
        <f t="shared" si="99"/>
        <v>0</v>
      </c>
      <c r="K400" s="6"/>
      <c r="L400" s="6"/>
      <c r="M400" s="7">
        <f t="shared" si="96"/>
        <v>0</v>
      </c>
      <c r="N400" s="8"/>
      <c r="O400" s="6"/>
      <c r="P400" s="6">
        <f t="shared" si="97"/>
        <v>0</v>
      </c>
      <c r="Q400" s="8">
        <f t="shared" si="98"/>
        <v>0</v>
      </c>
      <c r="R400" s="6"/>
      <c r="S400" s="6" t="s">
        <v>80</v>
      </c>
      <c r="T400" s="6"/>
      <c r="U400" s="6"/>
      <c r="V400" s="6"/>
      <c r="W400" s="9"/>
      <c r="X400" s="6"/>
      <c r="Y400" s="9" t="e">
        <f t="shared" si="100"/>
        <v>#DIV/0!</v>
      </c>
      <c r="Z400" s="10" t="e">
        <f t="shared" si="101"/>
        <v>#DIV/0!</v>
      </c>
      <c r="AA400" s="10" t="e">
        <f t="shared" si="102"/>
        <v>#DIV/0!</v>
      </c>
      <c r="AB400" s="11" t="e">
        <f t="shared" si="103"/>
        <v>#DIV/0!</v>
      </c>
      <c r="AC400" s="11" t="e">
        <f t="shared" si="104"/>
        <v>#DIV/0!</v>
      </c>
      <c r="AD400" s="11" t="s">
        <v>59</v>
      </c>
    </row>
    <row r="401" spans="1:30" s="1" customFormat="1" ht="17.100000000000001" customHeight="1">
      <c r="A401" s="2">
        <v>399</v>
      </c>
      <c r="B401" s="3" t="s">
        <v>838</v>
      </c>
      <c r="C401" s="3" t="s">
        <v>839</v>
      </c>
      <c r="D401" s="4"/>
      <c r="E401" s="4"/>
      <c r="F401" s="4"/>
      <c r="G401" s="4"/>
      <c r="H401" s="4"/>
      <c r="I401" s="4"/>
      <c r="J401" s="5">
        <f t="shared" si="99"/>
        <v>0</v>
      </c>
      <c r="K401" s="6"/>
      <c r="L401" s="6"/>
      <c r="M401" s="7">
        <f t="shared" si="96"/>
        <v>0</v>
      </c>
      <c r="N401" s="8"/>
      <c r="O401" s="6"/>
      <c r="P401" s="6">
        <f t="shared" si="97"/>
        <v>0</v>
      </c>
      <c r="Q401" s="8">
        <f t="shared" si="98"/>
        <v>0</v>
      </c>
      <c r="R401" s="6"/>
      <c r="S401" s="6" t="s">
        <v>80</v>
      </c>
      <c r="T401" s="6"/>
      <c r="U401" s="6"/>
      <c r="V401" s="6"/>
      <c r="W401" s="9"/>
      <c r="X401" s="6"/>
      <c r="Y401" s="9" t="e">
        <f t="shared" si="100"/>
        <v>#DIV/0!</v>
      </c>
      <c r="Z401" s="10" t="e">
        <f t="shared" si="101"/>
        <v>#DIV/0!</v>
      </c>
      <c r="AA401" s="10" t="e">
        <f t="shared" si="102"/>
        <v>#DIV/0!</v>
      </c>
      <c r="AB401" s="11" t="e">
        <f t="shared" si="103"/>
        <v>#DIV/0!</v>
      </c>
      <c r="AC401" s="11" t="e">
        <f t="shared" si="104"/>
        <v>#DIV/0!</v>
      </c>
      <c r="AD401" s="11" t="s">
        <v>59</v>
      </c>
    </row>
    <row r="402" spans="1:30" s="1" customFormat="1" ht="17.100000000000001" customHeight="1">
      <c r="A402" s="2">
        <v>400</v>
      </c>
      <c r="B402" s="3" t="s">
        <v>840</v>
      </c>
      <c r="C402" s="3" t="s">
        <v>841</v>
      </c>
      <c r="D402" s="4"/>
      <c r="E402" s="4"/>
      <c r="F402" s="4"/>
      <c r="G402" s="4"/>
      <c r="H402" s="4"/>
      <c r="I402" s="4"/>
      <c r="J402" s="5">
        <f t="shared" si="99"/>
        <v>0</v>
      </c>
      <c r="K402" s="6"/>
      <c r="L402" s="6"/>
      <c r="M402" s="7">
        <f t="shared" si="96"/>
        <v>0</v>
      </c>
      <c r="N402" s="8"/>
      <c r="O402" s="6"/>
      <c r="P402" s="6">
        <f t="shared" si="97"/>
        <v>0</v>
      </c>
      <c r="Q402" s="8">
        <f t="shared" si="98"/>
        <v>0</v>
      </c>
      <c r="R402" s="6"/>
      <c r="S402" s="6" t="s">
        <v>80</v>
      </c>
      <c r="T402" s="6"/>
      <c r="U402" s="6"/>
      <c r="V402" s="6"/>
      <c r="W402" s="9"/>
      <c r="X402" s="6"/>
      <c r="Y402" s="9" t="e">
        <f t="shared" si="100"/>
        <v>#DIV/0!</v>
      </c>
      <c r="Z402" s="10" t="e">
        <f t="shared" si="101"/>
        <v>#DIV/0!</v>
      </c>
      <c r="AA402" s="10" t="e">
        <f t="shared" si="102"/>
        <v>#DIV/0!</v>
      </c>
      <c r="AB402" s="11" t="e">
        <f t="shared" si="103"/>
        <v>#DIV/0!</v>
      </c>
      <c r="AC402" s="11" t="e">
        <f t="shared" si="104"/>
        <v>#DIV/0!</v>
      </c>
      <c r="AD402" s="11" t="s">
        <v>59</v>
      </c>
    </row>
    <row r="403" spans="1:30" s="1" customFormat="1" ht="17.100000000000001" customHeight="1">
      <c r="A403" s="2">
        <v>401</v>
      </c>
      <c r="B403" s="3" t="s">
        <v>842</v>
      </c>
      <c r="C403" s="3" t="s">
        <v>843</v>
      </c>
      <c r="D403" s="4"/>
      <c r="E403" s="4"/>
      <c r="F403" s="4"/>
      <c r="G403" s="4"/>
      <c r="H403" s="4"/>
      <c r="I403" s="4"/>
      <c r="J403" s="5">
        <f t="shared" si="99"/>
        <v>0</v>
      </c>
      <c r="K403" s="6"/>
      <c r="L403" s="6"/>
      <c r="M403" s="7">
        <f t="shared" si="96"/>
        <v>0</v>
      </c>
      <c r="N403" s="8"/>
      <c r="O403" s="6"/>
      <c r="P403" s="6">
        <f t="shared" si="97"/>
        <v>0</v>
      </c>
      <c r="Q403" s="8">
        <f t="shared" si="98"/>
        <v>0</v>
      </c>
      <c r="R403" s="6"/>
      <c r="S403" s="6" t="s">
        <v>80</v>
      </c>
      <c r="T403" s="6"/>
      <c r="U403" s="6"/>
      <c r="V403" s="6"/>
      <c r="W403" s="9"/>
      <c r="X403" s="6"/>
      <c r="Y403" s="9" t="e">
        <f t="shared" si="100"/>
        <v>#DIV/0!</v>
      </c>
      <c r="Z403" s="10" t="e">
        <f t="shared" si="101"/>
        <v>#DIV/0!</v>
      </c>
      <c r="AA403" s="10" t="e">
        <f t="shared" si="102"/>
        <v>#DIV/0!</v>
      </c>
      <c r="AB403" s="11" t="e">
        <f t="shared" si="103"/>
        <v>#DIV/0!</v>
      </c>
      <c r="AC403" s="11" t="e">
        <f t="shared" si="104"/>
        <v>#DIV/0!</v>
      </c>
      <c r="AD403" s="11" t="s">
        <v>59</v>
      </c>
    </row>
    <row r="404" spans="1:30" s="1" customFormat="1" ht="17.100000000000001" customHeight="1">
      <c r="A404" s="2">
        <v>402</v>
      </c>
      <c r="B404" s="3" t="s">
        <v>844</v>
      </c>
      <c r="C404" s="3" t="s">
        <v>845</v>
      </c>
      <c r="D404" s="4"/>
      <c r="E404" s="4"/>
      <c r="F404" s="4"/>
      <c r="G404" s="4"/>
      <c r="H404" s="4"/>
      <c r="I404" s="4"/>
      <c r="J404" s="5">
        <f t="shared" si="99"/>
        <v>0</v>
      </c>
      <c r="K404" s="6"/>
      <c r="L404" s="6"/>
      <c r="M404" s="7">
        <f t="shared" si="96"/>
        <v>0</v>
      </c>
      <c r="N404" s="8"/>
      <c r="O404" s="6"/>
      <c r="P404" s="6">
        <f t="shared" si="97"/>
        <v>0</v>
      </c>
      <c r="Q404" s="8">
        <f t="shared" si="98"/>
        <v>0</v>
      </c>
      <c r="R404" s="6"/>
      <c r="S404" s="6" t="s">
        <v>80</v>
      </c>
      <c r="T404" s="6"/>
      <c r="U404" s="6"/>
      <c r="V404" s="6"/>
      <c r="W404" s="9"/>
      <c r="X404" s="6"/>
      <c r="Y404" s="9" t="e">
        <f t="shared" si="100"/>
        <v>#DIV/0!</v>
      </c>
      <c r="Z404" s="10" t="e">
        <f t="shared" si="101"/>
        <v>#DIV/0!</v>
      </c>
      <c r="AA404" s="10" t="e">
        <f t="shared" si="102"/>
        <v>#DIV/0!</v>
      </c>
      <c r="AB404" s="11" t="e">
        <f t="shared" si="103"/>
        <v>#DIV/0!</v>
      </c>
      <c r="AC404" s="11" t="e">
        <f t="shared" si="104"/>
        <v>#DIV/0!</v>
      </c>
      <c r="AD404" s="11" t="s">
        <v>59</v>
      </c>
    </row>
    <row r="405" spans="1:30" s="1" customFormat="1" ht="17.100000000000001" customHeight="1">
      <c r="A405" s="2">
        <v>403</v>
      </c>
      <c r="B405" s="3" t="s">
        <v>846</v>
      </c>
      <c r="C405" s="3" t="s">
        <v>847</v>
      </c>
      <c r="D405" s="4"/>
      <c r="E405" s="4"/>
      <c r="F405" s="4"/>
      <c r="G405" s="4"/>
      <c r="H405" s="4"/>
      <c r="I405" s="4"/>
      <c r="J405" s="5">
        <f t="shared" si="99"/>
        <v>0</v>
      </c>
      <c r="K405" s="6"/>
      <c r="L405" s="6"/>
      <c r="M405" s="7">
        <f t="shared" si="96"/>
        <v>0</v>
      </c>
      <c r="N405" s="8"/>
      <c r="O405" s="6"/>
      <c r="P405" s="6">
        <f t="shared" si="97"/>
        <v>0</v>
      </c>
      <c r="Q405" s="8">
        <f t="shared" si="98"/>
        <v>0</v>
      </c>
      <c r="R405" s="6"/>
      <c r="S405" s="6" t="s">
        <v>80</v>
      </c>
      <c r="T405" s="6"/>
      <c r="U405" s="6"/>
      <c r="V405" s="6"/>
      <c r="W405" s="9"/>
      <c r="X405" s="6"/>
      <c r="Y405" s="9" t="e">
        <f t="shared" si="100"/>
        <v>#DIV/0!</v>
      </c>
      <c r="Z405" s="10" t="e">
        <f t="shared" si="101"/>
        <v>#DIV/0!</v>
      </c>
      <c r="AA405" s="10" t="e">
        <f t="shared" si="102"/>
        <v>#DIV/0!</v>
      </c>
      <c r="AB405" s="11" t="e">
        <f t="shared" si="103"/>
        <v>#DIV/0!</v>
      </c>
      <c r="AC405" s="11" t="e">
        <f t="shared" si="104"/>
        <v>#DIV/0!</v>
      </c>
      <c r="AD405" s="11" t="s">
        <v>59</v>
      </c>
    </row>
    <row r="406" spans="1:30" s="1" customFormat="1" ht="17.100000000000001" customHeight="1">
      <c r="A406" s="2">
        <v>404</v>
      </c>
      <c r="B406" s="3" t="s">
        <v>848</v>
      </c>
      <c r="C406" s="3" t="s">
        <v>849</v>
      </c>
      <c r="D406" s="4"/>
      <c r="E406" s="4"/>
      <c r="F406" s="4"/>
      <c r="G406" s="4"/>
      <c r="H406" s="4"/>
      <c r="I406" s="4"/>
      <c r="J406" s="5">
        <f t="shared" si="99"/>
        <v>0</v>
      </c>
      <c r="K406" s="6"/>
      <c r="L406" s="6"/>
      <c r="M406" s="7">
        <f t="shared" ref="M406:M469" si="105">K406*L406</f>
        <v>0</v>
      </c>
      <c r="N406" s="8"/>
      <c r="O406" s="6"/>
      <c r="P406" s="6">
        <f t="shared" ref="P406:P454" si="106">N406*O406</f>
        <v>0</v>
      </c>
      <c r="Q406" s="8">
        <f t="shared" ref="Q406:Q454" si="107">M406*P406</f>
        <v>0</v>
      </c>
      <c r="R406" s="6"/>
      <c r="S406" s="6" t="s">
        <v>80</v>
      </c>
      <c r="T406" s="6"/>
      <c r="U406" s="6"/>
      <c r="V406" s="6"/>
      <c r="W406" s="9"/>
      <c r="X406" s="6"/>
      <c r="Y406" s="9" t="e">
        <f t="shared" si="100"/>
        <v>#DIV/0!</v>
      </c>
      <c r="Z406" s="10" t="e">
        <f t="shared" si="101"/>
        <v>#DIV/0!</v>
      </c>
      <c r="AA406" s="10" t="e">
        <f t="shared" si="102"/>
        <v>#DIV/0!</v>
      </c>
      <c r="AB406" s="11" t="e">
        <f t="shared" si="103"/>
        <v>#DIV/0!</v>
      </c>
      <c r="AC406" s="11" t="e">
        <f t="shared" si="104"/>
        <v>#DIV/0!</v>
      </c>
      <c r="AD406" s="11" t="s">
        <v>59</v>
      </c>
    </row>
    <row r="407" spans="1:30" s="1" customFormat="1" ht="17.100000000000001" customHeight="1">
      <c r="A407" s="2">
        <v>405</v>
      </c>
      <c r="B407" s="3" t="s">
        <v>850</v>
      </c>
      <c r="C407" s="3" t="s">
        <v>851</v>
      </c>
      <c r="D407" s="4"/>
      <c r="E407" s="4"/>
      <c r="F407" s="4"/>
      <c r="G407" s="4"/>
      <c r="H407" s="4"/>
      <c r="I407" s="4"/>
      <c r="J407" s="5">
        <f t="shared" si="99"/>
        <v>0</v>
      </c>
      <c r="K407" s="6"/>
      <c r="L407" s="6"/>
      <c r="M407" s="7">
        <f t="shared" si="105"/>
        <v>0</v>
      </c>
      <c r="N407" s="8"/>
      <c r="O407" s="6"/>
      <c r="P407" s="6">
        <f t="shared" si="106"/>
        <v>0</v>
      </c>
      <c r="Q407" s="8">
        <f t="shared" si="107"/>
        <v>0</v>
      </c>
      <c r="R407" s="6"/>
      <c r="S407" s="6" t="s">
        <v>80</v>
      </c>
      <c r="T407" s="6"/>
      <c r="U407" s="6"/>
      <c r="V407" s="6"/>
      <c r="W407" s="9"/>
      <c r="X407" s="6"/>
      <c r="Y407" s="9" t="e">
        <f t="shared" si="100"/>
        <v>#DIV/0!</v>
      </c>
      <c r="Z407" s="10" t="e">
        <f t="shared" si="101"/>
        <v>#DIV/0!</v>
      </c>
      <c r="AA407" s="10" t="e">
        <f t="shared" si="102"/>
        <v>#DIV/0!</v>
      </c>
      <c r="AB407" s="11" t="e">
        <f t="shared" si="103"/>
        <v>#DIV/0!</v>
      </c>
      <c r="AC407" s="11" t="e">
        <f t="shared" si="104"/>
        <v>#DIV/0!</v>
      </c>
      <c r="AD407" s="11" t="s">
        <v>59</v>
      </c>
    </row>
    <row r="408" spans="1:30" s="1" customFormat="1" ht="17.100000000000001" customHeight="1">
      <c r="A408" s="2">
        <v>406</v>
      </c>
      <c r="B408" s="3" t="s">
        <v>852</v>
      </c>
      <c r="C408" s="3" t="s">
        <v>853</v>
      </c>
      <c r="D408" s="4"/>
      <c r="E408" s="4"/>
      <c r="F408" s="4"/>
      <c r="G408" s="4"/>
      <c r="H408" s="4"/>
      <c r="I408" s="4"/>
      <c r="J408" s="5">
        <f t="shared" si="99"/>
        <v>0</v>
      </c>
      <c r="K408" s="6"/>
      <c r="L408" s="6"/>
      <c r="M408" s="7">
        <f t="shared" si="105"/>
        <v>0</v>
      </c>
      <c r="N408" s="8"/>
      <c r="O408" s="6"/>
      <c r="P408" s="6">
        <f t="shared" si="106"/>
        <v>0</v>
      </c>
      <c r="Q408" s="8">
        <f t="shared" si="107"/>
        <v>0</v>
      </c>
      <c r="R408" s="6"/>
      <c r="S408" s="6" t="s">
        <v>80</v>
      </c>
      <c r="T408" s="6"/>
      <c r="U408" s="6"/>
      <c r="V408" s="6"/>
      <c r="W408" s="9"/>
      <c r="X408" s="6"/>
      <c r="Y408" s="9" t="e">
        <f t="shared" si="100"/>
        <v>#DIV/0!</v>
      </c>
      <c r="Z408" s="10" t="e">
        <f t="shared" si="101"/>
        <v>#DIV/0!</v>
      </c>
      <c r="AA408" s="10" t="e">
        <f t="shared" si="102"/>
        <v>#DIV/0!</v>
      </c>
      <c r="AB408" s="11" t="e">
        <f t="shared" si="103"/>
        <v>#DIV/0!</v>
      </c>
      <c r="AC408" s="11" t="e">
        <f t="shared" si="104"/>
        <v>#DIV/0!</v>
      </c>
      <c r="AD408" s="11" t="s">
        <v>59</v>
      </c>
    </row>
    <row r="409" spans="1:30" s="1" customFormat="1" ht="17.100000000000001" customHeight="1">
      <c r="A409" s="2">
        <v>407</v>
      </c>
      <c r="B409" s="3" t="s">
        <v>854</v>
      </c>
      <c r="C409" s="3" t="s">
        <v>855</v>
      </c>
      <c r="D409" s="4"/>
      <c r="E409" s="4"/>
      <c r="F409" s="4"/>
      <c r="G409" s="4"/>
      <c r="H409" s="4"/>
      <c r="I409" s="4"/>
      <c r="J409" s="5">
        <f t="shared" si="99"/>
        <v>0</v>
      </c>
      <c r="K409" s="6"/>
      <c r="L409" s="6"/>
      <c r="M409" s="7">
        <f t="shared" si="105"/>
        <v>0</v>
      </c>
      <c r="N409" s="8"/>
      <c r="O409" s="6"/>
      <c r="P409" s="6">
        <f t="shared" si="106"/>
        <v>0</v>
      </c>
      <c r="Q409" s="8">
        <f t="shared" si="107"/>
        <v>0</v>
      </c>
      <c r="R409" s="6"/>
      <c r="S409" s="6" t="s">
        <v>80</v>
      </c>
      <c r="T409" s="6"/>
      <c r="U409" s="6"/>
      <c r="V409" s="6"/>
      <c r="W409" s="9"/>
      <c r="X409" s="6"/>
      <c r="Y409" s="9" t="e">
        <f t="shared" si="100"/>
        <v>#DIV/0!</v>
      </c>
      <c r="Z409" s="10" t="e">
        <f t="shared" si="101"/>
        <v>#DIV/0!</v>
      </c>
      <c r="AA409" s="10" t="e">
        <f t="shared" si="102"/>
        <v>#DIV/0!</v>
      </c>
      <c r="AB409" s="11" t="e">
        <f t="shared" si="103"/>
        <v>#DIV/0!</v>
      </c>
      <c r="AC409" s="11" t="e">
        <f t="shared" si="104"/>
        <v>#DIV/0!</v>
      </c>
      <c r="AD409" s="11" t="s">
        <v>59</v>
      </c>
    </row>
    <row r="410" spans="1:30" s="1" customFormat="1" ht="17.100000000000001" customHeight="1">
      <c r="A410" s="2">
        <v>408</v>
      </c>
      <c r="B410" s="3" t="s">
        <v>856</v>
      </c>
      <c r="C410" s="3" t="s">
        <v>857</v>
      </c>
      <c r="D410" s="4"/>
      <c r="E410" s="4"/>
      <c r="F410" s="4"/>
      <c r="G410" s="4"/>
      <c r="H410" s="4"/>
      <c r="I410" s="4"/>
      <c r="J410" s="5">
        <f t="shared" si="99"/>
        <v>0</v>
      </c>
      <c r="K410" s="6"/>
      <c r="L410" s="6"/>
      <c r="M410" s="7">
        <f t="shared" si="105"/>
        <v>0</v>
      </c>
      <c r="N410" s="8"/>
      <c r="O410" s="6"/>
      <c r="P410" s="6">
        <f t="shared" si="106"/>
        <v>0</v>
      </c>
      <c r="Q410" s="8">
        <f t="shared" si="107"/>
        <v>0</v>
      </c>
      <c r="R410" s="6"/>
      <c r="S410" s="6" t="s">
        <v>80</v>
      </c>
      <c r="T410" s="6"/>
      <c r="U410" s="6"/>
      <c r="V410" s="6"/>
      <c r="W410" s="9"/>
      <c r="X410" s="6"/>
      <c r="Y410" s="9" t="e">
        <f t="shared" si="100"/>
        <v>#DIV/0!</v>
      </c>
      <c r="Z410" s="10" t="e">
        <f t="shared" si="101"/>
        <v>#DIV/0!</v>
      </c>
      <c r="AA410" s="10" t="e">
        <f t="shared" si="102"/>
        <v>#DIV/0!</v>
      </c>
      <c r="AB410" s="11" t="e">
        <f t="shared" si="103"/>
        <v>#DIV/0!</v>
      </c>
      <c r="AC410" s="11" t="e">
        <f t="shared" si="104"/>
        <v>#DIV/0!</v>
      </c>
      <c r="AD410" s="11" t="s">
        <v>59</v>
      </c>
    </row>
    <row r="411" spans="1:30" s="1" customFormat="1" ht="17.100000000000001" customHeight="1">
      <c r="A411" s="2">
        <v>409</v>
      </c>
      <c r="B411" s="3" t="s">
        <v>858</v>
      </c>
      <c r="C411" s="3" t="s">
        <v>859</v>
      </c>
      <c r="D411" s="4"/>
      <c r="E411" s="4"/>
      <c r="F411" s="4"/>
      <c r="G411" s="4"/>
      <c r="H411" s="4"/>
      <c r="I411" s="4"/>
      <c r="J411" s="5">
        <f t="shared" si="99"/>
        <v>0</v>
      </c>
      <c r="K411" s="6"/>
      <c r="L411" s="6"/>
      <c r="M411" s="7">
        <f t="shared" si="105"/>
        <v>0</v>
      </c>
      <c r="N411" s="8"/>
      <c r="O411" s="6"/>
      <c r="P411" s="6">
        <f t="shared" si="106"/>
        <v>0</v>
      </c>
      <c r="Q411" s="8">
        <f t="shared" si="107"/>
        <v>0</v>
      </c>
      <c r="R411" s="6"/>
      <c r="S411" s="6" t="s">
        <v>80</v>
      </c>
      <c r="T411" s="6"/>
      <c r="U411" s="6"/>
      <c r="V411" s="6"/>
      <c r="W411" s="9"/>
      <c r="X411" s="6"/>
      <c r="Y411" s="9" t="e">
        <f t="shared" si="100"/>
        <v>#DIV/0!</v>
      </c>
      <c r="Z411" s="10" t="e">
        <f t="shared" si="101"/>
        <v>#DIV/0!</v>
      </c>
      <c r="AA411" s="10" t="e">
        <f t="shared" si="102"/>
        <v>#DIV/0!</v>
      </c>
      <c r="AB411" s="11" t="e">
        <f t="shared" si="103"/>
        <v>#DIV/0!</v>
      </c>
      <c r="AC411" s="11" t="e">
        <f t="shared" si="104"/>
        <v>#DIV/0!</v>
      </c>
      <c r="AD411" s="11" t="s">
        <v>59</v>
      </c>
    </row>
    <row r="412" spans="1:30" s="1" customFormat="1" ht="17.100000000000001" customHeight="1">
      <c r="A412" s="2">
        <v>410</v>
      </c>
      <c r="B412" s="3" t="s">
        <v>860</v>
      </c>
      <c r="C412" s="3" t="s">
        <v>861</v>
      </c>
      <c r="D412" s="4"/>
      <c r="E412" s="4"/>
      <c r="F412" s="4"/>
      <c r="G412" s="4"/>
      <c r="H412" s="4"/>
      <c r="I412" s="4"/>
      <c r="J412" s="5">
        <f t="shared" si="99"/>
        <v>0</v>
      </c>
      <c r="K412" s="6"/>
      <c r="L412" s="6"/>
      <c r="M412" s="7">
        <f t="shared" si="105"/>
        <v>0</v>
      </c>
      <c r="N412" s="8"/>
      <c r="O412" s="6"/>
      <c r="P412" s="6">
        <f t="shared" si="106"/>
        <v>0</v>
      </c>
      <c r="Q412" s="8">
        <f t="shared" si="107"/>
        <v>0</v>
      </c>
      <c r="R412" s="6"/>
      <c r="S412" s="6" t="s">
        <v>80</v>
      </c>
      <c r="T412" s="6"/>
      <c r="U412" s="6"/>
      <c r="V412" s="6"/>
      <c r="W412" s="9"/>
      <c r="X412" s="6"/>
      <c r="Y412" s="9" t="e">
        <f t="shared" si="100"/>
        <v>#DIV/0!</v>
      </c>
      <c r="Z412" s="10" t="e">
        <f t="shared" si="101"/>
        <v>#DIV/0!</v>
      </c>
      <c r="AA412" s="10" t="e">
        <f t="shared" si="102"/>
        <v>#DIV/0!</v>
      </c>
      <c r="AB412" s="11" t="e">
        <f t="shared" si="103"/>
        <v>#DIV/0!</v>
      </c>
      <c r="AC412" s="11" t="e">
        <f t="shared" si="104"/>
        <v>#DIV/0!</v>
      </c>
      <c r="AD412" s="11" t="s">
        <v>59</v>
      </c>
    </row>
    <row r="413" spans="1:30" s="1" customFormat="1" ht="17.100000000000001" customHeight="1">
      <c r="A413" s="2">
        <v>411</v>
      </c>
      <c r="B413" s="3" t="s">
        <v>862</v>
      </c>
      <c r="C413" s="3" t="s">
        <v>863</v>
      </c>
      <c r="D413" s="4"/>
      <c r="E413" s="4"/>
      <c r="F413" s="4"/>
      <c r="G413" s="4"/>
      <c r="H413" s="4"/>
      <c r="I413" s="4"/>
      <c r="J413" s="5">
        <f t="shared" si="99"/>
        <v>0</v>
      </c>
      <c r="K413" s="6"/>
      <c r="L413" s="6"/>
      <c r="M413" s="7">
        <f t="shared" si="105"/>
        <v>0</v>
      </c>
      <c r="N413" s="8"/>
      <c r="O413" s="6"/>
      <c r="P413" s="6">
        <f t="shared" si="106"/>
        <v>0</v>
      </c>
      <c r="Q413" s="8">
        <f t="shared" si="107"/>
        <v>0</v>
      </c>
      <c r="R413" s="6"/>
      <c r="S413" s="6" t="s">
        <v>80</v>
      </c>
      <c r="T413" s="6"/>
      <c r="U413" s="6"/>
      <c r="V413" s="6"/>
      <c r="W413" s="9"/>
      <c r="X413" s="6"/>
      <c r="Y413" s="9" t="e">
        <f t="shared" si="100"/>
        <v>#DIV/0!</v>
      </c>
      <c r="Z413" s="10" t="e">
        <f t="shared" si="101"/>
        <v>#DIV/0!</v>
      </c>
      <c r="AA413" s="10" t="e">
        <f t="shared" si="102"/>
        <v>#DIV/0!</v>
      </c>
      <c r="AB413" s="11" t="e">
        <f t="shared" si="103"/>
        <v>#DIV/0!</v>
      </c>
      <c r="AC413" s="11" t="e">
        <f t="shared" si="104"/>
        <v>#DIV/0!</v>
      </c>
      <c r="AD413" s="11" t="s">
        <v>59</v>
      </c>
    </row>
    <row r="414" spans="1:30" s="1" customFormat="1" ht="17.100000000000001" customHeight="1">
      <c r="A414" s="2">
        <v>412</v>
      </c>
      <c r="B414" s="3" t="s">
        <v>864</v>
      </c>
      <c r="C414" s="3" t="s">
        <v>865</v>
      </c>
      <c r="D414" s="4"/>
      <c r="E414" s="4"/>
      <c r="F414" s="4"/>
      <c r="G414" s="4"/>
      <c r="H414" s="4"/>
      <c r="I414" s="4"/>
      <c r="J414" s="5">
        <f t="shared" si="99"/>
        <v>0</v>
      </c>
      <c r="K414" s="6"/>
      <c r="L414" s="6"/>
      <c r="M414" s="7">
        <f t="shared" si="105"/>
        <v>0</v>
      </c>
      <c r="N414" s="8"/>
      <c r="O414" s="6"/>
      <c r="P414" s="6">
        <f t="shared" si="106"/>
        <v>0</v>
      </c>
      <c r="Q414" s="8">
        <f t="shared" si="107"/>
        <v>0</v>
      </c>
      <c r="R414" s="6"/>
      <c r="S414" s="6" t="s">
        <v>80</v>
      </c>
      <c r="T414" s="6"/>
      <c r="U414" s="6"/>
      <c r="V414" s="6"/>
      <c r="W414" s="9"/>
      <c r="X414" s="6"/>
      <c r="Y414" s="9" t="e">
        <f t="shared" si="100"/>
        <v>#DIV/0!</v>
      </c>
      <c r="Z414" s="10" t="e">
        <f t="shared" si="101"/>
        <v>#DIV/0!</v>
      </c>
      <c r="AA414" s="10" t="e">
        <f t="shared" si="102"/>
        <v>#DIV/0!</v>
      </c>
      <c r="AB414" s="11" t="e">
        <f t="shared" si="103"/>
        <v>#DIV/0!</v>
      </c>
      <c r="AC414" s="11" t="e">
        <f t="shared" si="104"/>
        <v>#DIV/0!</v>
      </c>
      <c r="AD414" s="11" t="s">
        <v>59</v>
      </c>
    </row>
    <row r="415" spans="1:30" s="1" customFormat="1" ht="17.100000000000001" customHeight="1">
      <c r="A415" s="2">
        <v>413</v>
      </c>
      <c r="B415" s="3" t="s">
        <v>866</v>
      </c>
      <c r="C415" s="3" t="s">
        <v>867</v>
      </c>
      <c r="D415" s="4"/>
      <c r="E415" s="4"/>
      <c r="F415" s="4"/>
      <c r="G415" s="4"/>
      <c r="H415" s="4"/>
      <c r="I415" s="4"/>
      <c r="J415" s="5">
        <f t="shared" si="99"/>
        <v>0</v>
      </c>
      <c r="K415" s="6"/>
      <c r="L415" s="6"/>
      <c r="M415" s="7">
        <f t="shared" si="105"/>
        <v>0</v>
      </c>
      <c r="N415" s="8"/>
      <c r="O415" s="6"/>
      <c r="P415" s="6">
        <f t="shared" si="106"/>
        <v>0</v>
      </c>
      <c r="Q415" s="8">
        <f t="shared" si="107"/>
        <v>0</v>
      </c>
      <c r="R415" s="6"/>
      <c r="S415" s="6" t="s">
        <v>80</v>
      </c>
      <c r="T415" s="6"/>
      <c r="U415" s="6"/>
      <c r="V415" s="6"/>
      <c r="W415" s="9"/>
      <c r="X415" s="6"/>
      <c r="Y415" s="9" t="e">
        <f t="shared" si="100"/>
        <v>#DIV/0!</v>
      </c>
      <c r="Z415" s="10" t="e">
        <f t="shared" si="101"/>
        <v>#DIV/0!</v>
      </c>
      <c r="AA415" s="10" t="e">
        <f t="shared" si="102"/>
        <v>#DIV/0!</v>
      </c>
      <c r="AB415" s="11" t="e">
        <f t="shared" si="103"/>
        <v>#DIV/0!</v>
      </c>
      <c r="AC415" s="11" t="e">
        <f t="shared" si="104"/>
        <v>#DIV/0!</v>
      </c>
      <c r="AD415" s="11" t="s">
        <v>59</v>
      </c>
    </row>
    <row r="416" spans="1:30" s="1" customFormat="1" ht="17.100000000000001" customHeight="1">
      <c r="A416" s="2">
        <v>414</v>
      </c>
      <c r="B416" s="3" t="s">
        <v>868</v>
      </c>
      <c r="C416" s="3" t="s">
        <v>869</v>
      </c>
      <c r="D416" s="4"/>
      <c r="E416" s="4"/>
      <c r="F416" s="4"/>
      <c r="G416" s="4"/>
      <c r="H416" s="4"/>
      <c r="I416" s="4"/>
      <c r="J416" s="5">
        <f t="shared" ref="J416:J479" si="108">(G416*H416*I416)/1000000</f>
        <v>0</v>
      </c>
      <c r="K416" s="6"/>
      <c r="L416" s="6"/>
      <c r="M416" s="7">
        <f t="shared" si="105"/>
        <v>0</v>
      </c>
      <c r="N416" s="8"/>
      <c r="O416" s="6"/>
      <c r="P416" s="6">
        <f t="shared" si="106"/>
        <v>0</v>
      </c>
      <c r="Q416" s="8">
        <f t="shared" si="107"/>
        <v>0</v>
      </c>
      <c r="R416" s="6"/>
      <c r="S416" s="6" t="s">
        <v>80</v>
      </c>
      <c r="T416" s="6"/>
      <c r="U416" s="6"/>
      <c r="V416" s="6"/>
      <c r="W416" s="9"/>
      <c r="X416" s="6"/>
      <c r="Y416" s="9" t="e">
        <f t="shared" si="100"/>
        <v>#DIV/0!</v>
      </c>
      <c r="Z416" s="10" t="e">
        <f t="shared" si="101"/>
        <v>#DIV/0!</v>
      </c>
      <c r="AA416" s="10" t="e">
        <f t="shared" si="102"/>
        <v>#DIV/0!</v>
      </c>
      <c r="AB416" s="11" t="e">
        <f t="shared" si="103"/>
        <v>#DIV/0!</v>
      </c>
      <c r="AC416" s="11" t="e">
        <f t="shared" si="104"/>
        <v>#DIV/0!</v>
      </c>
      <c r="AD416" s="11" t="s">
        <v>59</v>
      </c>
    </row>
    <row r="417" spans="1:30" s="1" customFormat="1" ht="17.100000000000001" customHeight="1">
      <c r="A417" s="2">
        <v>415</v>
      </c>
      <c r="B417" s="3" t="s">
        <v>870</v>
      </c>
      <c r="C417" s="3" t="s">
        <v>871</v>
      </c>
      <c r="D417" s="4"/>
      <c r="E417" s="4"/>
      <c r="F417" s="4"/>
      <c r="G417" s="4"/>
      <c r="H417" s="4"/>
      <c r="I417" s="4"/>
      <c r="J417" s="5">
        <f t="shared" si="108"/>
        <v>0</v>
      </c>
      <c r="K417" s="6"/>
      <c r="L417" s="6"/>
      <c r="M417" s="7">
        <f t="shared" si="105"/>
        <v>0</v>
      </c>
      <c r="N417" s="8"/>
      <c r="O417" s="6"/>
      <c r="P417" s="6">
        <f t="shared" si="106"/>
        <v>0</v>
      </c>
      <c r="Q417" s="8">
        <f t="shared" si="107"/>
        <v>0</v>
      </c>
      <c r="R417" s="6"/>
      <c r="S417" s="6" t="s">
        <v>80</v>
      </c>
      <c r="T417" s="6"/>
      <c r="U417" s="6"/>
      <c r="V417" s="6"/>
      <c r="W417" s="9"/>
      <c r="X417" s="6"/>
      <c r="Y417" s="9" t="e">
        <f t="shared" si="100"/>
        <v>#DIV/0!</v>
      </c>
      <c r="Z417" s="10" t="e">
        <f t="shared" si="101"/>
        <v>#DIV/0!</v>
      </c>
      <c r="AA417" s="10" t="e">
        <f t="shared" si="102"/>
        <v>#DIV/0!</v>
      </c>
      <c r="AB417" s="11" t="e">
        <f t="shared" si="103"/>
        <v>#DIV/0!</v>
      </c>
      <c r="AC417" s="11" t="e">
        <f t="shared" si="104"/>
        <v>#DIV/0!</v>
      </c>
      <c r="AD417" s="11" t="s">
        <v>59</v>
      </c>
    </row>
    <row r="418" spans="1:30" s="1" customFormat="1" ht="17.100000000000001" customHeight="1">
      <c r="A418" s="2">
        <v>416</v>
      </c>
      <c r="B418" s="3" t="s">
        <v>872</v>
      </c>
      <c r="C418" s="3" t="s">
        <v>873</v>
      </c>
      <c r="D418" s="4"/>
      <c r="E418" s="4"/>
      <c r="F418" s="4"/>
      <c r="G418" s="4"/>
      <c r="H418" s="4"/>
      <c r="I418" s="4"/>
      <c r="J418" s="5">
        <f t="shared" si="108"/>
        <v>0</v>
      </c>
      <c r="K418" s="6"/>
      <c r="L418" s="6"/>
      <c r="M418" s="7">
        <f t="shared" si="105"/>
        <v>0</v>
      </c>
      <c r="N418" s="8"/>
      <c r="O418" s="6"/>
      <c r="P418" s="6">
        <f t="shared" si="106"/>
        <v>0</v>
      </c>
      <c r="Q418" s="8">
        <f t="shared" si="107"/>
        <v>0</v>
      </c>
      <c r="R418" s="6"/>
      <c r="S418" s="6" t="s">
        <v>80</v>
      </c>
      <c r="T418" s="6"/>
      <c r="U418" s="6"/>
      <c r="V418" s="6"/>
      <c r="W418" s="9"/>
      <c r="X418" s="6"/>
      <c r="Y418" s="9" t="e">
        <f t="shared" si="100"/>
        <v>#DIV/0!</v>
      </c>
      <c r="Z418" s="10" t="e">
        <f t="shared" si="101"/>
        <v>#DIV/0!</v>
      </c>
      <c r="AA418" s="10" t="e">
        <f t="shared" si="102"/>
        <v>#DIV/0!</v>
      </c>
      <c r="AB418" s="11" t="e">
        <f t="shared" si="103"/>
        <v>#DIV/0!</v>
      </c>
      <c r="AC418" s="11" t="e">
        <f t="shared" si="104"/>
        <v>#DIV/0!</v>
      </c>
      <c r="AD418" s="11" t="s">
        <v>59</v>
      </c>
    </row>
    <row r="419" spans="1:30" s="1" customFormat="1" ht="17.100000000000001" customHeight="1">
      <c r="A419" s="2">
        <v>417</v>
      </c>
      <c r="B419" s="3" t="s">
        <v>874</v>
      </c>
      <c r="C419" s="3" t="s">
        <v>875</v>
      </c>
      <c r="D419" s="4"/>
      <c r="E419" s="4"/>
      <c r="F419" s="4"/>
      <c r="G419" s="4"/>
      <c r="H419" s="4"/>
      <c r="I419" s="4"/>
      <c r="J419" s="5">
        <f t="shared" si="108"/>
        <v>0</v>
      </c>
      <c r="K419" s="6"/>
      <c r="L419" s="6"/>
      <c r="M419" s="7">
        <f t="shared" si="105"/>
        <v>0</v>
      </c>
      <c r="N419" s="8"/>
      <c r="O419" s="6"/>
      <c r="P419" s="6">
        <f t="shared" si="106"/>
        <v>0</v>
      </c>
      <c r="Q419" s="8">
        <f t="shared" si="107"/>
        <v>0</v>
      </c>
      <c r="R419" s="6"/>
      <c r="S419" s="6" t="s">
        <v>80</v>
      </c>
      <c r="T419" s="6"/>
      <c r="U419" s="6"/>
      <c r="V419" s="6"/>
      <c r="W419" s="9"/>
      <c r="X419" s="6"/>
      <c r="Y419" s="9" t="e">
        <f t="shared" si="100"/>
        <v>#DIV/0!</v>
      </c>
      <c r="Z419" s="10" t="e">
        <f t="shared" si="101"/>
        <v>#DIV/0!</v>
      </c>
      <c r="AA419" s="10" t="e">
        <f t="shared" si="102"/>
        <v>#DIV/0!</v>
      </c>
      <c r="AB419" s="11" t="e">
        <f t="shared" si="103"/>
        <v>#DIV/0!</v>
      </c>
      <c r="AC419" s="11" t="e">
        <f t="shared" si="104"/>
        <v>#DIV/0!</v>
      </c>
      <c r="AD419" s="11" t="s">
        <v>59</v>
      </c>
    </row>
    <row r="420" spans="1:30" s="1" customFormat="1" ht="17.100000000000001" customHeight="1">
      <c r="A420" s="2">
        <v>418</v>
      </c>
      <c r="B420" s="3" t="s">
        <v>876</v>
      </c>
      <c r="C420" s="3" t="s">
        <v>877</v>
      </c>
      <c r="D420" s="4"/>
      <c r="E420" s="4"/>
      <c r="F420" s="4"/>
      <c r="G420" s="4"/>
      <c r="H420" s="4"/>
      <c r="I420" s="4"/>
      <c r="J420" s="5">
        <f t="shared" si="108"/>
        <v>0</v>
      </c>
      <c r="K420" s="6"/>
      <c r="L420" s="6"/>
      <c r="M420" s="7">
        <f t="shared" si="105"/>
        <v>0</v>
      </c>
      <c r="N420" s="8"/>
      <c r="O420" s="6"/>
      <c r="P420" s="6">
        <f t="shared" si="106"/>
        <v>0</v>
      </c>
      <c r="Q420" s="8">
        <f t="shared" si="107"/>
        <v>0</v>
      </c>
      <c r="R420" s="6"/>
      <c r="S420" s="6" t="s">
        <v>80</v>
      </c>
      <c r="T420" s="6"/>
      <c r="U420" s="6"/>
      <c r="V420" s="6"/>
      <c r="W420" s="9"/>
      <c r="X420" s="6"/>
      <c r="Y420" s="9" t="e">
        <f t="shared" si="100"/>
        <v>#DIV/0!</v>
      </c>
      <c r="Z420" s="10" t="e">
        <f t="shared" si="101"/>
        <v>#DIV/0!</v>
      </c>
      <c r="AA420" s="10" t="e">
        <f t="shared" si="102"/>
        <v>#DIV/0!</v>
      </c>
      <c r="AB420" s="11" t="e">
        <f t="shared" si="103"/>
        <v>#DIV/0!</v>
      </c>
      <c r="AC420" s="11" t="e">
        <f t="shared" si="104"/>
        <v>#DIV/0!</v>
      </c>
      <c r="AD420" s="11" t="s">
        <v>59</v>
      </c>
    </row>
    <row r="421" spans="1:30" s="1" customFormat="1" ht="17.100000000000001" customHeight="1">
      <c r="A421" s="2">
        <v>419</v>
      </c>
      <c r="B421" s="3" t="s">
        <v>878</v>
      </c>
      <c r="C421" s="3" t="s">
        <v>879</v>
      </c>
      <c r="D421" s="4"/>
      <c r="E421" s="4"/>
      <c r="F421" s="4"/>
      <c r="G421" s="4"/>
      <c r="H421" s="4"/>
      <c r="I421" s="4"/>
      <c r="J421" s="5">
        <f t="shared" si="108"/>
        <v>0</v>
      </c>
      <c r="K421" s="6"/>
      <c r="L421" s="6"/>
      <c r="M421" s="7">
        <f t="shared" si="105"/>
        <v>0</v>
      </c>
      <c r="N421" s="8"/>
      <c r="O421" s="6"/>
      <c r="P421" s="6">
        <f t="shared" si="106"/>
        <v>0</v>
      </c>
      <c r="Q421" s="8">
        <f t="shared" si="107"/>
        <v>0</v>
      </c>
      <c r="R421" s="6"/>
      <c r="S421" s="6" t="s">
        <v>80</v>
      </c>
      <c r="T421" s="6"/>
      <c r="U421" s="6"/>
      <c r="V421" s="6"/>
      <c r="W421" s="9"/>
      <c r="X421" s="6"/>
      <c r="Y421" s="9" t="e">
        <f t="shared" si="100"/>
        <v>#DIV/0!</v>
      </c>
      <c r="Z421" s="10" t="e">
        <f t="shared" si="101"/>
        <v>#DIV/0!</v>
      </c>
      <c r="AA421" s="10" t="e">
        <f t="shared" si="102"/>
        <v>#DIV/0!</v>
      </c>
      <c r="AB421" s="11" t="e">
        <f t="shared" si="103"/>
        <v>#DIV/0!</v>
      </c>
      <c r="AC421" s="11" t="e">
        <f t="shared" si="104"/>
        <v>#DIV/0!</v>
      </c>
      <c r="AD421" s="11" t="s">
        <v>59</v>
      </c>
    </row>
    <row r="422" spans="1:30" s="1" customFormat="1" ht="17.100000000000001" customHeight="1">
      <c r="A422" s="2">
        <v>420</v>
      </c>
      <c r="B422" s="3" t="s">
        <v>880</v>
      </c>
      <c r="C422" s="3" t="s">
        <v>881</v>
      </c>
      <c r="D422" s="4"/>
      <c r="E422" s="4"/>
      <c r="F422" s="4"/>
      <c r="G422" s="4"/>
      <c r="H422" s="4"/>
      <c r="I422" s="4"/>
      <c r="J422" s="5">
        <f t="shared" si="108"/>
        <v>0</v>
      </c>
      <c r="K422" s="6"/>
      <c r="L422" s="6"/>
      <c r="M422" s="7">
        <f t="shared" si="105"/>
        <v>0</v>
      </c>
      <c r="N422" s="8"/>
      <c r="O422" s="6"/>
      <c r="P422" s="6">
        <f t="shared" si="106"/>
        <v>0</v>
      </c>
      <c r="Q422" s="8">
        <f t="shared" si="107"/>
        <v>0</v>
      </c>
      <c r="R422" s="6"/>
      <c r="S422" s="6" t="s">
        <v>80</v>
      </c>
      <c r="T422" s="6"/>
      <c r="U422" s="6"/>
      <c r="V422" s="6"/>
      <c r="W422" s="9"/>
      <c r="X422" s="6"/>
      <c r="Y422" s="9" t="e">
        <f t="shared" si="100"/>
        <v>#DIV/0!</v>
      </c>
      <c r="Z422" s="10" t="e">
        <f t="shared" si="101"/>
        <v>#DIV/0!</v>
      </c>
      <c r="AA422" s="10" t="e">
        <f t="shared" si="102"/>
        <v>#DIV/0!</v>
      </c>
      <c r="AB422" s="11" t="e">
        <f t="shared" si="103"/>
        <v>#DIV/0!</v>
      </c>
      <c r="AC422" s="11" t="e">
        <f t="shared" si="104"/>
        <v>#DIV/0!</v>
      </c>
      <c r="AD422" s="11" t="s">
        <v>59</v>
      </c>
    </row>
    <row r="423" spans="1:30" s="1" customFormat="1" ht="17.100000000000001" customHeight="1">
      <c r="A423" s="2">
        <v>421</v>
      </c>
      <c r="B423" s="3" t="s">
        <v>882</v>
      </c>
      <c r="C423" s="3" t="s">
        <v>883</v>
      </c>
      <c r="D423" s="4"/>
      <c r="E423" s="4"/>
      <c r="F423" s="4"/>
      <c r="G423" s="4"/>
      <c r="H423" s="4"/>
      <c r="I423" s="4"/>
      <c r="J423" s="5">
        <f t="shared" si="108"/>
        <v>0</v>
      </c>
      <c r="K423" s="6"/>
      <c r="L423" s="6"/>
      <c r="M423" s="7">
        <f t="shared" si="105"/>
        <v>0</v>
      </c>
      <c r="N423" s="8"/>
      <c r="O423" s="6"/>
      <c r="P423" s="6">
        <f t="shared" si="106"/>
        <v>0</v>
      </c>
      <c r="Q423" s="8">
        <f t="shared" si="107"/>
        <v>0</v>
      </c>
      <c r="R423" s="6"/>
      <c r="S423" s="6" t="s">
        <v>80</v>
      </c>
      <c r="T423" s="6"/>
      <c r="U423" s="6"/>
      <c r="V423" s="6"/>
      <c r="W423" s="9"/>
      <c r="X423" s="6"/>
      <c r="Y423" s="9" t="e">
        <f t="shared" si="100"/>
        <v>#DIV/0!</v>
      </c>
      <c r="Z423" s="10" t="e">
        <f t="shared" si="101"/>
        <v>#DIV/0!</v>
      </c>
      <c r="AA423" s="10" t="e">
        <f t="shared" si="102"/>
        <v>#DIV/0!</v>
      </c>
      <c r="AB423" s="11" t="e">
        <f t="shared" si="103"/>
        <v>#DIV/0!</v>
      </c>
      <c r="AC423" s="11" t="e">
        <f t="shared" si="104"/>
        <v>#DIV/0!</v>
      </c>
      <c r="AD423" s="11" t="s">
        <v>59</v>
      </c>
    </row>
    <row r="424" spans="1:30" s="1" customFormat="1" ht="17.100000000000001" customHeight="1">
      <c r="A424" s="2">
        <v>422</v>
      </c>
      <c r="B424" s="3" t="s">
        <v>884</v>
      </c>
      <c r="C424" s="3" t="s">
        <v>885</v>
      </c>
      <c r="D424" s="4"/>
      <c r="E424" s="4"/>
      <c r="F424" s="4"/>
      <c r="G424" s="4"/>
      <c r="H424" s="4"/>
      <c r="I424" s="4"/>
      <c r="J424" s="5">
        <f t="shared" si="108"/>
        <v>0</v>
      </c>
      <c r="K424" s="6"/>
      <c r="L424" s="6"/>
      <c r="M424" s="7">
        <f t="shared" si="105"/>
        <v>0</v>
      </c>
      <c r="N424" s="8"/>
      <c r="O424" s="6"/>
      <c r="P424" s="6">
        <f t="shared" si="106"/>
        <v>0</v>
      </c>
      <c r="Q424" s="8">
        <f t="shared" si="107"/>
        <v>0</v>
      </c>
      <c r="R424" s="6"/>
      <c r="S424" s="6" t="s">
        <v>80</v>
      </c>
      <c r="T424" s="6"/>
      <c r="U424" s="6"/>
      <c r="V424" s="6"/>
      <c r="W424" s="9"/>
      <c r="X424" s="6"/>
      <c r="Y424" s="9" t="e">
        <f t="shared" si="100"/>
        <v>#DIV/0!</v>
      </c>
      <c r="Z424" s="10" t="e">
        <f t="shared" si="101"/>
        <v>#DIV/0!</v>
      </c>
      <c r="AA424" s="10" t="e">
        <f t="shared" si="102"/>
        <v>#DIV/0!</v>
      </c>
      <c r="AB424" s="11" t="e">
        <f t="shared" si="103"/>
        <v>#DIV/0!</v>
      </c>
      <c r="AC424" s="11" t="e">
        <f t="shared" si="104"/>
        <v>#DIV/0!</v>
      </c>
      <c r="AD424" s="11" t="s">
        <v>59</v>
      </c>
    </row>
    <row r="425" spans="1:30" s="1" customFormat="1" ht="17.100000000000001" customHeight="1">
      <c r="A425" s="2">
        <v>423</v>
      </c>
      <c r="B425" s="3" t="s">
        <v>886</v>
      </c>
      <c r="C425" s="3" t="s">
        <v>887</v>
      </c>
      <c r="D425" s="4"/>
      <c r="E425" s="4"/>
      <c r="F425" s="4"/>
      <c r="G425" s="4"/>
      <c r="H425" s="4"/>
      <c r="I425" s="4"/>
      <c r="J425" s="5">
        <f t="shared" si="108"/>
        <v>0</v>
      </c>
      <c r="K425" s="6"/>
      <c r="L425" s="6"/>
      <c r="M425" s="7">
        <f t="shared" si="105"/>
        <v>0</v>
      </c>
      <c r="N425" s="8"/>
      <c r="O425" s="6"/>
      <c r="P425" s="6">
        <f t="shared" si="106"/>
        <v>0</v>
      </c>
      <c r="Q425" s="8">
        <f t="shared" si="107"/>
        <v>0</v>
      </c>
      <c r="R425" s="6"/>
      <c r="S425" s="6" t="s">
        <v>80</v>
      </c>
      <c r="T425" s="6"/>
      <c r="U425" s="6"/>
      <c r="V425" s="6"/>
      <c r="W425" s="9"/>
      <c r="X425" s="6"/>
      <c r="Y425" s="9" t="e">
        <f t="shared" si="100"/>
        <v>#DIV/0!</v>
      </c>
      <c r="Z425" s="10" t="e">
        <f t="shared" si="101"/>
        <v>#DIV/0!</v>
      </c>
      <c r="AA425" s="10" t="e">
        <f t="shared" si="102"/>
        <v>#DIV/0!</v>
      </c>
      <c r="AB425" s="11" t="e">
        <f t="shared" si="103"/>
        <v>#DIV/0!</v>
      </c>
      <c r="AC425" s="11" t="e">
        <f t="shared" si="104"/>
        <v>#DIV/0!</v>
      </c>
      <c r="AD425" s="11" t="s">
        <v>59</v>
      </c>
    </row>
    <row r="426" spans="1:30" s="1" customFormat="1" ht="17.100000000000001" customHeight="1">
      <c r="A426" s="2">
        <v>424</v>
      </c>
      <c r="B426" s="3" t="s">
        <v>888</v>
      </c>
      <c r="C426" s="3" t="s">
        <v>889</v>
      </c>
      <c r="D426" s="4"/>
      <c r="E426" s="4"/>
      <c r="F426" s="4"/>
      <c r="G426" s="4"/>
      <c r="H426" s="4"/>
      <c r="I426" s="4"/>
      <c r="J426" s="5">
        <f t="shared" si="108"/>
        <v>0</v>
      </c>
      <c r="K426" s="6"/>
      <c r="L426" s="6"/>
      <c r="M426" s="7">
        <f t="shared" si="105"/>
        <v>0</v>
      </c>
      <c r="N426" s="8"/>
      <c r="O426" s="6"/>
      <c r="P426" s="6">
        <f t="shared" si="106"/>
        <v>0</v>
      </c>
      <c r="Q426" s="8">
        <f t="shared" si="107"/>
        <v>0</v>
      </c>
      <c r="R426" s="6"/>
      <c r="S426" s="6" t="s">
        <v>80</v>
      </c>
      <c r="T426" s="6"/>
      <c r="U426" s="6"/>
      <c r="V426" s="6"/>
      <c r="W426" s="9"/>
      <c r="X426" s="6"/>
      <c r="Y426" s="9" t="e">
        <f t="shared" si="100"/>
        <v>#DIV/0!</v>
      </c>
      <c r="Z426" s="10" t="e">
        <f t="shared" si="101"/>
        <v>#DIV/0!</v>
      </c>
      <c r="AA426" s="10" t="e">
        <f t="shared" si="102"/>
        <v>#DIV/0!</v>
      </c>
      <c r="AB426" s="11" t="e">
        <f t="shared" si="103"/>
        <v>#DIV/0!</v>
      </c>
      <c r="AC426" s="11" t="e">
        <f t="shared" si="104"/>
        <v>#DIV/0!</v>
      </c>
      <c r="AD426" s="11" t="s">
        <v>59</v>
      </c>
    </row>
    <row r="427" spans="1:30" s="1" customFormat="1" ht="17.100000000000001" customHeight="1">
      <c r="A427" s="2">
        <v>425</v>
      </c>
      <c r="B427" s="3" t="s">
        <v>890</v>
      </c>
      <c r="C427" s="3" t="s">
        <v>891</v>
      </c>
      <c r="D427" s="4"/>
      <c r="E427" s="4"/>
      <c r="F427" s="4"/>
      <c r="G427" s="4"/>
      <c r="H427" s="4"/>
      <c r="I427" s="4"/>
      <c r="J427" s="5">
        <f t="shared" si="108"/>
        <v>0</v>
      </c>
      <c r="K427" s="6"/>
      <c r="L427" s="6"/>
      <c r="M427" s="7">
        <f t="shared" si="105"/>
        <v>0</v>
      </c>
      <c r="N427" s="8"/>
      <c r="O427" s="6"/>
      <c r="P427" s="6">
        <f t="shared" si="106"/>
        <v>0</v>
      </c>
      <c r="Q427" s="8">
        <f t="shared" si="107"/>
        <v>0</v>
      </c>
      <c r="R427" s="6"/>
      <c r="S427" s="6" t="s">
        <v>80</v>
      </c>
      <c r="T427" s="6"/>
      <c r="U427" s="6"/>
      <c r="V427" s="6"/>
      <c r="W427" s="9"/>
      <c r="X427" s="6"/>
      <c r="Y427" s="9" t="e">
        <f t="shared" si="100"/>
        <v>#DIV/0!</v>
      </c>
      <c r="Z427" s="10" t="e">
        <f t="shared" si="101"/>
        <v>#DIV/0!</v>
      </c>
      <c r="AA427" s="10" t="e">
        <f t="shared" si="102"/>
        <v>#DIV/0!</v>
      </c>
      <c r="AB427" s="11" t="e">
        <f t="shared" si="103"/>
        <v>#DIV/0!</v>
      </c>
      <c r="AC427" s="11" t="e">
        <f t="shared" si="104"/>
        <v>#DIV/0!</v>
      </c>
      <c r="AD427" s="11" t="s">
        <v>59</v>
      </c>
    </row>
    <row r="428" spans="1:30" s="1" customFormat="1" ht="17.100000000000001" customHeight="1">
      <c r="A428" s="2">
        <v>426</v>
      </c>
      <c r="B428" s="3" t="s">
        <v>892</v>
      </c>
      <c r="C428" s="3" t="s">
        <v>893</v>
      </c>
      <c r="D428" s="4"/>
      <c r="E428" s="4"/>
      <c r="F428" s="4"/>
      <c r="G428" s="4"/>
      <c r="H428" s="4"/>
      <c r="I428" s="4"/>
      <c r="J428" s="5">
        <f t="shared" si="108"/>
        <v>0</v>
      </c>
      <c r="K428" s="6"/>
      <c r="L428" s="6"/>
      <c r="M428" s="7">
        <f t="shared" si="105"/>
        <v>0</v>
      </c>
      <c r="N428" s="8"/>
      <c r="O428" s="6"/>
      <c r="P428" s="6">
        <f t="shared" si="106"/>
        <v>0</v>
      </c>
      <c r="Q428" s="8">
        <f t="shared" si="107"/>
        <v>0</v>
      </c>
      <c r="R428" s="6"/>
      <c r="S428" s="6" t="s">
        <v>80</v>
      </c>
      <c r="T428" s="6"/>
      <c r="U428" s="6"/>
      <c r="V428" s="6"/>
      <c r="W428" s="9"/>
      <c r="X428" s="6"/>
      <c r="Y428" s="9" t="e">
        <f t="shared" si="100"/>
        <v>#DIV/0!</v>
      </c>
      <c r="Z428" s="10" t="e">
        <f t="shared" si="101"/>
        <v>#DIV/0!</v>
      </c>
      <c r="AA428" s="10" t="e">
        <f t="shared" si="102"/>
        <v>#DIV/0!</v>
      </c>
      <c r="AB428" s="11" t="e">
        <f t="shared" si="103"/>
        <v>#DIV/0!</v>
      </c>
      <c r="AC428" s="11" t="e">
        <f t="shared" si="104"/>
        <v>#DIV/0!</v>
      </c>
      <c r="AD428" s="11" t="s">
        <v>59</v>
      </c>
    </row>
    <row r="429" spans="1:30" s="1" customFormat="1" ht="17.100000000000001" customHeight="1">
      <c r="A429" s="2">
        <v>427</v>
      </c>
      <c r="B429" s="3" t="s">
        <v>894</v>
      </c>
      <c r="C429" s="3" t="s">
        <v>895</v>
      </c>
      <c r="D429" s="4"/>
      <c r="E429" s="4"/>
      <c r="F429" s="4"/>
      <c r="G429" s="4"/>
      <c r="H429" s="4"/>
      <c r="I429" s="4"/>
      <c r="J429" s="5">
        <f t="shared" si="108"/>
        <v>0</v>
      </c>
      <c r="K429" s="6"/>
      <c r="L429" s="6"/>
      <c r="M429" s="7">
        <f t="shared" si="105"/>
        <v>0</v>
      </c>
      <c r="N429" s="8"/>
      <c r="O429" s="6"/>
      <c r="P429" s="6">
        <f t="shared" si="106"/>
        <v>0</v>
      </c>
      <c r="Q429" s="8">
        <f t="shared" si="107"/>
        <v>0</v>
      </c>
      <c r="R429" s="6"/>
      <c r="S429" s="6" t="s">
        <v>80</v>
      </c>
      <c r="T429" s="6"/>
      <c r="U429" s="6"/>
      <c r="V429" s="6"/>
      <c r="W429" s="9"/>
      <c r="X429" s="6"/>
      <c r="Y429" s="9" t="e">
        <f t="shared" si="100"/>
        <v>#DIV/0!</v>
      </c>
      <c r="Z429" s="10" t="e">
        <f t="shared" si="101"/>
        <v>#DIV/0!</v>
      </c>
      <c r="AA429" s="10" t="e">
        <f t="shared" si="102"/>
        <v>#DIV/0!</v>
      </c>
      <c r="AB429" s="11" t="e">
        <f t="shared" si="103"/>
        <v>#DIV/0!</v>
      </c>
      <c r="AC429" s="11" t="e">
        <f t="shared" si="104"/>
        <v>#DIV/0!</v>
      </c>
      <c r="AD429" s="11" t="s">
        <v>59</v>
      </c>
    </row>
    <row r="430" spans="1:30" s="1" customFormat="1" ht="17.100000000000001" customHeight="1">
      <c r="A430" s="2">
        <v>428</v>
      </c>
      <c r="B430" s="3" t="s">
        <v>896</v>
      </c>
      <c r="C430" s="3" t="s">
        <v>897</v>
      </c>
      <c r="D430" s="4"/>
      <c r="E430" s="4"/>
      <c r="F430" s="4"/>
      <c r="G430" s="4"/>
      <c r="H430" s="4"/>
      <c r="I430" s="4"/>
      <c r="J430" s="5">
        <f t="shared" si="108"/>
        <v>0</v>
      </c>
      <c r="K430" s="6"/>
      <c r="L430" s="6"/>
      <c r="M430" s="7">
        <f t="shared" si="105"/>
        <v>0</v>
      </c>
      <c r="N430" s="8"/>
      <c r="O430" s="6"/>
      <c r="P430" s="6">
        <f t="shared" si="106"/>
        <v>0</v>
      </c>
      <c r="Q430" s="8">
        <f t="shared" si="107"/>
        <v>0</v>
      </c>
      <c r="R430" s="6"/>
      <c r="S430" s="6" t="s">
        <v>80</v>
      </c>
      <c r="T430" s="6"/>
      <c r="U430" s="6"/>
      <c r="V430" s="6"/>
      <c r="W430" s="9"/>
      <c r="X430" s="6"/>
      <c r="Y430" s="9" t="e">
        <f t="shared" si="100"/>
        <v>#DIV/0!</v>
      </c>
      <c r="Z430" s="10" t="e">
        <f t="shared" si="101"/>
        <v>#DIV/0!</v>
      </c>
      <c r="AA430" s="10" t="e">
        <f t="shared" si="102"/>
        <v>#DIV/0!</v>
      </c>
      <c r="AB430" s="11" t="e">
        <f t="shared" si="103"/>
        <v>#DIV/0!</v>
      </c>
      <c r="AC430" s="11" t="e">
        <f t="shared" si="104"/>
        <v>#DIV/0!</v>
      </c>
      <c r="AD430" s="11" t="s">
        <v>59</v>
      </c>
    </row>
    <row r="431" spans="1:30" s="1" customFormat="1" ht="17.100000000000001" customHeight="1">
      <c r="A431" s="2">
        <v>429</v>
      </c>
      <c r="B431" s="3" t="s">
        <v>898</v>
      </c>
      <c r="C431" s="3" t="s">
        <v>899</v>
      </c>
      <c r="D431" s="4"/>
      <c r="E431" s="4"/>
      <c r="F431" s="4"/>
      <c r="G431" s="4"/>
      <c r="H431" s="4"/>
      <c r="I431" s="4"/>
      <c r="J431" s="5">
        <f t="shared" si="108"/>
        <v>0</v>
      </c>
      <c r="K431" s="6"/>
      <c r="L431" s="6"/>
      <c r="M431" s="7">
        <f t="shared" si="105"/>
        <v>0</v>
      </c>
      <c r="N431" s="8"/>
      <c r="O431" s="6"/>
      <c r="P431" s="6">
        <f t="shared" si="106"/>
        <v>0</v>
      </c>
      <c r="Q431" s="8">
        <f t="shared" si="107"/>
        <v>0</v>
      </c>
      <c r="R431" s="6"/>
      <c r="S431" s="6" t="s">
        <v>80</v>
      </c>
      <c r="T431" s="6"/>
      <c r="U431" s="6"/>
      <c r="V431" s="6"/>
      <c r="W431" s="9"/>
      <c r="X431" s="6"/>
      <c r="Y431" s="9" t="e">
        <f t="shared" si="100"/>
        <v>#DIV/0!</v>
      </c>
      <c r="Z431" s="10" t="e">
        <f t="shared" si="101"/>
        <v>#DIV/0!</v>
      </c>
      <c r="AA431" s="10" t="e">
        <f t="shared" si="102"/>
        <v>#DIV/0!</v>
      </c>
      <c r="AB431" s="11" t="e">
        <f t="shared" si="103"/>
        <v>#DIV/0!</v>
      </c>
      <c r="AC431" s="11" t="e">
        <f t="shared" si="104"/>
        <v>#DIV/0!</v>
      </c>
      <c r="AD431" s="11" t="s">
        <v>59</v>
      </c>
    </row>
    <row r="432" spans="1:30" s="1" customFormat="1" ht="17.100000000000001" customHeight="1">
      <c r="A432" s="2">
        <v>430</v>
      </c>
      <c r="B432" s="3" t="s">
        <v>900</v>
      </c>
      <c r="C432" s="3" t="s">
        <v>901</v>
      </c>
      <c r="D432" s="4"/>
      <c r="E432" s="4"/>
      <c r="F432" s="4"/>
      <c r="G432" s="4"/>
      <c r="H432" s="4"/>
      <c r="I432" s="4"/>
      <c r="J432" s="5">
        <f t="shared" si="108"/>
        <v>0</v>
      </c>
      <c r="K432" s="6"/>
      <c r="L432" s="6"/>
      <c r="M432" s="7">
        <f t="shared" si="105"/>
        <v>0</v>
      </c>
      <c r="N432" s="8"/>
      <c r="O432" s="6"/>
      <c r="P432" s="6">
        <f t="shared" si="106"/>
        <v>0</v>
      </c>
      <c r="Q432" s="8">
        <f t="shared" si="107"/>
        <v>0</v>
      </c>
      <c r="R432" s="6"/>
      <c r="S432" s="6" t="s">
        <v>80</v>
      </c>
      <c r="T432" s="6"/>
      <c r="U432" s="6"/>
      <c r="V432" s="6"/>
      <c r="W432" s="9"/>
      <c r="X432" s="6"/>
      <c r="Y432" s="9" t="e">
        <f t="shared" si="100"/>
        <v>#DIV/0!</v>
      </c>
      <c r="Z432" s="10" t="e">
        <f t="shared" si="101"/>
        <v>#DIV/0!</v>
      </c>
      <c r="AA432" s="10" t="e">
        <f t="shared" si="102"/>
        <v>#DIV/0!</v>
      </c>
      <c r="AB432" s="11" t="e">
        <f t="shared" si="103"/>
        <v>#DIV/0!</v>
      </c>
      <c r="AC432" s="11" t="e">
        <f t="shared" si="104"/>
        <v>#DIV/0!</v>
      </c>
      <c r="AD432" s="11" t="s">
        <v>59</v>
      </c>
    </row>
    <row r="433" spans="1:30" s="1" customFormat="1" ht="17.100000000000001" customHeight="1">
      <c r="A433" s="2">
        <v>431</v>
      </c>
      <c r="B433" s="3" t="s">
        <v>902</v>
      </c>
      <c r="C433" s="3" t="s">
        <v>903</v>
      </c>
      <c r="D433" s="4">
        <v>65</v>
      </c>
      <c r="E433" s="4">
        <v>57</v>
      </c>
      <c r="F433" s="4">
        <v>141.80000000000001</v>
      </c>
      <c r="G433" s="4">
        <v>65</v>
      </c>
      <c r="H433" s="4">
        <v>57</v>
      </c>
      <c r="I433" s="4">
        <v>141.80000000000001</v>
      </c>
      <c r="J433" s="5">
        <f t="shared" si="108"/>
        <v>0.52536899999999997</v>
      </c>
      <c r="K433" s="6">
        <v>1</v>
      </c>
      <c r="L433" s="6">
        <v>1</v>
      </c>
      <c r="M433" s="7">
        <f t="shared" si="105"/>
        <v>1</v>
      </c>
      <c r="N433" s="8">
        <v>1</v>
      </c>
      <c r="O433" s="6">
        <v>1</v>
      </c>
      <c r="P433" s="6">
        <f t="shared" si="106"/>
        <v>1</v>
      </c>
      <c r="Q433" s="8">
        <f t="shared" si="107"/>
        <v>1</v>
      </c>
      <c r="R433" s="6">
        <v>105</v>
      </c>
      <c r="S433" s="6" t="s">
        <v>57</v>
      </c>
      <c r="T433" s="6"/>
      <c r="U433" s="6"/>
      <c r="V433" s="6"/>
      <c r="W433" s="9"/>
      <c r="X433" s="6"/>
      <c r="Y433" s="9">
        <f t="shared" si="100"/>
        <v>0</v>
      </c>
      <c r="Z433" s="10">
        <f t="shared" si="101"/>
        <v>0</v>
      </c>
      <c r="AA433" s="10">
        <f t="shared" si="102"/>
        <v>0</v>
      </c>
      <c r="AB433" s="11">
        <f t="shared" si="103"/>
        <v>0</v>
      </c>
      <c r="AC433" s="11">
        <f t="shared" si="104"/>
        <v>0</v>
      </c>
      <c r="AD433" s="11" t="s">
        <v>59</v>
      </c>
    </row>
    <row r="434" spans="1:30" s="1" customFormat="1" ht="17.100000000000001" customHeight="1">
      <c r="A434" s="2">
        <v>432</v>
      </c>
      <c r="B434" s="3" t="s">
        <v>904</v>
      </c>
      <c r="C434" s="3" t="s">
        <v>905</v>
      </c>
      <c r="D434" s="4">
        <v>65</v>
      </c>
      <c r="E434" s="4">
        <v>57</v>
      </c>
      <c r="F434" s="4">
        <v>141.80000000000001</v>
      </c>
      <c r="G434" s="4">
        <v>65</v>
      </c>
      <c r="H434" s="4">
        <v>57</v>
      </c>
      <c r="I434" s="4">
        <v>141.80000000000001</v>
      </c>
      <c r="J434" s="5">
        <f t="shared" si="108"/>
        <v>0.52536899999999997</v>
      </c>
      <c r="K434" s="6">
        <v>1</v>
      </c>
      <c r="L434" s="6">
        <v>1</v>
      </c>
      <c r="M434" s="7">
        <f t="shared" si="105"/>
        <v>1</v>
      </c>
      <c r="N434" s="8">
        <v>1</v>
      </c>
      <c r="O434" s="6">
        <v>1</v>
      </c>
      <c r="P434" s="6">
        <f t="shared" si="106"/>
        <v>1</v>
      </c>
      <c r="Q434" s="8">
        <f t="shared" si="107"/>
        <v>1</v>
      </c>
      <c r="R434" s="6">
        <v>105</v>
      </c>
      <c r="S434" s="6" t="s">
        <v>57</v>
      </c>
      <c r="T434" s="6"/>
      <c r="U434" s="6"/>
      <c r="V434" s="6"/>
      <c r="W434" s="9"/>
      <c r="X434" s="6"/>
      <c r="Y434" s="9">
        <f t="shared" si="100"/>
        <v>0</v>
      </c>
      <c r="Z434" s="10">
        <f t="shared" si="101"/>
        <v>0</v>
      </c>
      <c r="AA434" s="10">
        <f t="shared" si="102"/>
        <v>0</v>
      </c>
      <c r="AB434" s="11">
        <f t="shared" si="103"/>
        <v>0</v>
      </c>
      <c r="AC434" s="11">
        <f t="shared" si="104"/>
        <v>0</v>
      </c>
      <c r="AD434" s="11" t="s">
        <v>59</v>
      </c>
    </row>
    <row r="435" spans="1:30" s="1" customFormat="1" ht="17.100000000000001" customHeight="1">
      <c r="A435" s="2">
        <v>433</v>
      </c>
      <c r="B435" s="3" t="s">
        <v>906</v>
      </c>
      <c r="C435" s="3" t="s">
        <v>907</v>
      </c>
      <c r="D435" s="4">
        <v>19</v>
      </c>
      <c r="E435" s="4">
        <v>15</v>
      </c>
      <c r="F435" s="4">
        <v>11.5</v>
      </c>
      <c r="G435" s="4">
        <v>61</v>
      </c>
      <c r="H435" s="4">
        <v>39</v>
      </c>
      <c r="I435" s="4">
        <v>49</v>
      </c>
      <c r="J435" s="5">
        <f t="shared" si="108"/>
        <v>0.11657099999999999</v>
      </c>
      <c r="K435" s="6">
        <v>100</v>
      </c>
      <c r="L435" s="6">
        <v>30</v>
      </c>
      <c r="M435" s="7">
        <f t="shared" si="105"/>
        <v>3000</v>
      </c>
      <c r="N435" s="8">
        <v>5</v>
      </c>
      <c r="O435" s="6">
        <v>5</v>
      </c>
      <c r="P435" s="6">
        <f t="shared" si="106"/>
        <v>25</v>
      </c>
      <c r="Q435" s="8">
        <f t="shared" si="107"/>
        <v>75000</v>
      </c>
      <c r="R435" s="6">
        <v>17</v>
      </c>
      <c r="S435" s="6" t="s">
        <v>57</v>
      </c>
      <c r="T435" s="6"/>
      <c r="U435" s="6"/>
      <c r="V435" s="6"/>
      <c r="W435" s="9"/>
      <c r="X435" s="6"/>
      <c r="Y435" s="9">
        <f t="shared" si="100"/>
        <v>0</v>
      </c>
      <c r="Z435" s="10">
        <f t="shared" si="101"/>
        <v>0</v>
      </c>
      <c r="AA435" s="10">
        <f t="shared" si="102"/>
        <v>0</v>
      </c>
      <c r="AB435" s="11">
        <f t="shared" si="103"/>
        <v>0</v>
      </c>
      <c r="AC435" s="11">
        <f t="shared" si="104"/>
        <v>0</v>
      </c>
      <c r="AD435" s="11" t="s">
        <v>59</v>
      </c>
    </row>
    <row r="436" spans="1:30" s="1" customFormat="1" ht="17.100000000000001" customHeight="1">
      <c r="A436" s="2">
        <v>434</v>
      </c>
      <c r="B436" s="3" t="s">
        <v>908</v>
      </c>
      <c r="C436" s="3" t="s">
        <v>909</v>
      </c>
      <c r="D436" s="4"/>
      <c r="E436" s="4"/>
      <c r="F436" s="4"/>
      <c r="G436" s="4"/>
      <c r="H436" s="4"/>
      <c r="I436" s="4"/>
      <c r="J436" s="5">
        <f t="shared" si="108"/>
        <v>0</v>
      </c>
      <c r="K436" s="6"/>
      <c r="L436" s="6"/>
      <c r="M436" s="7">
        <f t="shared" si="105"/>
        <v>0</v>
      </c>
      <c r="N436" s="8"/>
      <c r="O436" s="6"/>
      <c r="P436" s="6">
        <f t="shared" si="106"/>
        <v>0</v>
      </c>
      <c r="Q436" s="8">
        <f t="shared" si="107"/>
        <v>0</v>
      </c>
      <c r="R436" s="6"/>
      <c r="S436" s="6" t="s">
        <v>80</v>
      </c>
      <c r="T436" s="6"/>
      <c r="U436" s="6"/>
      <c r="V436" s="6"/>
      <c r="W436" s="9"/>
      <c r="X436" s="6"/>
      <c r="Y436" s="9" t="e">
        <f t="shared" si="100"/>
        <v>#DIV/0!</v>
      </c>
      <c r="Z436" s="10" t="e">
        <f t="shared" si="101"/>
        <v>#DIV/0!</v>
      </c>
      <c r="AA436" s="10" t="e">
        <f t="shared" si="102"/>
        <v>#DIV/0!</v>
      </c>
      <c r="AB436" s="11" t="e">
        <f t="shared" si="103"/>
        <v>#DIV/0!</v>
      </c>
      <c r="AC436" s="11" t="e">
        <f t="shared" si="104"/>
        <v>#DIV/0!</v>
      </c>
      <c r="AD436" s="11" t="s">
        <v>212</v>
      </c>
    </row>
    <row r="437" spans="1:30" s="1" customFormat="1" ht="17.100000000000001" customHeight="1">
      <c r="A437" s="2">
        <v>435</v>
      </c>
      <c r="B437" s="3" t="s">
        <v>910</v>
      </c>
      <c r="C437" s="3" t="s">
        <v>911</v>
      </c>
      <c r="D437" s="4">
        <v>13</v>
      </c>
      <c r="E437" s="4">
        <v>5</v>
      </c>
      <c r="F437" s="4">
        <v>16.5</v>
      </c>
      <c r="G437" s="4"/>
      <c r="H437" s="4"/>
      <c r="I437" s="4"/>
      <c r="J437" s="5">
        <f t="shared" si="108"/>
        <v>0</v>
      </c>
      <c r="K437" s="6">
        <v>1</v>
      </c>
      <c r="L437" s="6">
        <v>70</v>
      </c>
      <c r="M437" s="7">
        <f t="shared" si="105"/>
        <v>70</v>
      </c>
      <c r="N437" s="8">
        <v>4</v>
      </c>
      <c r="O437" s="6">
        <v>4</v>
      </c>
      <c r="P437" s="6">
        <f t="shared" si="106"/>
        <v>16</v>
      </c>
      <c r="Q437" s="8">
        <f t="shared" si="107"/>
        <v>1120</v>
      </c>
      <c r="R437" s="6"/>
      <c r="S437" s="6" t="s">
        <v>57</v>
      </c>
      <c r="T437" s="6"/>
      <c r="U437" s="6"/>
      <c r="V437" s="6"/>
      <c r="W437" s="9"/>
      <c r="X437" s="6"/>
      <c r="Y437" s="9">
        <f t="shared" si="100"/>
        <v>0</v>
      </c>
      <c r="Z437" s="10">
        <f t="shared" si="101"/>
        <v>0</v>
      </c>
      <c r="AA437" s="10">
        <f t="shared" si="102"/>
        <v>0</v>
      </c>
      <c r="AB437" s="11">
        <f t="shared" si="103"/>
        <v>0</v>
      </c>
      <c r="AC437" s="11">
        <f t="shared" si="104"/>
        <v>0</v>
      </c>
      <c r="AD437" s="11" t="s">
        <v>59</v>
      </c>
    </row>
    <row r="438" spans="1:30" s="1" customFormat="1" ht="17.100000000000001" customHeight="1">
      <c r="A438" s="2">
        <v>436</v>
      </c>
      <c r="B438" s="3" t="s">
        <v>912</v>
      </c>
      <c r="C438" s="3" t="s">
        <v>913</v>
      </c>
      <c r="D438" s="4"/>
      <c r="E438" s="4"/>
      <c r="F438" s="4"/>
      <c r="G438" s="4"/>
      <c r="H438" s="4"/>
      <c r="I438" s="4"/>
      <c r="J438" s="5">
        <f t="shared" si="108"/>
        <v>0</v>
      </c>
      <c r="K438" s="6"/>
      <c r="L438" s="6"/>
      <c r="M438" s="7">
        <f t="shared" si="105"/>
        <v>0</v>
      </c>
      <c r="N438" s="8"/>
      <c r="O438" s="6"/>
      <c r="P438" s="6">
        <f t="shared" si="106"/>
        <v>0</v>
      </c>
      <c r="Q438" s="8">
        <f t="shared" si="107"/>
        <v>0</v>
      </c>
      <c r="R438" s="6"/>
      <c r="S438" s="6" t="s">
        <v>80</v>
      </c>
      <c r="T438" s="6"/>
      <c r="U438" s="6"/>
      <c r="V438" s="6"/>
      <c r="W438" s="9"/>
      <c r="X438" s="6"/>
      <c r="Y438" s="9" t="e">
        <f t="shared" si="100"/>
        <v>#DIV/0!</v>
      </c>
      <c r="Z438" s="10" t="e">
        <f t="shared" si="101"/>
        <v>#DIV/0!</v>
      </c>
      <c r="AA438" s="10" t="e">
        <f t="shared" si="102"/>
        <v>#DIV/0!</v>
      </c>
      <c r="AB438" s="11" t="e">
        <f t="shared" si="103"/>
        <v>#DIV/0!</v>
      </c>
      <c r="AC438" s="11" t="e">
        <f t="shared" si="104"/>
        <v>#DIV/0!</v>
      </c>
      <c r="AD438" s="11" t="s">
        <v>212</v>
      </c>
    </row>
    <row r="439" spans="1:30" s="1" customFormat="1" ht="17.100000000000001" customHeight="1">
      <c r="A439" s="2">
        <v>437</v>
      </c>
      <c r="B439" s="3" t="s">
        <v>914</v>
      </c>
      <c r="C439" s="3" t="s">
        <v>913</v>
      </c>
      <c r="D439" s="4"/>
      <c r="E439" s="4"/>
      <c r="F439" s="4"/>
      <c r="G439" s="4"/>
      <c r="H439" s="4"/>
      <c r="I439" s="4"/>
      <c r="J439" s="5">
        <f t="shared" si="108"/>
        <v>0</v>
      </c>
      <c r="K439" s="6"/>
      <c r="L439" s="6"/>
      <c r="M439" s="7">
        <f t="shared" si="105"/>
        <v>0</v>
      </c>
      <c r="N439" s="8"/>
      <c r="O439" s="6"/>
      <c r="P439" s="6">
        <f t="shared" si="106"/>
        <v>0</v>
      </c>
      <c r="Q439" s="8">
        <f t="shared" si="107"/>
        <v>0</v>
      </c>
      <c r="R439" s="6"/>
      <c r="S439" s="6" t="s">
        <v>80</v>
      </c>
      <c r="T439" s="6"/>
      <c r="U439" s="6"/>
      <c r="V439" s="6"/>
      <c r="W439" s="9"/>
      <c r="X439" s="6"/>
      <c r="Y439" s="9" t="e">
        <f t="shared" si="100"/>
        <v>#DIV/0!</v>
      </c>
      <c r="Z439" s="10" t="e">
        <f t="shared" si="101"/>
        <v>#DIV/0!</v>
      </c>
      <c r="AA439" s="10" t="e">
        <f t="shared" si="102"/>
        <v>#DIV/0!</v>
      </c>
      <c r="AB439" s="11" t="e">
        <f t="shared" si="103"/>
        <v>#DIV/0!</v>
      </c>
      <c r="AC439" s="11" t="e">
        <f t="shared" si="104"/>
        <v>#DIV/0!</v>
      </c>
      <c r="AD439" s="11" t="s">
        <v>212</v>
      </c>
    </row>
    <row r="440" spans="1:30" s="1" customFormat="1" ht="17.100000000000001" customHeight="1">
      <c r="A440" s="2">
        <v>438</v>
      </c>
      <c r="B440" s="3" t="s">
        <v>915</v>
      </c>
      <c r="C440" s="3" t="s">
        <v>913</v>
      </c>
      <c r="D440" s="4"/>
      <c r="E440" s="4"/>
      <c r="F440" s="4"/>
      <c r="G440" s="4"/>
      <c r="H440" s="4"/>
      <c r="I440" s="4"/>
      <c r="J440" s="5">
        <f t="shared" si="108"/>
        <v>0</v>
      </c>
      <c r="K440" s="6"/>
      <c r="L440" s="6"/>
      <c r="M440" s="7">
        <f t="shared" si="105"/>
        <v>0</v>
      </c>
      <c r="N440" s="8"/>
      <c r="O440" s="6"/>
      <c r="P440" s="6">
        <f t="shared" si="106"/>
        <v>0</v>
      </c>
      <c r="Q440" s="8">
        <f t="shared" si="107"/>
        <v>0</v>
      </c>
      <c r="R440" s="6"/>
      <c r="S440" s="6" t="s">
        <v>80</v>
      </c>
      <c r="T440" s="6"/>
      <c r="U440" s="6"/>
      <c r="V440" s="6"/>
      <c r="W440" s="9"/>
      <c r="X440" s="6"/>
      <c r="Y440" s="9" t="e">
        <f t="shared" si="100"/>
        <v>#DIV/0!</v>
      </c>
      <c r="Z440" s="10" t="e">
        <f t="shared" si="101"/>
        <v>#DIV/0!</v>
      </c>
      <c r="AA440" s="10" t="e">
        <f t="shared" si="102"/>
        <v>#DIV/0!</v>
      </c>
      <c r="AB440" s="11" t="e">
        <f t="shared" si="103"/>
        <v>#DIV/0!</v>
      </c>
      <c r="AC440" s="11" t="e">
        <f t="shared" si="104"/>
        <v>#DIV/0!</v>
      </c>
      <c r="AD440" s="11" t="s">
        <v>212</v>
      </c>
    </row>
    <row r="441" spans="1:30" s="1" customFormat="1" ht="17.100000000000001" customHeight="1">
      <c r="A441" s="2">
        <v>439</v>
      </c>
      <c r="B441" s="3" t="s">
        <v>916</v>
      </c>
      <c r="C441" s="3" t="s">
        <v>917</v>
      </c>
      <c r="D441" s="4"/>
      <c r="E441" s="4"/>
      <c r="F441" s="4"/>
      <c r="G441" s="4"/>
      <c r="H441" s="4"/>
      <c r="I441" s="4"/>
      <c r="J441" s="5">
        <f t="shared" si="108"/>
        <v>0</v>
      </c>
      <c r="K441" s="6"/>
      <c r="L441" s="6"/>
      <c r="M441" s="7">
        <f t="shared" si="105"/>
        <v>0</v>
      </c>
      <c r="N441" s="8"/>
      <c r="O441" s="6"/>
      <c r="P441" s="6">
        <f t="shared" si="106"/>
        <v>0</v>
      </c>
      <c r="Q441" s="8">
        <f t="shared" si="107"/>
        <v>0</v>
      </c>
      <c r="R441" s="6"/>
      <c r="S441" s="6" t="s">
        <v>80</v>
      </c>
      <c r="T441" s="6"/>
      <c r="U441" s="6"/>
      <c r="V441" s="6"/>
      <c r="W441" s="9"/>
      <c r="X441" s="6"/>
      <c r="Y441" s="9" t="e">
        <f t="shared" si="100"/>
        <v>#DIV/0!</v>
      </c>
      <c r="Z441" s="10" t="e">
        <f t="shared" si="101"/>
        <v>#DIV/0!</v>
      </c>
      <c r="AA441" s="10" t="e">
        <f t="shared" si="102"/>
        <v>#DIV/0!</v>
      </c>
      <c r="AB441" s="11" t="e">
        <f t="shared" si="103"/>
        <v>#DIV/0!</v>
      </c>
      <c r="AC441" s="11" t="e">
        <f t="shared" si="104"/>
        <v>#DIV/0!</v>
      </c>
      <c r="AD441" s="11" t="s">
        <v>212</v>
      </c>
    </row>
    <row r="442" spans="1:30" s="1" customFormat="1" ht="17.100000000000001" customHeight="1">
      <c r="A442" s="2">
        <v>440</v>
      </c>
      <c r="B442" s="3" t="s">
        <v>918</v>
      </c>
      <c r="C442" s="3" t="s">
        <v>917</v>
      </c>
      <c r="D442" s="4"/>
      <c r="E442" s="4"/>
      <c r="F442" s="4"/>
      <c r="G442" s="4"/>
      <c r="H442" s="4"/>
      <c r="I442" s="4"/>
      <c r="J442" s="5">
        <f t="shared" si="108"/>
        <v>0</v>
      </c>
      <c r="K442" s="6"/>
      <c r="L442" s="6"/>
      <c r="M442" s="7">
        <f t="shared" si="105"/>
        <v>0</v>
      </c>
      <c r="N442" s="8"/>
      <c r="O442" s="6"/>
      <c r="P442" s="6">
        <f t="shared" si="106"/>
        <v>0</v>
      </c>
      <c r="Q442" s="8">
        <f t="shared" si="107"/>
        <v>0</v>
      </c>
      <c r="R442" s="6"/>
      <c r="S442" s="6" t="s">
        <v>80</v>
      </c>
      <c r="T442" s="6"/>
      <c r="U442" s="6"/>
      <c r="V442" s="6"/>
      <c r="W442" s="9"/>
      <c r="X442" s="6"/>
      <c r="Y442" s="9" t="e">
        <f t="shared" si="100"/>
        <v>#DIV/0!</v>
      </c>
      <c r="Z442" s="10" t="e">
        <f t="shared" si="101"/>
        <v>#DIV/0!</v>
      </c>
      <c r="AA442" s="10" t="e">
        <f t="shared" si="102"/>
        <v>#DIV/0!</v>
      </c>
      <c r="AB442" s="11" t="e">
        <f t="shared" si="103"/>
        <v>#DIV/0!</v>
      </c>
      <c r="AC442" s="11" t="e">
        <f t="shared" si="104"/>
        <v>#DIV/0!</v>
      </c>
      <c r="AD442" s="11" t="s">
        <v>212</v>
      </c>
    </row>
    <row r="443" spans="1:30" s="1" customFormat="1" ht="17.100000000000001" customHeight="1">
      <c r="A443" s="2">
        <v>441</v>
      </c>
      <c r="B443" s="3" t="s">
        <v>919</v>
      </c>
      <c r="C443" s="3" t="s">
        <v>917</v>
      </c>
      <c r="D443" s="4"/>
      <c r="E443" s="4"/>
      <c r="F443" s="4"/>
      <c r="G443" s="4"/>
      <c r="H443" s="4"/>
      <c r="I443" s="4"/>
      <c r="J443" s="5">
        <f t="shared" si="108"/>
        <v>0</v>
      </c>
      <c r="K443" s="6"/>
      <c r="L443" s="6"/>
      <c r="M443" s="7">
        <f t="shared" si="105"/>
        <v>0</v>
      </c>
      <c r="N443" s="8"/>
      <c r="O443" s="6"/>
      <c r="P443" s="6">
        <f t="shared" si="106"/>
        <v>0</v>
      </c>
      <c r="Q443" s="8">
        <f t="shared" si="107"/>
        <v>0</v>
      </c>
      <c r="R443" s="6"/>
      <c r="S443" s="6" t="s">
        <v>80</v>
      </c>
      <c r="T443" s="6"/>
      <c r="U443" s="6"/>
      <c r="V443" s="6"/>
      <c r="W443" s="9"/>
      <c r="X443" s="6"/>
      <c r="Y443" s="9" t="e">
        <f t="shared" si="100"/>
        <v>#DIV/0!</v>
      </c>
      <c r="Z443" s="10" t="e">
        <f t="shared" si="101"/>
        <v>#DIV/0!</v>
      </c>
      <c r="AA443" s="10" t="e">
        <f t="shared" si="102"/>
        <v>#DIV/0!</v>
      </c>
      <c r="AB443" s="11" t="e">
        <f t="shared" si="103"/>
        <v>#DIV/0!</v>
      </c>
      <c r="AC443" s="11" t="e">
        <f t="shared" si="104"/>
        <v>#DIV/0!</v>
      </c>
      <c r="AD443" s="11" t="s">
        <v>212</v>
      </c>
    </row>
    <row r="444" spans="1:30" s="1" customFormat="1" ht="17.100000000000001" customHeight="1">
      <c r="A444" s="2">
        <v>442</v>
      </c>
      <c r="B444" s="3" t="s">
        <v>920</v>
      </c>
      <c r="C444" s="3" t="s">
        <v>921</v>
      </c>
      <c r="D444" s="4"/>
      <c r="E444" s="4"/>
      <c r="F444" s="4"/>
      <c r="G444" s="4"/>
      <c r="H444" s="4"/>
      <c r="I444" s="4"/>
      <c r="J444" s="5">
        <f t="shared" si="108"/>
        <v>0</v>
      </c>
      <c r="K444" s="6"/>
      <c r="L444" s="6"/>
      <c r="M444" s="7">
        <f t="shared" si="105"/>
        <v>0</v>
      </c>
      <c r="N444" s="8"/>
      <c r="O444" s="6"/>
      <c r="P444" s="6">
        <f t="shared" si="106"/>
        <v>0</v>
      </c>
      <c r="Q444" s="8">
        <f t="shared" si="107"/>
        <v>0</v>
      </c>
      <c r="R444" s="6"/>
      <c r="S444" s="6" t="s">
        <v>80</v>
      </c>
      <c r="T444" s="6"/>
      <c r="U444" s="6"/>
      <c r="V444" s="6"/>
      <c r="W444" s="9"/>
      <c r="X444" s="6"/>
      <c r="Y444" s="9" t="e">
        <f t="shared" si="100"/>
        <v>#DIV/0!</v>
      </c>
      <c r="Z444" s="10" t="e">
        <f t="shared" si="101"/>
        <v>#DIV/0!</v>
      </c>
      <c r="AA444" s="10" t="e">
        <f t="shared" si="102"/>
        <v>#DIV/0!</v>
      </c>
      <c r="AB444" s="11" t="e">
        <f t="shared" si="103"/>
        <v>#DIV/0!</v>
      </c>
      <c r="AC444" s="11" t="e">
        <f t="shared" si="104"/>
        <v>#DIV/0!</v>
      </c>
      <c r="AD444" s="11" t="s">
        <v>212</v>
      </c>
    </row>
    <row r="445" spans="1:30" s="1" customFormat="1" ht="17.100000000000001" customHeight="1">
      <c r="A445" s="2">
        <v>443</v>
      </c>
      <c r="B445" s="3" t="s">
        <v>922</v>
      </c>
      <c r="C445" s="3" t="s">
        <v>923</v>
      </c>
      <c r="D445" s="4"/>
      <c r="E445" s="4"/>
      <c r="F445" s="4"/>
      <c r="G445" s="4"/>
      <c r="H445" s="4"/>
      <c r="I445" s="4"/>
      <c r="J445" s="5">
        <f t="shared" si="108"/>
        <v>0</v>
      </c>
      <c r="K445" s="6"/>
      <c r="L445" s="6"/>
      <c r="M445" s="7">
        <f t="shared" si="105"/>
        <v>0</v>
      </c>
      <c r="N445" s="8"/>
      <c r="O445" s="6"/>
      <c r="P445" s="6">
        <f t="shared" si="106"/>
        <v>0</v>
      </c>
      <c r="Q445" s="8">
        <f t="shared" si="107"/>
        <v>0</v>
      </c>
      <c r="R445" s="6"/>
      <c r="S445" s="6" t="s">
        <v>80</v>
      </c>
      <c r="T445" s="6"/>
      <c r="U445" s="6"/>
      <c r="V445" s="6"/>
      <c r="W445" s="9"/>
      <c r="X445" s="6"/>
      <c r="Y445" s="9" t="e">
        <f t="shared" si="100"/>
        <v>#DIV/0!</v>
      </c>
      <c r="Z445" s="10" t="e">
        <f t="shared" si="101"/>
        <v>#DIV/0!</v>
      </c>
      <c r="AA445" s="10" t="e">
        <f t="shared" si="102"/>
        <v>#DIV/0!</v>
      </c>
      <c r="AB445" s="11" t="e">
        <f t="shared" si="103"/>
        <v>#DIV/0!</v>
      </c>
      <c r="AC445" s="11" t="e">
        <f t="shared" si="104"/>
        <v>#DIV/0!</v>
      </c>
      <c r="AD445" s="11" t="s">
        <v>212</v>
      </c>
    </row>
    <row r="446" spans="1:30" s="1" customFormat="1" ht="17.100000000000001" customHeight="1">
      <c r="A446" s="2">
        <v>444</v>
      </c>
      <c r="B446" s="3" t="s">
        <v>924</v>
      </c>
      <c r="C446" s="3" t="s">
        <v>925</v>
      </c>
      <c r="D446" s="4"/>
      <c r="E446" s="4"/>
      <c r="F446" s="4"/>
      <c r="G446" s="4"/>
      <c r="H446" s="4"/>
      <c r="I446" s="4"/>
      <c r="J446" s="5">
        <f t="shared" si="108"/>
        <v>0</v>
      </c>
      <c r="K446" s="6"/>
      <c r="L446" s="6"/>
      <c r="M446" s="7">
        <f t="shared" si="105"/>
        <v>0</v>
      </c>
      <c r="N446" s="8"/>
      <c r="O446" s="6"/>
      <c r="P446" s="6">
        <f t="shared" si="106"/>
        <v>0</v>
      </c>
      <c r="Q446" s="8">
        <f t="shared" si="107"/>
        <v>0</v>
      </c>
      <c r="R446" s="6"/>
      <c r="S446" s="6" t="s">
        <v>80</v>
      </c>
      <c r="T446" s="6"/>
      <c r="U446" s="6"/>
      <c r="V446" s="6"/>
      <c r="W446" s="9"/>
      <c r="X446" s="6"/>
      <c r="Y446" s="9" t="e">
        <f t="shared" si="100"/>
        <v>#DIV/0!</v>
      </c>
      <c r="Z446" s="10" t="e">
        <f t="shared" si="101"/>
        <v>#DIV/0!</v>
      </c>
      <c r="AA446" s="10" t="e">
        <f t="shared" si="102"/>
        <v>#DIV/0!</v>
      </c>
      <c r="AB446" s="11" t="e">
        <f t="shared" si="103"/>
        <v>#DIV/0!</v>
      </c>
      <c r="AC446" s="11" t="e">
        <f t="shared" si="104"/>
        <v>#DIV/0!</v>
      </c>
      <c r="AD446" s="11" t="s">
        <v>59</v>
      </c>
    </row>
    <row r="447" spans="1:30" s="1" customFormat="1" ht="17.100000000000001" customHeight="1">
      <c r="A447" s="2">
        <v>445</v>
      </c>
      <c r="B447" s="3" t="s">
        <v>926</v>
      </c>
      <c r="C447" s="3" t="s">
        <v>926</v>
      </c>
      <c r="D447" s="4"/>
      <c r="E447" s="4"/>
      <c r="F447" s="4"/>
      <c r="G447" s="4"/>
      <c r="H447" s="4"/>
      <c r="I447" s="4"/>
      <c r="J447" s="5">
        <f t="shared" si="108"/>
        <v>0</v>
      </c>
      <c r="K447" s="6"/>
      <c r="L447" s="6"/>
      <c r="M447" s="7">
        <f t="shared" si="105"/>
        <v>0</v>
      </c>
      <c r="N447" s="8"/>
      <c r="O447" s="6"/>
      <c r="P447" s="6">
        <f t="shared" si="106"/>
        <v>0</v>
      </c>
      <c r="Q447" s="8">
        <f t="shared" si="107"/>
        <v>0</v>
      </c>
      <c r="R447" s="6"/>
      <c r="S447" s="6" t="s">
        <v>80</v>
      </c>
      <c r="T447" s="6"/>
      <c r="U447" s="6"/>
      <c r="V447" s="6"/>
      <c r="W447" s="9"/>
      <c r="X447" s="6"/>
      <c r="Y447" s="9" t="e">
        <f t="shared" si="100"/>
        <v>#DIV/0!</v>
      </c>
      <c r="Z447" s="10" t="e">
        <f t="shared" si="101"/>
        <v>#DIV/0!</v>
      </c>
      <c r="AA447" s="10" t="e">
        <f t="shared" si="102"/>
        <v>#DIV/0!</v>
      </c>
      <c r="AB447" s="11" t="e">
        <f t="shared" si="103"/>
        <v>#DIV/0!</v>
      </c>
      <c r="AC447" s="11" t="e">
        <f t="shared" si="104"/>
        <v>#DIV/0!</v>
      </c>
      <c r="AD447" s="11" t="s">
        <v>59</v>
      </c>
    </row>
    <row r="448" spans="1:30" s="1" customFormat="1" ht="17.100000000000001" customHeight="1">
      <c r="A448" s="2">
        <v>446</v>
      </c>
      <c r="B448" s="3" t="s">
        <v>927</v>
      </c>
      <c r="C448" s="3" t="s">
        <v>928</v>
      </c>
      <c r="D448" s="4">
        <v>30</v>
      </c>
      <c r="E448" s="4">
        <v>22</v>
      </c>
      <c r="F448" s="4">
        <v>4</v>
      </c>
      <c r="G448" s="4">
        <v>67</v>
      </c>
      <c r="H448" s="4">
        <v>38</v>
      </c>
      <c r="I448" s="4">
        <v>36.5</v>
      </c>
      <c r="J448" s="5">
        <f t="shared" si="108"/>
        <v>9.2928999999999998E-2</v>
      </c>
      <c r="K448" s="6">
        <v>1</v>
      </c>
      <c r="L448" s="6">
        <v>22</v>
      </c>
      <c r="M448" s="7">
        <f t="shared" si="105"/>
        <v>22</v>
      </c>
      <c r="N448" s="8">
        <v>5</v>
      </c>
      <c r="O448" s="6">
        <v>6</v>
      </c>
      <c r="P448" s="6">
        <f t="shared" si="106"/>
        <v>30</v>
      </c>
      <c r="Q448" s="8">
        <f t="shared" si="107"/>
        <v>660</v>
      </c>
      <c r="R448" s="6">
        <v>18.899999999999999</v>
      </c>
      <c r="S448" s="6" t="s">
        <v>57</v>
      </c>
      <c r="T448" s="6"/>
      <c r="U448" s="6"/>
      <c r="V448" s="6"/>
      <c r="W448" s="9"/>
      <c r="X448" s="6" t="s">
        <v>58</v>
      </c>
      <c r="Y448" s="9">
        <f t="shared" si="100"/>
        <v>0</v>
      </c>
      <c r="Z448" s="10">
        <f t="shared" si="101"/>
        <v>0</v>
      </c>
      <c r="AA448" s="10">
        <f t="shared" si="102"/>
        <v>0</v>
      </c>
      <c r="AB448" s="11">
        <f t="shared" si="103"/>
        <v>0</v>
      </c>
      <c r="AC448" s="11">
        <f t="shared" si="104"/>
        <v>0</v>
      </c>
      <c r="AD448" s="11" t="s">
        <v>59</v>
      </c>
    </row>
    <row r="449" spans="1:30" s="1" customFormat="1" ht="17.100000000000001" customHeight="1">
      <c r="A449" s="2">
        <v>447</v>
      </c>
      <c r="B449" s="3" t="s">
        <v>929</v>
      </c>
      <c r="C449" s="3" t="s">
        <v>930</v>
      </c>
      <c r="D449" s="4"/>
      <c r="E449" s="4"/>
      <c r="F449" s="4"/>
      <c r="G449" s="4"/>
      <c r="H449" s="4"/>
      <c r="I449" s="4"/>
      <c r="J449" s="5">
        <f t="shared" si="108"/>
        <v>0</v>
      </c>
      <c r="K449" s="6"/>
      <c r="L449" s="6"/>
      <c r="M449" s="7">
        <f t="shared" si="105"/>
        <v>0</v>
      </c>
      <c r="N449" s="8"/>
      <c r="O449" s="6"/>
      <c r="P449" s="6">
        <f t="shared" si="106"/>
        <v>0</v>
      </c>
      <c r="Q449" s="8">
        <f t="shared" si="107"/>
        <v>0</v>
      </c>
      <c r="R449" s="6"/>
      <c r="S449" s="6" t="s">
        <v>80</v>
      </c>
      <c r="T449" s="6"/>
      <c r="U449" s="6"/>
      <c r="V449" s="6"/>
      <c r="W449" s="9"/>
      <c r="X449" s="6"/>
      <c r="Y449" s="9" t="e">
        <f t="shared" si="100"/>
        <v>#DIV/0!</v>
      </c>
      <c r="Z449" s="10" t="e">
        <f t="shared" si="101"/>
        <v>#DIV/0!</v>
      </c>
      <c r="AA449" s="10" t="e">
        <f t="shared" si="102"/>
        <v>#DIV/0!</v>
      </c>
      <c r="AB449" s="11" t="e">
        <f t="shared" si="103"/>
        <v>#DIV/0!</v>
      </c>
      <c r="AC449" s="11" t="e">
        <f t="shared" si="104"/>
        <v>#DIV/0!</v>
      </c>
      <c r="AD449" s="11" t="s">
        <v>212</v>
      </c>
    </row>
    <row r="450" spans="1:30" s="1" customFormat="1" ht="17.100000000000001" customHeight="1">
      <c r="A450" s="2">
        <v>448</v>
      </c>
      <c r="B450" s="3" t="s">
        <v>931</v>
      </c>
      <c r="C450" s="3" t="s">
        <v>932</v>
      </c>
      <c r="D450" s="4"/>
      <c r="E450" s="4"/>
      <c r="F450" s="4"/>
      <c r="G450" s="4"/>
      <c r="H450" s="4"/>
      <c r="I450" s="4"/>
      <c r="J450" s="5">
        <f t="shared" si="108"/>
        <v>0</v>
      </c>
      <c r="K450" s="6"/>
      <c r="L450" s="6"/>
      <c r="M450" s="7">
        <f t="shared" si="105"/>
        <v>0</v>
      </c>
      <c r="N450" s="8"/>
      <c r="O450" s="6"/>
      <c r="P450" s="6">
        <f t="shared" si="106"/>
        <v>0</v>
      </c>
      <c r="Q450" s="8">
        <f t="shared" si="107"/>
        <v>0</v>
      </c>
      <c r="R450" s="6"/>
      <c r="S450" s="6" t="s">
        <v>80</v>
      </c>
      <c r="T450" s="6"/>
      <c r="U450" s="6"/>
      <c r="V450" s="6"/>
      <c r="W450" s="9"/>
      <c r="X450" s="6"/>
      <c r="Y450" s="9" t="e">
        <f t="shared" si="100"/>
        <v>#DIV/0!</v>
      </c>
      <c r="Z450" s="10" t="e">
        <f t="shared" si="101"/>
        <v>#DIV/0!</v>
      </c>
      <c r="AA450" s="10" t="e">
        <f t="shared" si="102"/>
        <v>#DIV/0!</v>
      </c>
      <c r="AB450" s="11" t="e">
        <f t="shared" si="103"/>
        <v>#DIV/0!</v>
      </c>
      <c r="AC450" s="11" t="e">
        <f t="shared" si="104"/>
        <v>#DIV/0!</v>
      </c>
      <c r="AD450" s="11" t="s">
        <v>212</v>
      </c>
    </row>
    <row r="451" spans="1:30" s="1" customFormat="1" ht="17.100000000000001" customHeight="1">
      <c r="A451" s="2">
        <v>449</v>
      </c>
      <c r="B451" s="3" t="s">
        <v>933</v>
      </c>
      <c r="C451" s="3" t="s">
        <v>934</v>
      </c>
      <c r="D451" s="4"/>
      <c r="E451" s="4"/>
      <c r="F451" s="4"/>
      <c r="G451" s="4"/>
      <c r="H451" s="4"/>
      <c r="I451" s="4"/>
      <c r="J451" s="5">
        <f t="shared" si="108"/>
        <v>0</v>
      </c>
      <c r="K451" s="6"/>
      <c r="L451" s="6"/>
      <c r="M451" s="7">
        <f t="shared" si="105"/>
        <v>0</v>
      </c>
      <c r="N451" s="8"/>
      <c r="O451" s="6"/>
      <c r="P451" s="6">
        <f t="shared" si="106"/>
        <v>0</v>
      </c>
      <c r="Q451" s="8">
        <f t="shared" si="107"/>
        <v>0</v>
      </c>
      <c r="R451" s="6"/>
      <c r="S451" s="6" t="s">
        <v>80</v>
      </c>
      <c r="T451" s="6"/>
      <c r="U451" s="6"/>
      <c r="V451" s="6"/>
      <c r="W451" s="9"/>
      <c r="X451" s="6"/>
      <c r="Y451" s="9" t="e">
        <f t="shared" si="100"/>
        <v>#DIV/0!</v>
      </c>
      <c r="Z451" s="10" t="e">
        <f t="shared" si="101"/>
        <v>#DIV/0!</v>
      </c>
      <c r="AA451" s="10" t="e">
        <f t="shared" si="102"/>
        <v>#DIV/0!</v>
      </c>
      <c r="AB451" s="11" t="e">
        <f t="shared" si="103"/>
        <v>#DIV/0!</v>
      </c>
      <c r="AC451" s="11" t="e">
        <f t="shared" si="104"/>
        <v>#DIV/0!</v>
      </c>
      <c r="AD451" s="11" t="s">
        <v>212</v>
      </c>
    </row>
    <row r="452" spans="1:30" s="1" customFormat="1" ht="17.100000000000001" customHeight="1">
      <c r="A452" s="2">
        <v>450</v>
      </c>
      <c r="B452" s="3" t="s">
        <v>935</v>
      </c>
      <c r="C452" s="3" t="s">
        <v>936</v>
      </c>
      <c r="D452" s="4"/>
      <c r="E452" s="4"/>
      <c r="F452" s="4"/>
      <c r="G452" s="4"/>
      <c r="H452" s="4"/>
      <c r="I452" s="4"/>
      <c r="J452" s="5">
        <f t="shared" si="108"/>
        <v>0</v>
      </c>
      <c r="K452" s="6"/>
      <c r="L452" s="6"/>
      <c r="M452" s="7">
        <f t="shared" si="105"/>
        <v>0</v>
      </c>
      <c r="N452" s="8"/>
      <c r="O452" s="6"/>
      <c r="P452" s="6">
        <f t="shared" si="106"/>
        <v>0</v>
      </c>
      <c r="Q452" s="8">
        <f t="shared" si="107"/>
        <v>0</v>
      </c>
      <c r="R452" s="6"/>
      <c r="S452" s="6" t="s">
        <v>80</v>
      </c>
      <c r="T452" s="6"/>
      <c r="U452" s="6"/>
      <c r="V452" s="6"/>
      <c r="W452" s="9"/>
      <c r="X452" s="6"/>
      <c r="Y452" s="9" t="e">
        <f t="shared" si="100"/>
        <v>#DIV/0!</v>
      </c>
      <c r="Z452" s="10" t="e">
        <f t="shared" si="101"/>
        <v>#DIV/0!</v>
      </c>
      <c r="AA452" s="10" t="e">
        <f t="shared" si="102"/>
        <v>#DIV/0!</v>
      </c>
      <c r="AB452" s="11" t="e">
        <f t="shared" si="103"/>
        <v>#DIV/0!</v>
      </c>
      <c r="AC452" s="11" t="e">
        <f t="shared" si="104"/>
        <v>#DIV/0!</v>
      </c>
      <c r="AD452" s="11" t="s">
        <v>212</v>
      </c>
    </row>
    <row r="453" spans="1:30" s="1" customFormat="1" ht="17.100000000000001" customHeight="1">
      <c r="A453" s="2">
        <v>451</v>
      </c>
      <c r="B453" s="3" t="s">
        <v>937</v>
      </c>
      <c r="C453" s="3" t="s">
        <v>938</v>
      </c>
      <c r="D453" s="4"/>
      <c r="E453" s="4"/>
      <c r="F453" s="4"/>
      <c r="G453" s="4"/>
      <c r="H453" s="4"/>
      <c r="I453" s="4"/>
      <c r="J453" s="5">
        <f t="shared" si="108"/>
        <v>0</v>
      </c>
      <c r="K453" s="6"/>
      <c r="L453" s="6"/>
      <c r="M453" s="7">
        <f t="shared" si="105"/>
        <v>0</v>
      </c>
      <c r="N453" s="8"/>
      <c r="O453" s="6"/>
      <c r="P453" s="6">
        <f t="shared" si="106"/>
        <v>0</v>
      </c>
      <c r="Q453" s="8">
        <f t="shared" si="107"/>
        <v>0</v>
      </c>
      <c r="R453" s="6"/>
      <c r="S453" s="6" t="s">
        <v>80</v>
      </c>
      <c r="T453" s="6"/>
      <c r="U453" s="6"/>
      <c r="V453" s="6"/>
      <c r="W453" s="9"/>
      <c r="X453" s="6"/>
      <c r="Y453" s="9" t="e">
        <f t="shared" si="100"/>
        <v>#DIV/0!</v>
      </c>
      <c r="Z453" s="10" t="e">
        <f t="shared" si="101"/>
        <v>#DIV/0!</v>
      </c>
      <c r="AA453" s="10" t="e">
        <f t="shared" si="102"/>
        <v>#DIV/0!</v>
      </c>
      <c r="AB453" s="11" t="e">
        <f t="shared" si="103"/>
        <v>#DIV/0!</v>
      </c>
      <c r="AC453" s="11" t="e">
        <f t="shared" si="104"/>
        <v>#DIV/0!</v>
      </c>
      <c r="AD453" s="11" t="s">
        <v>212</v>
      </c>
    </row>
    <row r="454" spans="1:30" s="1" customFormat="1" ht="17.100000000000001" customHeight="1">
      <c r="A454" s="2">
        <v>452</v>
      </c>
      <c r="B454" s="3" t="s">
        <v>939</v>
      </c>
      <c r="C454" s="3" t="s">
        <v>940</v>
      </c>
      <c r="D454" s="4"/>
      <c r="E454" s="4"/>
      <c r="F454" s="4"/>
      <c r="G454" s="4"/>
      <c r="H454" s="4"/>
      <c r="I454" s="4"/>
      <c r="J454" s="5">
        <f t="shared" si="108"/>
        <v>0</v>
      </c>
      <c r="K454" s="6"/>
      <c r="L454" s="6"/>
      <c r="M454" s="7">
        <f t="shared" si="105"/>
        <v>0</v>
      </c>
      <c r="N454" s="8"/>
      <c r="O454" s="6"/>
      <c r="P454" s="6">
        <f t="shared" si="106"/>
        <v>0</v>
      </c>
      <c r="Q454" s="8">
        <f t="shared" si="107"/>
        <v>0</v>
      </c>
      <c r="R454" s="6"/>
      <c r="S454" s="6" t="s">
        <v>80</v>
      </c>
      <c r="T454" s="6"/>
      <c r="U454" s="6"/>
      <c r="V454" s="6"/>
      <c r="W454" s="9"/>
      <c r="X454" s="6"/>
      <c r="Y454" s="9" t="e">
        <f t="shared" si="100"/>
        <v>#DIV/0!</v>
      </c>
      <c r="Z454" s="10" t="e">
        <f t="shared" si="101"/>
        <v>#DIV/0!</v>
      </c>
      <c r="AA454" s="10" t="e">
        <f t="shared" si="102"/>
        <v>#DIV/0!</v>
      </c>
      <c r="AB454" s="11" t="e">
        <f t="shared" si="103"/>
        <v>#DIV/0!</v>
      </c>
      <c r="AC454" s="11" t="e">
        <f t="shared" si="104"/>
        <v>#DIV/0!</v>
      </c>
      <c r="AD454" s="11" t="s">
        <v>212</v>
      </c>
    </row>
    <row r="455" spans="1:30" s="1" customFormat="1" ht="17.100000000000001" customHeight="1">
      <c r="A455" s="2">
        <v>453</v>
      </c>
      <c r="B455" s="3" t="s">
        <v>941</v>
      </c>
      <c r="C455" s="3" t="s">
        <v>942</v>
      </c>
      <c r="D455" s="4">
        <v>56</v>
      </c>
      <c r="E455" s="4">
        <v>49</v>
      </c>
      <c r="F455" s="4">
        <v>70</v>
      </c>
      <c r="G455" s="4">
        <v>56</v>
      </c>
      <c r="H455" s="4">
        <v>49</v>
      </c>
      <c r="I455" s="4">
        <v>70</v>
      </c>
      <c r="J455" s="5">
        <f t="shared" si="108"/>
        <v>0.19208</v>
      </c>
      <c r="K455" s="6">
        <v>1</v>
      </c>
      <c r="L455" s="6">
        <v>12</v>
      </c>
      <c r="M455" s="7">
        <f t="shared" si="105"/>
        <v>12</v>
      </c>
      <c r="N455" s="8"/>
      <c r="O455" s="6">
        <v>3</v>
      </c>
      <c r="P455" s="6">
        <v>36</v>
      </c>
      <c r="Q455" s="8">
        <v>36</v>
      </c>
      <c r="R455" s="6">
        <v>12</v>
      </c>
      <c r="S455" s="6" t="s">
        <v>57</v>
      </c>
      <c r="T455" s="6"/>
      <c r="U455" s="6"/>
      <c r="V455" s="6"/>
      <c r="W455" s="9"/>
      <c r="X455" s="6"/>
      <c r="Y455" s="9">
        <f t="shared" si="100"/>
        <v>0</v>
      </c>
      <c r="Z455" s="10">
        <f t="shared" si="101"/>
        <v>0</v>
      </c>
      <c r="AA455" s="10">
        <f t="shared" si="102"/>
        <v>0</v>
      </c>
      <c r="AB455" s="11">
        <f t="shared" si="103"/>
        <v>0</v>
      </c>
      <c r="AC455" s="11">
        <f t="shared" si="104"/>
        <v>0</v>
      </c>
      <c r="AD455" s="11" t="s">
        <v>212</v>
      </c>
    </row>
    <row r="456" spans="1:30" s="1" customFormat="1" ht="17.100000000000001" customHeight="1">
      <c r="A456" s="2">
        <v>454</v>
      </c>
      <c r="B456" s="3" t="s">
        <v>943</v>
      </c>
      <c r="C456" s="3" t="s">
        <v>944</v>
      </c>
      <c r="D456" s="4"/>
      <c r="E456" s="4"/>
      <c r="F456" s="4"/>
      <c r="G456" s="4"/>
      <c r="H456" s="4"/>
      <c r="I456" s="4"/>
      <c r="J456" s="5">
        <f t="shared" si="108"/>
        <v>0</v>
      </c>
      <c r="K456" s="6"/>
      <c r="L456" s="6"/>
      <c r="M456" s="7">
        <f t="shared" si="105"/>
        <v>0</v>
      </c>
      <c r="N456" s="8"/>
      <c r="O456" s="6"/>
      <c r="P456" s="6">
        <f t="shared" ref="P456:P472" si="109">N456*O456</f>
        <v>0</v>
      </c>
      <c r="Q456" s="8">
        <f t="shared" ref="Q456:Q472" si="110">M456*P456</f>
        <v>0</v>
      </c>
      <c r="R456" s="6"/>
      <c r="S456" s="6" t="s">
        <v>80</v>
      </c>
      <c r="T456" s="6"/>
      <c r="U456" s="6"/>
      <c r="V456" s="6"/>
      <c r="W456" s="9"/>
      <c r="X456" s="6"/>
      <c r="Y456" s="9" t="e">
        <f t="shared" si="100"/>
        <v>#DIV/0!</v>
      </c>
      <c r="Z456" s="10" t="e">
        <f t="shared" si="101"/>
        <v>#DIV/0!</v>
      </c>
      <c r="AA456" s="10" t="e">
        <f t="shared" si="102"/>
        <v>#DIV/0!</v>
      </c>
      <c r="AB456" s="11" t="e">
        <f t="shared" si="103"/>
        <v>#DIV/0!</v>
      </c>
      <c r="AC456" s="11" t="e">
        <f t="shared" si="104"/>
        <v>#DIV/0!</v>
      </c>
      <c r="AD456" s="11" t="s">
        <v>59</v>
      </c>
    </row>
    <row r="457" spans="1:30" s="1" customFormat="1" ht="17.100000000000001" customHeight="1">
      <c r="A457" s="2">
        <v>455</v>
      </c>
      <c r="B457" s="3" t="s">
        <v>945</v>
      </c>
      <c r="C457" s="3" t="s">
        <v>946</v>
      </c>
      <c r="D457" s="4"/>
      <c r="E457" s="4"/>
      <c r="F457" s="4"/>
      <c r="G457" s="4"/>
      <c r="H457" s="4"/>
      <c r="I457" s="4"/>
      <c r="J457" s="5">
        <f t="shared" si="108"/>
        <v>0</v>
      </c>
      <c r="K457" s="6"/>
      <c r="L457" s="6"/>
      <c r="M457" s="7">
        <f t="shared" si="105"/>
        <v>0</v>
      </c>
      <c r="N457" s="8"/>
      <c r="O457" s="6"/>
      <c r="P457" s="6">
        <f t="shared" si="109"/>
        <v>0</v>
      </c>
      <c r="Q457" s="8">
        <f t="shared" si="110"/>
        <v>0</v>
      </c>
      <c r="R457" s="6"/>
      <c r="S457" s="6" t="s">
        <v>80</v>
      </c>
      <c r="T457" s="6"/>
      <c r="U457" s="6"/>
      <c r="V457" s="6"/>
      <c r="W457" s="9"/>
      <c r="X457" s="6"/>
      <c r="Y457" s="9" t="e">
        <f t="shared" si="100"/>
        <v>#DIV/0!</v>
      </c>
      <c r="Z457" s="10" t="e">
        <f t="shared" si="101"/>
        <v>#DIV/0!</v>
      </c>
      <c r="AA457" s="10" t="e">
        <f t="shared" si="102"/>
        <v>#DIV/0!</v>
      </c>
      <c r="AB457" s="11" t="e">
        <f t="shared" si="103"/>
        <v>#DIV/0!</v>
      </c>
      <c r="AC457" s="11" t="e">
        <f t="shared" si="104"/>
        <v>#DIV/0!</v>
      </c>
      <c r="AD457" s="11" t="s">
        <v>59</v>
      </c>
    </row>
    <row r="458" spans="1:30" s="1" customFormat="1" ht="17.100000000000001" customHeight="1">
      <c r="A458" s="2">
        <v>456</v>
      </c>
      <c r="B458" s="3" t="s">
        <v>947</v>
      </c>
      <c r="C458" s="3" t="s">
        <v>948</v>
      </c>
      <c r="D458" s="4">
        <v>42.3</v>
      </c>
      <c r="E458" s="4">
        <v>26.5</v>
      </c>
      <c r="F458" s="4">
        <v>8</v>
      </c>
      <c r="G458" s="4">
        <v>55</v>
      </c>
      <c r="H458" s="4">
        <v>44</v>
      </c>
      <c r="I458" s="4">
        <v>43</v>
      </c>
      <c r="J458" s="5">
        <f t="shared" si="108"/>
        <v>0.10406</v>
      </c>
      <c r="K458" s="6">
        <v>50</v>
      </c>
      <c r="L458" s="6">
        <v>10</v>
      </c>
      <c r="M458" s="7">
        <f t="shared" si="105"/>
        <v>500</v>
      </c>
      <c r="N458" s="8">
        <v>5</v>
      </c>
      <c r="O458" s="6">
        <v>4</v>
      </c>
      <c r="P458" s="6">
        <f t="shared" si="109"/>
        <v>20</v>
      </c>
      <c r="Q458" s="8">
        <f t="shared" si="110"/>
        <v>10000</v>
      </c>
      <c r="R458" s="6">
        <v>17.399999999999999</v>
      </c>
      <c r="S458" s="6" t="s">
        <v>57</v>
      </c>
      <c r="T458" s="6"/>
      <c r="U458" s="6"/>
      <c r="V458" s="6"/>
      <c r="W458" s="9"/>
      <c r="X458" s="6" t="s">
        <v>58</v>
      </c>
      <c r="Y458" s="9">
        <f t="shared" si="100"/>
        <v>0</v>
      </c>
      <c r="Z458" s="10">
        <f t="shared" si="101"/>
        <v>0</v>
      </c>
      <c r="AA458" s="10">
        <f t="shared" si="102"/>
        <v>0</v>
      </c>
      <c r="AB458" s="11">
        <f t="shared" si="103"/>
        <v>0</v>
      </c>
      <c r="AC458" s="11">
        <f t="shared" si="104"/>
        <v>0</v>
      </c>
      <c r="AD458" s="11" t="s">
        <v>59</v>
      </c>
    </row>
    <row r="459" spans="1:30" s="1" customFormat="1" ht="17.100000000000001" customHeight="1">
      <c r="A459" s="2">
        <v>457</v>
      </c>
      <c r="B459" s="3" t="s">
        <v>949</v>
      </c>
      <c r="C459" s="3" t="s">
        <v>950</v>
      </c>
      <c r="D459" s="4"/>
      <c r="E459" s="4"/>
      <c r="F459" s="4"/>
      <c r="G459" s="4"/>
      <c r="H459" s="4"/>
      <c r="I459" s="4"/>
      <c r="J459" s="5">
        <f t="shared" si="108"/>
        <v>0</v>
      </c>
      <c r="K459" s="6"/>
      <c r="L459" s="6"/>
      <c r="M459" s="7">
        <f t="shared" si="105"/>
        <v>0</v>
      </c>
      <c r="N459" s="8"/>
      <c r="O459" s="6"/>
      <c r="P459" s="6">
        <f t="shared" si="109"/>
        <v>0</v>
      </c>
      <c r="Q459" s="8">
        <f t="shared" si="110"/>
        <v>0</v>
      </c>
      <c r="R459" s="6"/>
      <c r="S459" s="6" t="s">
        <v>80</v>
      </c>
      <c r="T459" s="6"/>
      <c r="U459" s="6"/>
      <c r="V459" s="6"/>
      <c r="W459" s="9"/>
      <c r="X459" s="6"/>
      <c r="Y459" s="9" t="e">
        <f t="shared" si="100"/>
        <v>#DIV/0!</v>
      </c>
      <c r="Z459" s="10" t="e">
        <f t="shared" si="101"/>
        <v>#DIV/0!</v>
      </c>
      <c r="AA459" s="10" t="e">
        <f t="shared" si="102"/>
        <v>#DIV/0!</v>
      </c>
      <c r="AB459" s="11" t="e">
        <f t="shared" si="103"/>
        <v>#DIV/0!</v>
      </c>
      <c r="AC459" s="11" t="e">
        <f t="shared" si="104"/>
        <v>#DIV/0!</v>
      </c>
      <c r="AD459" s="11" t="s">
        <v>59</v>
      </c>
    </row>
    <row r="460" spans="1:30" s="1" customFormat="1" ht="17.100000000000001" customHeight="1">
      <c r="A460" s="2">
        <v>458</v>
      </c>
      <c r="B460" s="3" t="s">
        <v>951</v>
      </c>
      <c r="C460" s="3" t="s">
        <v>952</v>
      </c>
      <c r="D460" s="4">
        <v>42.3</v>
      </c>
      <c r="E460" s="4">
        <v>26.5</v>
      </c>
      <c r="F460" s="4">
        <v>8</v>
      </c>
      <c r="G460" s="4">
        <v>55</v>
      </c>
      <c r="H460" s="4">
        <v>44</v>
      </c>
      <c r="I460" s="4">
        <v>43</v>
      </c>
      <c r="J460" s="5">
        <f t="shared" si="108"/>
        <v>0.10406</v>
      </c>
      <c r="K460" s="6">
        <v>50</v>
      </c>
      <c r="L460" s="6">
        <f>K460*10</f>
        <v>500</v>
      </c>
      <c r="M460" s="7">
        <f t="shared" si="105"/>
        <v>25000</v>
      </c>
      <c r="N460" s="8">
        <v>5</v>
      </c>
      <c r="O460" s="6">
        <v>4</v>
      </c>
      <c r="P460" s="6">
        <f t="shared" si="109"/>
        <v>20</v>
      </c>
      <c r="Q460" s="8">
        <f t="shared" si="110"/>
        <v>500000</v>
      </c>
      <c r="R460" s="6">
        <v>17.399999999999999</v>
      </c>
      <c r="S460" s="6" t="s">
        <v>57</v>
      </c>
      <c r="T460" s="6"/>
      <c r="U460" s="6"/>
      <c r="V460" s="6"/>
      <c r="W460" s="9"/>
      <c r="X460" s="6" t="s">
        <v>953</v>
      </c>
      <c r="Y460" s="9">
        <f t="shared" si="100"/>
        <v>0</v>
      </c>
      <c r="Z460" s="10">
        <f t="shared" si="101"/>
        <v>0</v>
      </c>
      <c r="AA460" s="10">
        <f t="shared" si="102"/>
        <v>0</v>
      </c>
      <c r="AB460" s="11">
        <f t="shared" si="103"/>
        <v>0</v>
      </c>
      <c r="AC460" s="11">
        <f t="shared" si="104"/>
        <v>0</v>
      </c>
      <c r="AD460" s="11" t="s">
        <v>59</v>
      </c>
    </row>
    <row r="461" spans="1:30" s="1" customFormat="1" ht="17.100000000000001" customHeight="1">
      <c r="A461" s="2">
        <v>459</v>
      </c>
      <c r="B461" s="3" t="s">
        <v>954</v>
      </c>
      <c r="C461" s="3" t="s">
        <v>955</v>
      </c>
      <c r="D461" s="4">
        <v>36</v>
      </c>
      <c r="E461" s="4">
        <v>16</v>
      </c>
      <c r="F461" s="4">
        <v>7</v>
      </c>
      <c r="G461" s="4">
        <v>50.5</v>
      </c>
      <c r="H461" s="4">
        <v>37.5</v>
      </c>
      <c r="I461" s="4">
        <v>32</v>
      </c>
      <c r="J461" s="5">
        <f t="shared" si="108"/>
        <v>6.0600000000000001E-2</v>
      </c>
      <c r="K461" s="6">
        <v>1</v>
      </c>
      <c r="L461" s="6">
        <v>12</v>
      </c>
      <c r="M461" s="7">
        <f t="shared" si="105"/>
        <v>12</v>
      </c>
      <c r="N461" s="8">
        <v>5</v>
      </c>
      <c r="O461" s="6">
        <v>5</v>
      </c>
      <c r="P461" s="6">
        <f t="shared" si="109"/>
        <v>25</v>
      </c>
      <c r="Q461" s="8">
        <f t="shared" si="110"/>
        <v>300</v>
      </c>
      <c r="R461" s="6">
        <v>6</v>
      </c>
      <c r="S461" s="6" t="s">
        <v>57</v>
      </c>
      <c r="T461" s="6"/>
      <c r="U461" s="6"/>
      <c r="V461" s="6"/>
      <c r="W461" s="9"/>
      <c r="X461" s="6"/>
      <c r="Y461" s="9">
        <f t="shared" si="100"/>
        <v>0</v>
      </c>
      <c r="Z461" s="10">
        <f t="shared" si="101"/>
        <v>0</v>
      </c>
      <c r="AA461" s="10">
        <f t="shared" si="102"/>
        <v>0</v>
      </c>
      <c r="AB461" s="11">
        <f t="shared" si="103"/>
        <v>0</v>
      </c>
      <c r="AC461" s="11">
        <f t="shared" si="104"/>
        <v>0</v>
      </c>
      <c r="AD461" s="11" t="s">
        <v>59</v>
      </c>
    </row>
    <row r="462" spans="1:30" s="1" customFormat="1" ht="17.100000000000001" customHeight="1">
      <c r="A462" s="2">
        <v>460</v>
      </c>
      <c r="B462" s="3" t="s">
        <v>956</v>
      </c>
      <c r="C462" s="3" t="s">
        <v>957</v>
      </c>
      <c r="D462" s="4"/>
      <c r="E462" s="4"/>
      <c r="F462" s="4"/>
      <c r="G462" s="4"/>
      <c r="H462" s="4"/>
      <c r="I462" s="4"/>
      <c r="J462" s="5">
        <f t="shared" si="108"/>
        <v>0</v>
      </c>
      <c r="K462" s="6"/>
      <c r="L462" s="6"/>
      <c r="M462" s="7">
        <f t="shared" si="105"/>
        <v>0</v>
      </c>
      <c r="N462" s="8"/>
      <c r="O462" s="6"/>
      <c r="P462" s="6">
        <f t="shared" si="109"/>
        <v>0</v>
      </c>
      <c r="Q462" s="8">
        <f t="shared" si="110"/>
        <v>0</v>
      </c>
      <c r="R462" s="6"/>
      <c r="S462" s="6" t="s">
        <v>80</v>
      </c>
      <c r="T462" s="6"/>
      <c r="U462" s="6"/>
      <c r="V462" s="6"/>
      <c r="W462" s="9"/>
      <c r="X462" s="6"/>
      <c r="Y462" s="9" t="e">
        <f t="shared" ref="Y462:Y467" si="111">R462/M462*W462</f>
        <v>#DIV/0!</v>
      </c>
      <c r="Z462" s="10" t="e">
        <f t="shared" ref="Z462:Z467" si="112">(G462*H462*I462/4000)*(W462/M462)</f>
        <v>#DIV/0!</v>
      </c>
      <c r="AA462" s="10" t="e">
        <f t="shared" ref="AA462:AA467" si="113">(G462*H462*I462/6000)*(W462/M462)</f>
        <v>#DIV/0!</v>
      </c>
      <c r="AB462" s="11" t="e">
        <f t="shared" ref="AB462:AB467" si="114">(G462*H462*I462/1000000)*(W462/M462)</f>
        <v>#DIV/0!</v>
      </c>
      <c r="AC462" s="11" t="e">
        <f t="shared" ref="AC462:AC467" si="115">ROUNDUP(W462/M462,0)</f>
        <v>#DIV/0!</v>
      </c>
      <c r="AD462" s="11" t="s">
        <v>59</v>
      </c>
    </row>
    <row r="463" spans="1:30" s="1" customFormat="1" ht="17.100000000000001" customHeight="1">
      <c r="A463" s="2">
        <v>461</v>
      </c>
      <c r="B463" s="3" t="s">
        <v>958</v>
      </c>
      <c r="C463" s="3" t="s">
        <v>959</v>
      </c>
      <c r="D463" s="4"/>
      <c r="E463" s="4"/>
      <c r="F463" s="4"/>
      <c r="G463" s="4"/>
      <c r="H463" s="4"/>
      <c r="I463" s="4"/>
      <c r="J463" s="5">
        <f t="shared" si="108"/>
        <v>0</v>
      </c>
      <c r="K463" s="6"/>
      <c r="L463" s="6"/>
      <c r="M463" s="7">
        <f t="shared" si="105"/>
        <v>0</v>
      </c>
      <c r="N463" s="8"/>
      <c r="O463" s="6"/>
      <c r="P463" s="6">
        <f t="shared" si="109"/>
        <v>0</v>
      </c>
      <c r="Q463" s="8">
        <f t="shared" si="110"/>
        <v>0</v>
      </c>
      <c r="R463" s="6"/>
      <c r="S463" s="6" t="s">
        <v>80</v>
      </c>
      <c r="T463" s="6"/>
      <c r="U463" s="6"/>
      <c r="V463" s="6"/>
      <c r="W463" s="9"/>
      <c r="X463" s="6"/>
      <c r="Y463" s="9" t="e">
        <f t="shared" si="111"/>
        <v>#DIV/0!</v>
      </c>
      <c r="Z463" s="10" t="e">
        <f t="shared" si="112"/>
        <v>#DIV/0!</v>
      </c>
      <c r="AA463" s="10" t="e">
        <f t="shared" si="113"/>
        <v>#DIV/0!</v>
      </c>
      <c r="AB463" s="11" t="e">
        <f t="shared" si="114"/>
        <v>#DIV/0!</v>
      </c>
      <c r="AC463" s="11" t="e">
        <f t="shared" si="115"/>
        <v>#DIV/0!</v>
      </c>
      <c r="AD463" s="11" t="s">
        <v>59</v>
      </c>
    </row>
    <row r="464" spans="1:30" s="1" customFormat="1" ht="17.100000000000001" customHeight="1">
      <c r="A464" s="2">
        <v>462</v>
      </c>
      <c r="B464" s="3" t="s">
        <v>960</v>
      </c>
      <c r="C464" s="3" t="s">
        <v>961</v>
      </c>
      <c r="D464" s="4">
        <v>42</v>
      </c>
      <c r="E464" s="4">
        <v>26.5</v>
      </c>
      <c r="F464" s="4">
        <v>8</v>
      </c>
      <c r="G464" s="4"/>
      <c r="H464" s="4"/>
      <c r="I464" s="4"/>
      <c r="J464" s="5">
        <f t="shared" si="108"/>
        <v>0</v>
      </c>
      <c r="K464" s="6">
        <v>50</v>
      </c>
      <c r="L464" s="6">
        <v>10</v>
      </c>
      <c r="M464" s="7">
        <f t="shared" si="105"/>
        <v>500</v>
      </c>
      <c r="N464" s="8">
        <v>5</v>
      </c>
      <c r="O464" s="6">
        <v>4</v>
      </c>
      <c r="P464" s="6">
        <f t="shared" si="109"/>
        <v>20</v>
      </c>
      <c r="Q464" s="8">
        <f t="shared" si="110"/>
        <v>10000</v>
      </c>
      <c r="R464" s="6"/>
      <c r="S464" s="6" t="s">
        <v>57</v>
      </c>
      <c r="T464" s="6"/>
      <c r="U464" s="6"/>
      <c r="V464" s="6"/>
      <c r="W464" s="9"/>
      <c r="X464" s="6"/>
      <c r="Y464" s="9">
        <f t="shared" si="111"/>
        <v>0</v>
      </c>
      <c r="Z464" s="10">
        <f t="shared" si="112"/>
        <v>0</v>
      </c>
      <c r="AA464" s="10">
        <f t="shared" si="113"/>
        <v>0</v>
      </c>
      <c r="AB464" s="11">
        <f t="shared" si="114"/>
        <v>0</v>
      </c>
      <c r="AC464" s="11">
        <f t="shared" si="115"/>
        <v>0</v>
      </c>
      <c r="AD464" s="11" t="s">
        <v>59</v>
      </c>
    </row>
    <row r="465" spans="1:34" s="1" customFormat="1" ht="17.100000000000001" customHeight="1">
      <c r="A465" s="2">
        <v>463</v>
      </c>
      <c r="B465" s="3" t="s">
        <v>962</v>
      </c>
      <c r="C465" s="3" t="s">
        <v>963</v>
      </c>
      <c r="D465" s="4">
        <v>10</v>
      </c>
      <c r="E465" s="4">
        <v>10</v>
      </c>
      <c r="F465" s="4">
        <v>24</v>
      </c>
      <c r="G465" s="4">
        <v>34.5</v>
      </c>
      <c r="H465" s="4">
        <v>25</v>
      </c>
      <c r="I465" s="4">
        <v>8.5</v>
      </c>
      <c r="J465" s="5">
        <f t="shared" si="108"/>
        <v>7.3312500000000001E-3</v>
      </c>
      <c r="K465" s="6">
        <v>1</v>
      </c>
      <c r="L465" s="6">
        <v>8</v>
      </c>
      <c r="M465" s="7">
        <f t="shared" si="105"/>
        <v>8</v>
      </c>
      <c r="N465" s="8">
        <v>11</v>
      </c>
      <c r="O465" s="6">
        <v>10</v>
      </c>
      <c r="P465" s="6">
        <f t="shared" si="109"/>
        <v>110</v>
      </c>
      <c r="Q465" s="8">
        <f t="shared" si="110"/>
        <v>880</v>
      </c>
      <c r="R465" s="6">
        <v>6.6</v>
      </c>
      <c r="S465" s="6" t="s">
        <v>57</v>
      </c>
      <c r="T465" s="6"/>
      <c r="U465" s="6"/>
      <c r="V465" s="6"/>
      <c r="W465" s="9"/>
      <c r="X465" s="6"/>
      <c r="Y465" s="9">
        <f t="shared" si="111"/>
        <v>0</v>
      </c>
      <c r="Z465" s="10">
        <f t="shared" si="112"/>
        <v>0</v>
      </c>
      <c r="AA465" s="10">
        <f t="shared" si="113"/>
        <v>0</v>
      </c>
      <c r="AB465" s="11">
        <f t="shared" si="114"/>
        <v>0</v>
      </c>
      <c r="AC465" s="11">
        <f t="shared" si="115"/>
        <v>0</v>
      </c>
      <c r="AD465" s="11" t="s">
        <v>212</v>
      </c>
    </row>
    <row r="466" spans="1:34" s="1" customFormat="1" ht="17.100000000000001" customHeight="1">
      <c r="A466" s="2">
        <v>464</v>
      </c>
      <c r="B466" s="3" t="s">
        <v>964</v>
      </c>
      <c r="C466" s="3" t="s">
        <v>965</v>
      </c>
      <c r="D466" s="4">
        <v>19</v>
      </c>
      <c r="E466" s="4">
        <v>16</v>
      </c>
      <c r="F466" s="4">
        <v>23</v>
      </c>
      <c r="G466" s="4">
        <v>19.5</v>
      </c>
      <c r="H466" s="4">
        <v>25</v>
      </c>
      <c r="I466" s="4">
        <v>8.5</v>
      </c>
      <c r="J466" s="5">
        <f t="shared" si="108"/>
        <v>4.1437499999999999E-3</v>
      </c>
      <c r="K466" s="6">
        <v>1</v>
      </c>
      <c r="L466" s="6">
        <v>4</v>
      </c>
      <c r="M466" s="7">
        <f t="shared" si="105"/>
        <v>4</v>
      </c>
      <c r="N466" s="8">
        <v>5</v>
      </c>
      <c r="O466" s="6">
        <v>10</v>
      </c>
      <c r="P466" s="6">
        <f t="shared" si="109"/>
        <v>50</v>
      </c>
      <c r="Q466" s="8">
        <f t="shared" si="110"/>
        <v>200</v>
      </c>
      <c r="R466" s="6">
        <v>4.5</v>
      </c>
      <c r="S466" s="6" t="s">
        <v>57</v>
      </c>
      <c r="T466" s="6"/>
      <c r="U466" s="6"/>
      <c r="V466" s="6"/>
      <c r="W466" s="9"/>
      <c r="X466" s="6"/>
      <c r="Y466" s="9">
        <f t="shared" si="111"/>
        <v>0</v>
      </c>
      <c r="Z466" s="10">
        <f t="shared" si="112"/>
        <v>0</v>
      </c>
      <c r="AA466" s="10">
        <f t="shared" si="113"/>
        <v>0</v>
      </c>
      <c r="AB466" s="11">
        <f t="shared" si="114"/>
        <v>0</v>
      </c>
      <c r="AC466" s="11">
        <f t="shared" si="115"/>
        <v>0</v>
      </c>
      <c r="AD466" s="11" t="s">
        <v>212</v>
      </c>
    </row>
    <row r="467" spans="1:34" s="1" customFormat="1" ht="17.100000000000001" customHeight="1">
      <c r="A467" s="2">
        <v>465</v>
      </c>
      <c r="B467" s="30" t="s">
        <v>966</v>
      </c>
      <c r="C467" s="30" t="s">
        <v>965</v>
      </c>
      <c r="D467" s="4">
        <v>19</v>
      </c>
      <c r="E467" s="4">
        <v>16</v>
      </c>
      <c r="F467" s="4">
        <v>23</v>
      </c>
      <c r="G467" s="4">
        <v>19.5</v>
      </c>
      <c r="H467" s="4">
        <v>25</v>
      </c>
      <c r="I467" s="4">
        <v>8.5</v>
      </c>
      <c r="J467" s="5">
        <f t="shared" si="108"/>
        <v>4.1437499999999999E-3</v>
      </c>
      <c r="K467" s="6">
        <v>1</v>
      </c>
      <c r="L467" s="6">
        <v>4</v>
      </c>
      <c r="M467" s="7">
        <f t="shared" si="105"/>
        <v>4</v>
      </c>
      <c r="N467" s="8">
        <v>5</v>
      </c>
      <c r="O467" s="6">
        <v>10</v>
      </c>
      <c r="P467" s="6">
        <f t="shared" si="109"/>
        <v>50</v>
      </c>
      <c r="Q467" s="8">
        <f t="shared" si="110"/>
        <v>200</v>
      </c>
      <c r="R467" s="6">
        <v>4.5</v>
      </c>
      <c r="S467" s="6" t="s">
        <v>57</v>
      </c>
      <c r="T467" s="6"/>
      <c r="U467" s="6"/>
      <c r="V467" s="6"/>
      <c r="W467" s="9"/>
      <c r="X467" s="6"/>
      <c r="Y467" s="9">
        <f t="shared" si="111"/>
        <v>0</v>
      </c>
      <c r="Z467" s="10">
        <f t="shared" si="112"/>
        <v>0</v>
      </c>
      <c r="AA467" s="10">
        <f t="shared" si="113"/>
        <v>0</v>
      </c>
      <c r="AB467" s="11">
        <f t="shared" si="114"/>
        <v>0</v>
      </c>
      <c r="AC467" s="11">
        <f t="shared" si="115"/>
        <v>0</v>
      </c>
      <c r="AD467" s="11" t="s">
        <v>212</v>
      </c>
    </row>
    <row r="468" spans="1:34" s="1" customFormat="1" ht="17.100000000000001" customHeight="1">
      <c r="A468" s="2">
        <v>466</v>
      </c>
      <c r="B468" s="3" t="s">
        <v>967</v>
      </c>
      <c r="C468" s="3"/>
      <c r="D468" s="24"/>
      <c r="E468" s="24"/>
      <c r="F468" s="24"/>
      <c r="G468" s="24"/>
      <c r="H468" s="24"/>
      <c r="I468" s="24"/>
      <c r="J468" s="5">
        <f t="shared" si="108"/>
        <v>0</v>
      </c>
      <c r="K468" s="6"/>
      <c r="L468" s="6"/>
      <c r="M468" s="6">
        <f t="shared" si="105"/>
        <v>0</v>
      </c>
      <c r="N468" s="8"/>
      <c r="O468" s="6"/>
      <c r="P468" s="6">
        <f t="shared" si="109"/>
        <v>0</v>
      </c>
      <c r="Q468" s="8">
        <f t="shared" si="110"/>
        <v>0</v>
      </c>
      <c r="R468" s="6"/>
      <c r="S468" s="6" t="s">
        <v>80</v>
      </c>
      <c r="T468" s="6"/>
      <c r="U468" s="6"/>
      <c r="V468" s="6"/>
      <c r="W468" s="9"/>
      <c r="X468" s="6"/>
      <c r="Y468" s="9" t="e">
        <f t="shared" ref="Y468:Y481" si="116">R468/M468*W468</f>
        <v>#DIV/0!</v>
      </c>
      <c r="Z468" s="10" t="e">
        <f t="shared" ref="Z468:Z481" si="117">(G468*H468*I468/4000)*(W468/M468)</f>
        <v>#DIV/0!</v>
      </c>
      <c r="AA468" s="10" t="e">
        <f t="shared" ref="AA468:AA481" si="118">(G468*H468*I468/6000)*(W468/M468)</f>
        <v>#DIV/0!</v>
      </c>
      <c r="AB468" s="11" t="e">
        <f t="shared" ref="AB468:AB481" si="119">(G468*H468*I468/1000000)*(W468/M468)</f>
        <v>#DIV/0!</v>
      </c>
      <c r="AC468" s="11" t="e">
        <f t="shared" ref="AC468:AC481" si="120">ROUNDUP(W468/M468,0)</f>
        <v>#DIV/0!</v>
      </c>
      <c r="AD468" s="11" t="s">
        <v>59</v>
      </c>
    </row>
    <row r="469" spans="1:34" s="1" customFormat="1" ht="17.100000000000001" customHeight="1">
      <c r="A469" s="2">
        <v>467</v>
      </c>
      <c r="B469" s="3" t="s">
        <v>968</v>
      </c>
      <c r="C469" s="3"/>
      <c r="D469" s="24"/>
      <c r="E469" s="24"/>
      <c r="F469" s="24"/>
      <c r="G469" s="24"/>
      <c r="H469" s="24"/>
      <c r="I469" s="24"/>
      <c r="J469" s="5">
        <f t="shared" si="108"/>
        <v>0</v>
      </c>
      <c r="K469" s="6"/>
      <c r="L469" s="6"/>
      <c r="M469" s="6">
        <f t="shared" si="105"/>
        <v>0</v>
      </c>
      <c r="N469" s="8"/>
      <c r="O469" s="6"/>
      <c r="P469" s="6">
        <f t="shared" si="109"/>
        <v>0</v>
      </c>
      <c r="Q469" s="8">
        <f t="shared" si="110"/>
        <v>0</v>
      </c>
      <c r="R469" s="6"/>
      <c r="S469" s="6" t="s">
        <v>80</v>
      </c>
      <c r="T469" s="6"/>
      <c r="U469" s="6"/>
      <c r="V469" s="6"/>
      <c r="W469" s="9"/>
      <c r="X469" s="6"/>
      <c r="Y469" s="9" t="e">
        <f t="shared" si="116"/>
        <v>#DIV/0!</v>
      </c>
      <c r="Z469" s="10" t="e">
        <f t="shared" si="117"/>
        <v>#DIV/0!</v>
      </c>
      <c r="AA469" s="10" t="e">
        <f t="shared" si="118"/>
        <v>#DIV/0!</v>
      </c>
      <c r="AB469" s="11" t="e">
        <f t="shared" si="119"/>
        <v>#DIV/0!</v>
      </c>
      <c r="AC469" s="11" t="e">
        <f t="shared" si="120"/>
        <v>#DIV/0!</v>
      </c>
      <c r="AD469" s="11" t="s">
        <v>59</v>
      </c>
    </row>
    <row r="470" spans="1:34" s="1" customFormat="1" ht="17.100000000000001" customHeight="1">
      <c r="A470" s="2">
        <v>468</v>
      </c>
      <c r="B470" s="3" t="s">
        <v>969</v>
      </c>
      <c r="C470" s="3"/>
      <c r="D470" s="24"/>
      <c r="E470" s="24"/>
      <c r="F470" s="24"/>
      <c r="G470" s="24"/>
      <c r="H470" s="24"/>
      <c r="I470" s="24"/>
      <c r="J470" s="5">
        <f t="shared" si="108"/>
        <v>0</v>
      </c>
      <c r="K470" s="6"/>
      <c r="L470" s="6"/>
      <c r="M470" s="6">
        <f>K470*L470</f>
        <v>0</v>
      </c>
      <c r="N470" s="8"/>
      <c r="O470" s="6"/>
      <c r="P470" s="6">
        <f t="shared" si="109"/>
        <v>0</v>
      </c>
      <c r="Q470" s="8">
        <f t="shared" si="110"/>
        <v>0</v>
      </c>
      <c r="R470" s="6"/>
      <c r="S470" s="6" t="s">
        <v>80</v>
      </c>
      <c r="T470" s="6"/>
      <c r="U470" s="6"/>
      <c r="V470" s="6"/>
      <c r="W470" s="9"/>
      <c r="X470" s="6"/>
      <c r="Y470" s="9" t="e">
        <f t="shared" si="116"/>
        <v>#DIV/0!</v>
      </c>
      <c r="Z470" s="10" t="e">
        <f t="shared" si="117"/>
        <v>#DIV/0!</v>
      </c>
      <c r="AA470" s="10" t="e">
        <f t="shared" si="118"/>
        <v>#DIV/0!</v>
      </c>
      <c r="AB470" s="11" t="e">
        <f t="shared" si="119"/>
        <v>#DIV/0!</v>
      </c>
      <c r="AC470" s="11" t="e">
        <f t="shared" si="120"/>
        <v>#DIV/0!</v>
      </c>
      <c r="AD470" s="11" t="s">
        <v>59</v>
      </c>
    </row>
    <row r="471" spans="1:34" s="1" customFormat="1" ht="17.100000000000001" customHeight="1">
      <c r="A471" s="2">
        <v>469</v>
      </c>
      <c r="B471" s="3" t="s">
        <v>970</v>
      </c>
      <c r="C471" s="3"/>
      <c r="D471" s="24"/>
      <c r="E471" s="24"/>
      <c r="F471" s="24"/>
      <c r="G471" s="24"/>
      <c r="H471" s="24"/>
      <c r="I471" s="24"/>
      <c r="J471" s="5">
        <f t="shared" si="108"/>
        <v>0</v>
      </c>
      <c r="K471" s="6"/>
      <c r="L471" s="6"/>
      <c r="M471" s="6">
        <f>K471*L471</f>
        <v>0</v>
      </c>
      <c r="N471" s="8"/>
      <c r="O471" s="6"/>
      <c r="P471" s="6">
        <f t="shared" si="109"/>
        <v>0</v>
      </c>
      <c r="Q471" s="8">
        <f t="shared" si="110"/>
        <v>0</v>
      </c>
      <c r="R471" s="6"/>
      <c r="S471" s="6" t="s">
        <v>80</v>
      </c>
      <c r="T471" s="6"/>
      <c r="U471" s="6"/>
      <c r="V471" s="6"/>
      <c r="W471" s="9"/>
      <c r="X471" s="6"/>
      <c r="Y471" s="9" t="e">
        <f t="shared" si="116"/>
        <v>#DIV/0!</v>
      </c>
      <c r="Z471" s="10" t="e">
        <f t="shared" si="117"/>
        <v>#DIV/0!</v>
      </c>
      <c r="AA471" s="10" t="e">
        <f t="shared" si="118"/>
        <v>#DIV/0!</v>
      </c>
      <c r="AB471" s="11" t="e">
        <f t="shared" si="119"/>
        <v>#DIV/0!</v>
      </c>
      <c r="AC471" s="11" t="e">
        <f t="shared" si="120"/>
        <v>#DIV/0!</v>
      </c>
      <c r="AD471" s="11" t="s">
        <v>59</v>
      </c>
    </row>
    <row r="472" spans="1:34" ht="17.100000000000001" customHeight="1">
      <c r="A472" s="2">
        <v>470</v>
      </c>
      <c r="B472" s="3" t="s">
        <v>971</v>
      </c>
      <c r="C472" s="3" t="s">
        <v>972</v>
      </c>
      <c r="D472" s="4">
        <v>9.5</v>
      </c>
      <c r="E472" s="4">
        <v>9.5</v>
      </c>
      <c r="F472" s="4">
        <v>5.5</v>
      </c>
      <c r="G472" s="4">
        <v>41</v>
      </c>
      <c r="H472" s="4">
        <v>32</v>
      </c>
      <c r="I472" s="4">
        <v>13.8</v>
      </c>
      <c r="J472" s="5">
        <f t="shared" si="108"/>
        <v>1.8105600000000003E-2</v>
      </c>
      <c r="K472" s="19">
        <v>1</v>
      </c>
      <c r="L472" s="6">
        <v>72</v>
      </c>
      <c r="M472" s="7">
        <f>K472*L472</f>
        <v>72</v>
      </c>
      <c r="N472" s="5">
        <v>9</v>
      </c>
      <c r="O472" s="6">
        <v>7</v>
      </c>
      <c r="P472" s="6">
        <f t="shared" si="109"/>
        <v>63</v>
      </c>
      <c r="Q472" s="8">
        <f t="shared" si="110"/>
        <v>4536</v>
      </c>
      <c r="R472" s="6">
        <v>8.9</v>
      </c>
      <c r="S472" s="6" t="s">
        <v>57</v>
      </c>
      <c r="T472" s="6"/>
      <c r="U472" s="6"/>
      <c r="V472" s="6"/>
      <c r="W472" s="9"/>
      <c r="X472" s="6" t="s">
        <v>58</v>
      </c>
      <c r="Y472" s="9">
        <f t="shared" si="116"/>
        <v>0</v>
      </c>
      <c r="Z472" s="10">
        <f t="shared" si="117"/>
        <v>0</v>
      </c>
      <c r="AA472" s="10">
        <f t="shared" si="118"/>
        <v>0</v>
      </c>
      <c r="AB472" s="11">
        <f t="shared" si="119"/>
        <v>0</v>
      </c>
      <c r="AC472" s="11">
        <f t="shared" si="120"/>
        <v>0</v>
      </c>
      <c r="AD472" s="11" t="s">
        <v>59</v>
      </c>
      <c r="AG472" s="1"/>
      <c r="AH472" s="1"/>
    </row>
    <row r="473" spans="1:34" ht="17.100000000000001" customHeight="1">
      <c r="A473" s="2">
        <v>471</v>
      </c>
      <c r="B473" s="3" t="s">
        <v>973</v>
      </c>
      <c r="C473" s="3"/>
      <c r="D473" s="24">
        <v>24</v>
      </c>
      <c r="E473" s="24">
        <v>16</v>
      </c>
      <c r="F473" s="24">
        <v>6</v>
      </c>
      <c r="G473" s="24">
        <v>52</v>
      </c>
      <c r="H473" s="24">
        <v>39</v>
      </c>
      <c r="I473" s="24">
        <v>34</v>
      </c>
      <c r="J473" s="5">
        <f t="shared" si="108"/>
        <v>6.8951999999999999E-2</v>
      </c>
      <c r="K473" s="6">
        <v>1</v>
      </c>
      <c r="L473" s="6">
        <v>45</v>
      </c>
      <c r="M473" s="6">
        <v>45</v>
      </c>
      <c r="N473" s="8"/>
      <c r="O473" s="6">
        <v>5</v>
      </c>
      <c r="P473" s="6">
        <v>40</v>
      </c>
      <c r="Q473" s="8">
        <v>1800</v>
      </c>
      <c r="R473" s="6">
        <v>7.5</v>
      </c>
      <c r="S473" s="6" t="s">
        <v>57</v>
      </c>
      <c r="T473" s="6"/>
      <c r="U473" s="6"/>
      <c r="V473" s="6"/>
      <c r="W473" s="9"/>
      <c r="X473" s="6" t="s">
        <v>58</v>
      </c>
      <c r="Y473" s="9">
        <f t="shared" si="116"/>
        <v>0</v>
      </c>
      <c r="Z473" s="10">
        <f t="shared" si="117"/>
        <v>0</v>
      </c>
      <c r="AA473" s="10">
        <f t="shared" si="118"/>
        <v>0</v>
      </c>
      <c r="AB473" s="11">
        <f t="shared" si="119"/>
        <v>0</v>
      </c>
      <c r="AC473" s="11">
        <f t="shared" si="120"/>
        <v>0</v>
      </c>
      <c r="AD473" s="11" t="s">
        <v>212</v>
      </c>
      <c r="AG473" s="1"/>
      <c r="AH473" s="1"/>
    </row>
    <row r="474" spans="1:34" ht="17.100000000000001" customHeight="1">
      <c r="A474" s="2">
        <v>472</v>
      </c>
      <c r="B474" s="3" t="s">
        <v>974</v>
      </c>
      <c r="C474" s="3"/>
      <c r="D474" s="24">
        <v>24</v>
      </c>
      <c r="E474" s="24">
        <v>16</v>
      </c>
      <c r="F474" s="24">
        <v>6</v>
      </c>
      <c r="G474" s="24">
        <v>52</v>
      </c>
      <c r="H474" s="24">
        <v>39</v>
      </c>
      <c r="I474" s="24">
        <v>34</v>
      </c>
      <c r="J474" s="5">
        <f t="shared" si="108"/>
        <v>6.8951999999999999E-2</v>
      </c>
      <c r="K474" s="6">
        <v>1</v>
      </c>
      <c r="L474" s="6">
        <v>45</v>
      </c>
      <c r="M474" s="6">
        <v>45</v>
      </c>
      <c r="N474" s="8"/>
      <c r="O474" s="6">
        <v>5</v>
      </c>
      <c r="P474" s="6">
        <v>40</v>
      </c>
      <c r="Q474" s="8">
        <v>1800</v>
      </c>
      <c r="R474" s="6">
        <v>7.5</v>
      </c>
      <c r="S474" s="6" t="s">
        <v>57</v>
      </c>
      <c r="T474" s="6"/>
      <c r="U474" s="6"/>
      <c r="V474" s="6"/>
      <c r="W474" s="9"/>
      <c r="X474" s="6" t="s">
        <v>58</v>
      </c>
      <c r="Y474" s="9">
        <f t="shared" si="116"/>
        <v>0</v>
      </c>
      <c r="Z474" s="10">
        <f t="shared" si="117"/>
        <v>0</v>
      </c>
      <c r="AA474" s="10">
        <f t="shared" si="118"/>
        <v>0</v>
      </c>
      <c r="AB474" s="11">
        <f t="shared" si="119"/>
        <v>0</v>
      </c>
      <c r="AC474" s="11">
        <f t="shared" si="120"/>
        <v>0</v>
      </c>
      <c r="AD474" s="11" t="s">
        <v>212</v>
      </c>
      <c r="AG474" s="1"/>
      <c r="AH474" s="1"/>
    </row>
    <row r="475" spans="1:34" ht="17.100000000000001" customHeight="1">
      <c r="A475" s="2">
        <v>473</v>
      </c>
      <c r="B475" s="3" t="s">
        <v>975</v>
      </c>
      <c r="C475" s="3" t="s">
        <v>976</v>
      </c>
      <c r="D475" s="24">
        <v>24</v>
      </c>
      <c r="E475" s="24">
        <v>16</v>
      </c>
      <c r="F475" s="24">
        <v>6</v>
      </c>
      <c r="G475" s="24">
        <v>52</v>
      </c>
      <c r="H475" s="24">
        <v>39</v>
      </c>
      <c r="I475" s="24">
        <v>34</v>
      </c>
      <c r="J475" s="5">
        <f t="shared" si="108"/>
        <v>6.8951999999999999E-2</v>
      </c>
      <c r="K475" s="6">
        <v>1</v>
      </c>
      <c r="L475" s="6">
        <v>45</v>
      </c>
      <c r="M475" s="6">
        <v>45</v>
      </c>
      <c r="N475" s="8"/>
      <c r="O475" s="6">
        <v>5</v>
      </c>
      <c r="P475" s="6">
        <v>40</v>
      </c>
      <c r="Q475" s="8">
        <v>1800</v>
      </c>
      <c r="R475" s="6">
        <v>7.5</v>
      </c>
      <c r="S475" s="6" t="s">
        <v>57</v>
      </c>
      <c r="T475" s="6"/>
      <c r="U475" s="6"/>
      <c r="V475" s="6"/>
      <c r="W475" s="9"/>
      <c r="X475" s="6"/>
      <c r="Y475" s="9">
        <f t="shared" si="116"/>
        <v>0</v>
      </c>
      <c r="Z475" s="10">
        <f t="shared" si="117"/>
        <v>0</v>
      </c>
      <c r="AA475" s="10">
        <f t="shared" si="118"/>
        <v>0</v>
      </c>
      <c r="AB475" s="11">
        <f t="shared" si="119"/>
        <v>0</v>
      </c>
      <c r="AC475" s="11">
        <f t="shared" si="120"/>
        <v>0</v>
      </c>
      <c r="AD475" s="11" t="s">
        <v>212</v>
      </c>
      <c r="AG475" s="1"/>
      <c r="AH475" s="1"/>
    </row>
    <row r="476" spans="1:34" ht="17.100000000000001" customHeight="1">
      <c r="A476" s="2">
        <v>474</v>
      </c>
      <c r="B476" s="3" t="s">
        <v>975</v>
      </c>
      <c r="C476" s="3" t="s">
        <v>976</v>
      </c>
      <c r="D476" s="24">
        <v>24</v>
      </c>
      <c r="E476" s="24">
        <v>16</v>
      </c>
      <c r="F476" s="24">
        <v>6</v>
      </c>
      <c r="G476" s="24">
        <v>52</v>
      </c>
      <c r="H476" s="24">
        <v>39</v>
      </c>
      <c r="I476" s="24">
        <v>34</v>
      </c>
      <c r="J476" s="5">
        <f t="shared" si="108"/>
        <v>6.8951999999999999E-2</v>
      </c>
      <c r="K476" s="6">
        <v>1</v>
      </c>
      <c r="L476" s="6">
        <v>45</v>
      </c>
      <c r="M476" s="6">
        <v>45</v>
      </c>
      <c r="N476" s="8"/>
      <c r="O476" s="6">
        <v>5</v>
      </c>
      <c r="P476" s="6">
        <v>40</v>
      </c>
      <c r="Q476" s="8">
        <v>1800</v>
      </c>
      <c r="R476" s="6">
        <v>7.5</v>
      </c>
      <c r="S476" s="6" t="s">
        <v>57</v>
      </c>
      <c r="T476" s="6"/>
      <c r="U476" s="6"/>
      <c r="V476" s="6"/>
      <c r="W476" s="9"/>
      <c r="X476" s="6" t="s">
        <v>58</v>
      </c>
      <c r="Y476" s="9">
        <f t="shared" si="116"/>
        <v>0</v>
      </c>
      <c r="Z476" s="10">
        <f t="shared" si="117"/>
        <v>0</v>
      </c>
      <c r="AA476" s="10">
        <f t="shared" si="118"/>
        <v>0</v>
      </c>
      <c r="AB476" s="11">
        <f t="shared" si="119"/>
        <v>0</v>
      </c>
      <c r="AC476" s="11">
        <f t="shared" si="120"/>
        <v>0</v>
      </c>
      <c r="AD476" s="11" t="s">
        <v>212</v>
      </c>
      <c r="AG476" s="1"/>
      <c r="AH476" s="1"/>
    </row>
    <row r="477" spans="1:34" ht="17.100000000000001" customHeight="1">
      <c r="A477" s="2">
        <v>475</v>
      </c>
      <c r="B477" s="3" t="s">
        <v>977</v>
      </c>
      <c r="C477" s="3"/>
      <c r="D477" s="24">
        <v>24</v>
      </c>
      <c r="E477" s="24">
        <v>16</v>
      </c>
      <c r="F477" s="24">
        <v>6</v>
      </c>
      <c r="G477" s="24">
        <v>52</v>
      </c>
      <c r="H477" s="24">
        <v>39</v>
      </c>
      <c r="I477" s="24">
        <v>34</v>
      </c>
      <c r="J477" s="5">
        <f t="shared" si="108"/>
        <v>6.8951999999999999E-2</v>
      </c>
      <c r="K477" s="6">
        <v>1</v>
      </c>
      <c r="L477" s="6">
        <v>45</v>
      </c>
      <c r="M477" s="6">
        <v>45</v>
      </c>
      <c r="N477" s="8"/>
      <c r="O477" s="6">
        <v>5</v>
      </c>
      <c r="P477" s="6">
        <v>40</v>
      </c>
      <c r="Q477" s="8">
        <v>1800</v>
      </c>
      <c r="R477" s="6">
        <v>7.5</v>
      </c>
      <c r="S477" s="6" t="s">
        <v>57</v>
      </c>
      <c r="T477" s="6"/>
      <c r="U477" s="6"/>
      <c r="V477" s="6"/>
      <c r="W477" s="9"/>
      <c r="X477" s="6" t="s">
        <v>58</v>
      </c>
      <c r="Y477" s="9">
        <f t="shared" si="116"/>
        <v>0</v>
      </c>
      <c r="Z477" s="10">
        <f t="shared" si="117"/>
        <v>0</v>
      </c>
      <c r="AA477" s="10">
        <f t="shared" si="118"/>
        <v>0</v>
      </c>
      <c r="AB477" s="11">
        <f t="shared" si="119"/>
        <v>0</v>
      </c>
      <c r="AC477" s="11">
        <f t="shared" si="120"/>
        <v>0</v>
      </c>
      <c r="AD477" s="11" t="s">
        <v>212</v>
      </c>
      <c r="AG477" s="1"/>
      <c r="AH477" s="1"/>
    </row>
    <row r="478" spans="1:34" ht="17.100000000000001" customHeight="1">
      <c r="A478" s="2">
        <v>476</v>
      </c>
      <c r="B478" s="3" t="s">
        <v>978</v>
      </c>
      <c r="C478" s="3" t="s">
        <v>979</v>
      </c>
      <c r="D478" s="4">
        <v>9.5</v>
      </c>
      <c r="E478" s="4">
        <v>9.5</v>
      </c>
      <c r="F478" s="4">
        <v>5.5</v>
      </c>
      <c r="G478" s="4">
        <v>41</v>
      </c>
      <c r="H478" s="4">
        <v>32</v>
      </c>
      <c r="I478" s="4">
        <v>13.8</v>
      </c>
      <c r="J478" s="5">
        <f t="shared" si="108"/>
        <v>1.8105600000000003E-2</v>
      </c>
      <c r="K478" s="19">
        <v>1</v>
      </c>
      <c r="L478" s="6">
        <v>72</v>
      </c>
      <c r="M478" s="7">
        <f>K478*L478</f>
        <v>72</v>
      </c>
      <c r="N478" s="5">
        <v>9</v>
      </c>
      <c r="O478" s="6">
        <v>7</v>
      </c>
      <c r="P478" s="6">
        <f>N478*O478</f>
        <v>63</v>
      </c>
      <c r="Q478" s="8">
        <f>M478*P478</f>
        <v>4536</v>
      </c>
      <c r="R478" s="6">
        <v>8.9</v>
      </c>
      <c r="S478" s="6" t="s">
        <v>57</v>
      </c>
      <c r="T478" s="6"/>
      <c r="U478" s="6"/>
      <c r="V478" s="6"/>
      <c r="W478" s="9"/>
      <c r="X478" s="6" t="s">
        <v>201</v>
      </c>
      <c r="Y478" s="9">
        <f t="shared" si="116"/>
        <v>0</v>
      </c>
      <c r="Z478" s="10">
        <f t="shared" si="117"/>
        <v>0</v>
      </c>
      <c r="AA478" s="10">
        <f t="shared" si="118"/>
        <v>0</v>
      </c>
      <c r="AB478" s="11">
        <f t="shared" si="119"/>
        <v>0</v>
      </c>
      <c r="AC478" s="11">
        <f t="shared" si="120"/>
        <v>0</v>
      </c>
      <c r="AD478" s="11" t="s">
        <v>59</v>
      </c>
      <c r="AG478" s="1"/>
      <c r="AH478" s="1"/>
    </row>
    <row r="479" spans="1:34" ht="17.100000000000001" customHeight="1">
      <c r="A479" s="2">
        <v>477</v>
      </c>
      <c r="B479" s="3" t="s">
        <v>980</v>
      </c>
      <c r="C479" s="3" t="s">
        <v>981</v>
      </c>
      <c r="D479" s="4">
        <v>35.5</v>
      </c>
      <c r="E479" s="4">
        <v>21</v>
      </c>
      <c r="F479" s="4">
        <v>17.5</v>
      </c>
      <c r="G479" s="4">
        <v>65.5</v>
      </c>
      <c r="H479" s="4">
        <v>37.799999999999997</v>
      </c>
      <c r="I479" s="4">
        <v>36.5</v>
      </c>
      <c r="J479" s="5">
        <f t="shared" si="108"/>
        <v>9.0370349999999988E-2</v>
      </c>
      <c r="K479" s="6">
        <v>50</v>
      </c>
      <c r="L479" s="19">
        <v>6</v>
      </c>
      <c r="M479" s="7">
        <f>K479*L479</f>
        <v>300</v>
      </c>
      <c r="N479" s="8">
        <v>5</v>
      </c>
      <c r="O479" s="6">
        <v>5</v>
      </c>
      <c r="P479" s="6">
        <f>N479*O479</f>
        <v>25</v>
      </c>
      <c r="Q479" s="8">
        <f>M479*P479</f>
        <v>7500</v>
      </c>
      <c r="R479" s="6">
        <v>14.526</v>
      </c>
      <c r="S479" s="6" t="s">
        <v>57</v>
      </c>
      <c r="T479" s="6"/>
      <c r="U479" s="6"/>
      <c r="V479" s="6"/>
      <c r="W479" s="9"/>
      <c r="X479" s="6" t="s">
        <v>58</v>
      </c>
      <c r="Y479" s="9">
        <f t="shared" si="116"/>
        <v>0</v>
      </c>
      <c r="Z479" s="10">
        <f t="shared" si="117"/>
        <v>0</v>
      </c>
      <c r="AA479" s="10">
        <f t="shared" si="118"/>
        <v>0</v>
      </c>
      <c r="AB479" s="11">
        <f t="shared" si="119"/>
        <v>0</v>
      </c>
      <c r="AC479" s="11">
        <f t="shared" si="120"/>
        <v>0</v>
      </c>
      <c r="AD479" s="11" t="s">
        <v>59</v>
      </c>
      <c r="AG479" s="1"/>
      <c r="AH479" s="1"/>
    </row>
    <row r="480" spans="1:34" ht="17.100000000000001" customHeight="1">
      <c r="A480" s="2">
        <v>478</v>
      </c>
      <c r="B480" s="3" t="s">
        <v>982</v>
      </c>
      <c r="C480" s="3" t="s">
        <v>983</v>
      </c>
      <c r="D480" s="24"/>
      <c r="E480" s="24"/>
      <c r="F480" s="24"/>
      <c r="G480" s="24"/>
      <c r="H480" s="24"/>
      <c r="I480" s="24"/>
      <c r="J480" s="5">
        <f>(G480*H480*I480)/1000000</f>
        <v>0</v>
      </c>
      <c r="K480" s="6"/>
      <c r="L480" s="6"/>
      <c r="M480" s="6">
        <f>K480*L480</f>
        <v>0</v>
      </c>
      <c r="N480" s="8"/>
      <c r="O480" s="6"/>
      <c r="P480" s="6">
        <f>N480*O480</f>
        <v>0</v>
      </c>
      <c r="Q480" s="8">
        <f>M480*P480</f>
        <v>0</v>
      </c>
      <c r="R480" s="6"/>
      <c r="S480" s="6" t="s">
        <v>80</v>
      </c>
      <c r="T480" s="6"/>
      <c r="U480" s="6"/>
      <c r="V480" s="6"/>
      <c r="W480" s="9"/>
      <c r="X480" s="6"/>
      <c r="Y480" s="9" t="e">
        <f t="shared" si="116"/>
        <v>#DIV/0!</v>
      </c>
      <c r="Z480" s="10" t="e">
        <f t="shared" si="117"/>
        <v>#DIV/0!</v>
      </c>
      <c r="AA480" s="10" t="e">
        <f t="shared" si="118"/>
        <v>#DIV/0!</v>
      </c>
      <c r="AB480" s="11" t="e">
        <f t="shared" si="119"/>
        <v>#DIV/0!</v>
      </c>
      <c r="AC480" s="11" t="e">
        <f t="shared" si="120"/>
        <v>#DIV/0!</v>
      </c>
      <c r="AD480" s="11" t="s">
        <v>59</v>
      </c>
    </row>
    <row r="481" spans="1:30" ht="17.100000000000001" customHeight="1">
      <c r="A481" s="2">
        <v>479</v>
      </c>
      <c r="B481" s="32" t="s">
        <v>984</v>
      </c>
      <c r="C481" s="6" t="s">
        <v>985</v>
      </c>
      <c r="D481" s="6">
        <v>48</v>
      </c>
      <c r="E481" s="6">
        <v>10</v>
      </c>
      <c r="F481" s="6">
        <v>26</v>
      </c>
      <c r="G481" s="6">
        <v>70</v>
      </c>
      <c r="H481" s="6">
        <v>40.5</v>
      </c>
      <c r="I481" s="6">
        <v>35.5</v>
      </c>
      <c r="J481" s="5">
        <f>(G481*H481*I481)/1000000</f>
        <v>0.1006425</v>
      </c>
      <c r="K481" s="6">
        <v>25</v>
      </c>
      <c r="L481" s="6">
        <v>16</v>
      </c>
      <c r="M481" s="6">
        <v>400</v>
      </c>
      <c r="N481" s="8"/>
      <c r="O481" s="6"/>
      <c r="P481" s="6"/>
      <c r="Q481" s="6"/>
      <c r="R481" s="6">
        <v>15</v>
      </c>
      <c r="S481" s="6" t="s">
        <v>57</v>
      </c>
      <c r="T481" s="6"/>
      <c r="U481" s="6"/>
      <c r="V481" s="6"/>
      <c r="W481" s="9"/>
      <c r="X481" s="6"/>
      <c r="Y481" s="9">
        <f t="shared" si="116"/>
        <v>0</v>
      </c>
      <c r="Z481" s="10">
        <f t="shared" si="117"/>
        <v>0</v>
      </c>
      <c r="AA481" s="10">
        <f t="shared" si="118"/>
        <v>0</v>
      </c>
      <c r="AB481" s="11">
        <f t="shared" si="119"/>
        <v>0</v>
      </c>
      <c r="AC481" s="11">
        <f t="shared" si="120"/>
        <v>0</v>
      </c>
      <c r="AD481" s="11" t="s">
        <v>59</v>
      </c>
    </row>
    <row r="482" spans="1:30" ht="17.100000000000001" customHeight="1">
      <c r="A482" s="2">
        <v>480</v>
      </c>
      <c r="B482" s="32" t="s">
        <v>986</v>
      </c>
      <c r="C482" s="33" t="s">
        <v>986</v>
      </c>
      <c r="D482" s="6"/>
      <c r="E482" s="6"/>
      <c r="F482" s="6"/>
      <c r="G482" s="6"/>
      <c r="H482" s="6"/>
      <c r="I482" s="6"/>
      <c r="J482" s="5"/>
      <c r="K482" s="6"/>
      <c r="L482" s="6"/>
      <c r="M482" s="6"/>
      <c r="N482" s="8"/>
      <c r="O482" s="6"/>
      <c r="P482" s="6"/>
      <c r="Q482" s="6"/>
      <c r="R482" s="6"/>
      <c r="S482" s="6"/>
      <c r="T482" s="6"/>
      <c r="U482" s="6"/>
      <c r="V482" s="6"/>
      <c r="W482" s="9"/>
      <c r="X482" s="6"/>
      <c r="Y482" s="9"/>
      <c r="Z482" s="10"/>
      <c r="AA482" s="10"/>
      <c r="AB482" s="11"/>
      <c r="AC482" s="11"/>
      <c r="AD482" s="11"/>
    </row>
    <row r="483" spans="1:30" ht="17.100000000000001" customHeight="1">
      <c r="A483" s="2">
        <v>481</v>
      </c>
      <c r="B483" s="32" t="s">
        <v>987</v>
      </c>
      <c r="C483" s="34" t="s">
        <v>987</v>
      </c>
      <c r="D483" s="6"/>
      <c r="E483" s="6"/>
      <c r="F483" s="6"/>
      <c r="G483" s="6"/>
      <c r="H483" s="6"/>
      <c r="I483" s="6"/>
      <c r="J483" s="5"/>
      <c r="K483" s="6"/>
      <c r="L483" s="6"/>
      <c r="M483" s="6"/>
      <c r="N483" s="8"/>
      <c r="O483" s="6"/>
      <c r="P483" s="6"/>
      <c r="Q483" s="6"/>
      <c r="R483" s="6"/>
      <c r="S483" s="6"/>
      <c r="T483" s="6"/>
      <c r="U483" s="6"/>
      <c r="V483" s="6"/>
      <c r="W483" s="9"/>
      <c r="X483" s="6"/>
      <c r="Y483" s="9"/>
      <c r="Z483" s="10"/>
      <c r="AA483" s="10"/>
      <c r="AB483" s="11"/>
      <c r="AC483" s="11"/>
      <c r="AD483" s="11"/>
    </row>
    <row r="484" spans="1:30" ht="17.100000000000001" customHeight="1">
      <c r="A484" s="2">
        <v>482</v>
      </c>
      <c r="B484" s="32" t="s">
        <v>988</v>
      </c>
      <c r="C484" s="35" t="s">
        <v>269</v>
      </c>
      <c r="D484" s="6"/>
      <c r="E484" s="6"/>
      <c r="F484" s="6"/>
      <c r="G484" s="6"/>
      <c r="H484" s="6"/>
      <c r="I484" s="6"/>
      <c r="J484" s="5"/>
      <c r="K484" s="6"/>
      <c r="L484" s="6"/>
      <c r="M484" s="6"/>
      <c r="N484" s="8"/>
      <c r="O484" s="6"/>
      <c r="P484" s="6"/>
      <c r="Q484" s="6"/>
      <c r="R484" s="6"/>
      <c r="S484" s="6"/>
      <c r="T484" s="6"/>
      <c r="U484" s="6"/>
      <c r="V484" s="6"/>
      <c r="W484" s="9"/>
      <c r="X484" s="6"/>
      <c r="Y484" s="9"/>
      <c r="Z484" s="10"/>
      <c r="AA484" s="10"/>
      <c r="AB484" s="11"/>
      <c r="AC484" s="11"/>
      <c r="AD484" s="11" t="s">
        <v>59</v>
      </c>
    </row>
    <row r="485" spans="1:30" ht="17.100000000000001" customHeight="1">
      <c r="A485" s="2">
        <v>483</v>
      </c>
      <c r="B485" s="32" t="s">
        <v>989</v>
      </c>
      <c r="C485" s="35" t="s">
        <v>990</v>
      </c>
      <c r="D485" s="6"/>
      <c r="E485" s="6"/>
      <c r="F485" s="6"/>
      <c r="G485" s="6"/>
      <c r="H485" s="6"/>
      <c r="I485" s="6"/>
      <c r="J485" s="5"/>
      <c r="K485" s="6"/>
      <c r="L485" s="6"/>
      <c r="M485" s="6"/>
      <c r="N485" s="8"/>
      <c r="O485" s="6"/>
      <c r="P485" s="6"/>
      <c r="Q485" s="6"/>
      <c r="R485" s="6"/>
      <c r="S485" s="6"/>
      <c r="T485" s="6"/>
      <c r="U485" s="6"/>
      <c r="V485" s="6"/>
      <c r="W485" s="9"/>
      <c r="X485" s="6"/>
      <c r="Y485" s="9"/>
      <c r="Z485" s="10"/>
      <c r="AA485" s="10"/>
      <c r="AB485" s="11"/>
      <c r="AC485" s="11"/>
      <c r="AD485" s="11" t="s">
        <v>212</v>
      </c>
    </row>
    <row r="486" spans="1:30" ht="17.100000000000001" customHeight="1">
      <c r="A486" s="2">
        <v>484</v>
      </c>
      <c r="B486" s="32" t="s">
        <v>991</v>
      </c>
      <c r="C486" s="35" t="s">
        <v>992</v>
      </c>
      <c r="D486" s="6"/>
      <c r="E486" s="6"/>
      <c r="F486" s="6"/>
      <c r="G486" s="6"/>
      <c r="H486" s="6"/>
      <c r="I486" s="6"/>
      <c r="J486" s="5"/>
      <c r="K486" s="6"/>
      <c r="L486" s="6"/>
      <c r="M486" s="6"/>
      <c r="N486" s="8"/>
      <c r="O486" s="6"/>
      <c r="P486" s="6"/>
      <c r="Q486" s="6"/>
      <c r="R486" s="6"/>
      <c r="S486" s="6"/>
      <c r="T486" s="6"/>
      <c r="U486" s="6"/>
      <c r="V486" s="6"/>
      <c r="W486" s="9"/>
      <c r="X486" s="6"/>
      <c r="Y486" s="9"/>
      <c r="Z486" s="10"/>
      <c r="AA486" s="10"/>
      <c r="AB486" s="11"/>
      <c r="AC486" s="11"/>
      <c r="AD486" s="11" t="s">
        <v>212</v>
      </c>
    </row>
    <row r="487" spans="1:30" ht="17.100000000000001" customHeight="1">
      <c r="A487" s="2">
        <v>485</v>
      </c>
      <c r="B487" s="6" t="s">
        <v>993</v>
      </c>
      <c r="C487" s="6"/>
      <c r="D487" s="6"/>
      <c r="E487" s="6"/>
      <c r="F487" s="6"/>
      <c r="G487" s="6">
        <v>4.5</v>
      </c>
      <c r="H487" s="6">
        <v>1.5</v>
      </c>
      <c r="I487" s="6">
        <v>6</v>
      </c>
      <c r="J487" s="5">
        <f>(G487*H487*I487)/1000000</f>
        <v>4.0500000000000002E-5</v>
      </c>
      <c r="K487" s="6">
        <v>1</v>
      </c>
      <c r="L487" s="6">
        <v>1</v>
      </c>
      <c r="M487" s="6">
        <v>1</v>
      </c>
      <c r="N487" s="8"/>
      <c r="O487" s="6"/>
      <c r="P487" s="6"/>
      <c r="Q487" s="6"/>
      <c r="R487" s="6">
        <v>1</v>
      </c>
      <c r="S487" s="6" t="s">
        <v>57</v>
      </c>
      <c r="T487" s="6"/>
      <c r="U487" s="6"/>
      <c r="V487" s="6"/>
      <c r="W487" s="9"/>
      <c r="X487" s="6" t="s">
        <v>197</v>
      </c>
      <c r="Y487" s="9">
        <f>R487/M487*W487</f>
        <v>0</v>
      </c>
      <c r="Z487" s="10">
        <f>(G487*H487*I487/4000)*(W487/M487)</f>
        <v>0</v>
      </c>
      <c r="AA487" s="10">
        <f>(G487*H487*I487/6000)*(W487/M487)</f>
        <v>0</v>
      </c>
      <c r="AB487" s="11">
        <f>(G487*H487*I487/1000000)*(W487/M487)</f>
        <v>0</v>
      </c>
      <c r="AC487" s="11">
        <f>ROUNDUP(W487/M487,0)</f>
        <v>0</v>
      </c>
      <c r="AD487" s="11" t="e">
        <v>#N/A</v>
      </c>
    </row>
    <row r="488" spans="1:30">
      <c r="N488" s="36"/>
    </row>
    <row r="499" spans="23:28">
      <c r="AB499" s="37"/>
    </row>
    <row r="502" spans="23:28" ht="0.95" customHeight="1"/>
    <row r="504" spans="23:28">
      <c r="AB504" s="37"/>
    </row>
    <row r="506" spans="23:28">
      <c r="AB506" s="37"/>
    </row>
    <row r="508" spans="23:28">
      <c r="AB508" s="37"/>
    </row>
    <row r="509" spans="23:28">
      <c r="AB509" s="37"/>
    </row>
    <row r="511" spans="23:28">
      <c r="W511" s="37"/>
      <c r="AB511" s="38"/>
    </row>
    <row r="513" spans="24:28">
      <c r="X513" s="37"/>
    </row>
    <row r="515" spans="24:28">
      <c r="AB515" s="37"/>
    </row>
    <row r="517" spans="24:28">
      <c r="AB517" s="42"/>
    </row>
    <row r="519" spans="24:28">
      <c r="AB519" s="43"/>
    </row>
    <row r="529" spans="18:44">
      <c r="W529" s="39"/>
    </row>
    <row r="530" spans="18:44">
      <c r="Y530" s="44"/>
      <c r="AB530" s="38"/>
    </row>
    <row r="531" spans="18:44">
      <c r="X531" s="40"/>
      <c r="Z531" s="45"/>
      <c r="AB531" s="46"/>
      <c r="AC531" s="46"/>
      <c r="AD531" s="46"/>
    </row>
    <row r="532" spans="18:44">
      <c r="X532" s="39"/>
    </row>
    <row r="533" spans="18:44">
      <c r="AR533" s="50"/>
    </row>
    <row r="534" spans="18:44">
      <c r="AR534" s="50"/>
    </row>
    <row r="536" spans="18:44">
      <c r="Y536" s="39"/>
    </row>
    <row r="538" spans="18:44">
      <c r="Y538" s="47"/>
    </row>
    <row r="543" spans="18:44">
      <c r="R543" s="41"/>
      <c r="S543" s="41"/>
    </row>
    <row r="547" spans="31:31">
      <c r="AE547" s="48"/>
    </row>
    <row r="549" spans="31:31">
      <c r="AE549" s="49"/>
    </row>
  </sheetData>
  <mergeCells count="1">
    <mergeCell ref="AE2:AH2"/>
  </mergeCells>
  <pageMargins left="0.75" right="0.75" top="1" bottom="1" header="0.5" footer="0.5"/>
  <pageSetup orientation="portrait"/>
  <colBreaks count="1" manualBreakCount="1">
    <brk id="21" max="65553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>
      <selection activeCell="H13" sqref="H13"/>
    </sheetView>
  </sheetViews>
  <sheetFormatPr defaultColWidth="9.140625" defaultRowHeight="12.75"/>
  <sheetData>
    <row r="1" spans="1:30" s="1" customFormat="1" ht="21.95" customHeight="1">
      <c r="A1" s="2">
        <v>7</v>
      </c>
      <c r="B1" s="3" t="s">
        <v>19</v>
      </c>
      <c r="C1" s="3" t="s">
        <v>68</v>
      </c>
      <c r="D1" s="4">
        <v>22</v>
      </c>
      <c r="E1" s="4">
        <v>21</v>
      </c>
      <c r="F1" s="4">
        <v>9</v>
      </c>
      <c r="G1" s="4">
        <v>58.5</v>
      </c>
      <c r="H1" s="4">
        <v>45.5</v>
      </c>
      <c r="I1" s="4">
        <v>45.5</v>
      </c>
      <c r="J1" s="5">
        <f>(G1*H1*I1)/1000000</f>
        <v>0.121109625</v>
      </c>
      <c r="K1" s="6">
        <v>100</v>
      </c>
      <c r="L1" s="6">
        <v>24</v>
      </c>
      <c r="M1" s="7">
        <f>K1*L1</f>
        <v>2400</v>
      </c>
      <c r="N1" s="8">
        <v>4</v>
      </c>
      <c r="O1" s="6">
        <v>4</v>
      </c>
      <c r="P1" s="6">
        <f>N1*O1</f>
        <v>16</v>
      </c>
      <c r="Q1" s="8">
        <f>M1*P1</f>
        <v>38400</v>
      </c>
      <c r="R1" s="6">
        <v>16.282</v>
      </c>
      <c r="S1" s="6" t="s">
        <v>57</v>
      </c>
      <c r="T1" s="6"/>
      <c r="U1" s="6"/>
      <c r="V1" s="6"/>
      <c r="W1" s="9">
        <v>9200</v>
      </c>
      <c r="X1" s="6" t="s">
        <v>58</v>
      </c>
      <c r="Y1" s="9">
        <f>R1/M1*W1</f>
        <v>62.414333333333332</v>
      </c>
      <c r="Z1" s="10">
        <f>(G1*H1*I1/4000)*(W1/M1)</f>
        <v>116.063390625</v>
      </c>
      <c r="AA1" s="10">
        <f>(G1*H1*I1/6000)*(W1/M1)</f>
        <v>77.375593750000007</v>
      </c>
      <c r="AB1" s="11">
        <f>(G1*H1*I1/1000000)*(W1/M1)</f>
        <v>0.46425356249999999</v>
      </c>
      <c r="AC1" s="11">
        <f>ROUNDUP(W1/M1,0)</f>
        <v>4</v>
      </c>
      <c r="AD1" s="11" t="str">
        <f>VLOOKUP(B1,[3]Items!$A$2:$C$6597,3,0)</f>
        <v>NHD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TEMPLATE HITUNG VOLUME</vt:lpstr>
      <vt:lpstr>MASTER VOLUME</vt:lpstr>
      <vt:lpstr>Sheet1</vt:lpstr>
      <vt:lpstr>'TEMPLATE HITUNG VOLUME'!Print_Area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</dc:creator>
  <cp:lastModifiedBy>LENOVO</cp:lastModifiedBy>
  <dcterms:created xsi:type="dcterms:W3CDTF">2024-08-01T02:36:00Z</dcterms:created>
  <dcterms:modified xsi:type="dcterms:W3CDTF">2026-08-30T16:14:39Z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2170E1D067114ABB82B3D0D1FD969333_13</vt:lpwstr>
  </property>
  <property fmtid="{D5CDD505-2E9C-101B-9397-08002B2CF9AE}" pid="3" name="KSOProductBuildVer">
    <vt:lpwstr>1033-11.2.0.10223</vt:lpwstr>
  </property>
</Properties>
</file>