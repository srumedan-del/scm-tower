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Dashboard" sheetId="1" r:id="rId1"/>
  </sheets>
  <calcPr calcId="144525"/>
</workbook>
</file>

<file path=xl/comments1.xml><?xml version="1.0" encoding="utf-8"?>
<comments xmlns="http://schemas.openxmlformats.org/spreadsheetml/2006/main">
  <authors>
    <author>YUSUF HARYANTO</author>
  </authors>
  <commentList>
    <comment ref="J4" authorId="0">
      <text>
        <r>
          <rPr>
            <b/>
            <sz val="9"/>
            <rFont val="Times New Roman"/>
            <charset val="0"/>
          </rPr>
          <t>YUSUF HARYANTO:</t>
        </r>
        <r>
          <rPr>
            <sz val="9"/>
            <rFont val="Times New Roman"/>
            <charset val="0"/>
          </rPr>
          <t xml:space="preserve">
Stok Akhir-Belum ada report Asumsi = O</t>
        </r>
      </text>
    </comment>
  </commentList>
</comments>
</file>

<file path=xl/sharedStrings.xml><?xml version="1.0" encoding="utf-8"?>
<sst xmlns="http://schemas.openxmlformats.org/spreadsheetml/2006/main" count="130" uniqueCount="110">
  <si>
    <t>DASHBOARD INVENTORY CONTROL STOK HD SET DI RS</t>
  </si>
  <si>
    <t>Dibuat : 15 juli 2026</t>
  </si>
  <si>
    <t>NO</t>
  </si>
  <si>
    <t>NAMA CUSTOMER/ RUMAH SAKIT</t>
  </si>
  <si>
    <t>KABUPATEN/KOTA</t>
  </si>
  <si>
    <t>Jumlah Mesin HD</t>
  </si>
  <si>
    <t>Estimasi</t>
  </si>
  <si>
    <t>Kebutuhan</t>
  </si>
  <si>
    <t>Safety Stok</t>
  </si>
  <si>
    <t>ROP</t>
  </si>
  <si>
    <t>Stok Akhir</t>
  </si>
  <si>
    <t>Pengiriman</t>
  </si>
  <si>
    <t>Estimasi Stok</t>
  </si>
  <si>
    <t>DOI</t>
  </si>
  <si>
    <t>HABIS</t>
  </si>
  <si>
    <t>Available</t>
  </si>
  <si>
    <t>FU-PO</t>
  </si>
  <si>
    <t>1 hari (2x Tindakan )</t>
  </si>
  <si>
    <t>1 bulan (25 hari )</t>
  </si>
  <si>
    <t>6 hari</t>
  </si>
  <si>
    <t>8 hari</t>
  </si>
  <si>
    <t>Tgl</t>
  </si>
  <si>
    <t>Qtty</t>
  </si>
  <si>
    <t>TGL</t>
  </si>
  <si>
    <t>Stok</t>
  </si>
  <si>
    <t>Hari</t>
  </si>
  <si>
    <t>KLINIK AYAH BUNDA</t>
  </si>
  <si>
    <t>LOKSUMAWE</t>
  </si>
  <si>
    <t>24/6</t>
  </si>
  <si>
    <t>19-jul</t>
  </si>
  <si>
    <t>10 juli</t>
  </si>
  <si>
    <t>KLINIK UTAMA SPESIALIS BUNDA</t>
  </si>
  <si>
    <t>RANTAU PRAPAT</t>
  </si>
  <si>
    <t>29-Jul</t>
  </si>
  <si>
    <t>18-Juli</t>
  </si>
  <si>
    <t>RS HARAPAN</t>
  </si>
  <si>
    <t>PEMATANG SIANTAR</t>
  </si>
  <si>
    <t>06-Agt</t>
  </si>
  <si>
    <t>29_jul</t>
  </si>
  <si>
    <t>RS KHUSUS GINJAL RASYIDA</t>
  </si>
  <si>
    <t>MEDAN</t>
  </si>
  <si>
    <t>16-JUL</t>
  </si>
  <si>
    <t>RS MARTHA FRISKA - P BRAYAN</t>
  </si>
  <si>
    <t>RS PABATU</t>
  </si>
  <si>
    <t>TEBING TINGGI</t>
  </si>
  <si>
    <t>12-Agt</t>
  </si>
  <si>
    <t>3-Agt</t>
  </si>
  <si>
    <t>RS PIRNGADI</t>
  </si>
  <si>
    <t>1-Juli</t>
  </si>
  <si>
    <t>13-sept</t>
  </si>
  <si>
    <t>4-sept</t>
  </si>
  <si>
    <t>RS TK. IV. PEMATANG SIANTAR</t>
  </si>
  <si>
    <t>RS UMUM MELATI</t>
  </si>
  <si>
    <t>PERBAUNGAN</t>
  </si>
  <si>
    <t>20-JUL</t>
  </si>
  <si>
    <t>RSU DR. ZAINOEL ABIDIN PROV. NAD</t>
  </si>
  <si>
    <t>BANDA ACEH</t>
  </si>
  <si>
    <t>15-jul</t>
  </si>
  <si>
    <t>6 juli</t>
  </si>
  <si>
    <t>RSU H. ADAM MALIK</t>
  </si>
  <si>
    <t>18-JUL</t>
  </si>
  <si>
    <t>RSU HKBP BALIGE</t>
  </si>
  <si>
    <t>BALIGE</t>
  </si>
  <si>
    <t>28-Jul</t>
  </si>
  <si>
    <t>18_jul</t>
  </si>
  <si>
    <t>RSU RANTAU PRAPAT</t>
  </si>
  <si>
    <t>19/6</t>
  </si>
  <si>
    <t>RSU SEMBIRING DELI TUA</t>
  </si>
  <si>
    <t>DELI SERDANG</t>
  </si>
  <si>
    <t>RSU TARUTUNG</t>
  </si>
  <si>
    <t>TARUTUNG</t>
  </si>
  <si>
    <t>26-juni</t>
  </si>
  <si>
    <t>25-Jul</t>
  </si>
  <si>
    <t>16-juli</t>
  </si>
  <si>
    <t>RSU UNIVERSITAS SUMATERA UTARA</t>
  </si>
  <si>
    <t>22-AGT</t>
  </si>
  <si>
    <t>13-AGT</t>
  </si>
  <si>
    <t>RSUD DATU BERU KAB. ACEH TENGAH</t>
  </si>
  <si>
    <t>TAKENGON</t>
  </si>
  <si>
    <t>RSUD DOLOK SANGGUL</t>
  </si>
  <si>
    <t>DOLOK SANGGUL</t>
  </si>
  <si>
    <t>15-AGT</t>
  </si>
  <si>
    <t>7-AGT</t>
  </si>
  <si>
    <t>RSUD DR. DJASAMEN SARAGIH</t>
  </si>
  <si>
    <t>21-jul</t>
  </si>
  <si>
    <t>RSUD DRS. H. AMRI TAMBUNAN</t>
  </si>
  <si>
    <t>LUBUK PAKAM</t>
  </si>
  <si>
    <t>RSUD KAB. ACEH TAMIANG</t>
  </si>
  <si>
    <t>ACEH TAMIANG</t>
  </si>
  <si>
    <t>4-jul</t>
  </si>
  <si>
    <t>25 juni</t>
  </si>
  <si>
    <t>RSUD KOTA PADANGSIDIMPUAN</t>
  </si>
  <si>
    <t>PADANG SIDEMPUAN</t>
  </si>
  <si>
    <t>30-Jul</t>
  </si>
  <si>
    <t>RSUD THOMSEN</t>
  </si>
  <si>
    <t>GUNUNG SITOLI/NIAS</t>
  </si>
  <si>
    <t>12-jul</t>
  </si>
  <si>
    <t>3-Juli</t>
  </si>
  <si>
    <t>RSU MUFID - SIGLI</t>
  </si>
  <si>
    <t>PIDI - ACEH</t>
  </si>
  <si>
    <t>30-Juni</t>
  </si>
  <si>
    <t>1-Agt</t>
  </si>
  <si>
    <t>22-Juli</t>
  </si>
  <si>
    <t>RSU LARAS</t>
  </si>
  <si>
    <t>14-AGT</t>
  </si>
  <si>
    <t>6-AGT</t>
  </si>
  <si>
    <t>RS MARTHA FRISKA - MULTATULI</t>
  </si>
  <si>
    <t>21-JUL</t>
  </si>
  <si>
    <t>RSUD LANGSA</t>
  </si>
  <si>
    <t>LANGSA - ACEH</t>
  </si>
</sst>
</file>

<file path=xl/styles.xml><?xml version="1.0" encoding="utf-8"?>
<styleSheet xmlns="http://schemas.openxmlformats.org/spreadsheetml/2006/main">
  <numFmts count="5">
    <numFmt numFmtId="176" formatCode="dd\-mmm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_ * #,##0.00_ ;_ * \-#,##0.00_ ;_ * &quot;-&quot;??_ ;_ @_ "/>
    <numFmt numFmtId="180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7" borderId="8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1" borderId="6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4" fillId="13" borderId="13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9" fillId="13" borderId="6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2" xfId="0" applyFill="1" applyBorder="1" applyAlignment="1">
      <alignment horizontal="center" wrapText="1"/>
    </xf>
    <xf numFmtId="0" fontId="0" fillId="0" borderId="2" xfId="0" applyFill="1" applyBorder="1" applyAlignment="1">
      <alignment wrapText="1"/>
    </xf>
    <xf numFmtId="0" fontId="2" fillId="0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3" fillId="0" borderId="2" xfId="0" applyNumberFormat="1" applyFont="1" applyFill="1" applyBorder="1" applyAlignment="1"/>
    <xf numFmtId="0" fontId="0" fillId="0" borderId="2" xfId="0" applyFill="1" applyBorder="1" applyAlignment="1"/>
    <xf numFmtId="0" fontId="0" fillId="0" borderId="2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49" fontId="0" fillId="3" borderId="2" xfId="0" applyNumberFormat="1" applyFont="1" applyFill="1" applyBorder="1" applyAlignment="1"/>
    <xf numFmtId="0" fontId="0" fillId="0" borderId="2" xfId="0" applyFont="1" applyFill="1" applyBorder="1" applyAlignment="1"/>
    <xf numFmtId="0" fontId="0" fillId="0" borderId="2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49" fontId="3" fillId="3" borderId="2" xfId="0" applyNumberFormat="1" applyFont="1" applyFill="1" applyBorder="1" applyAlignment="1"/>
    <xf numFmtId="49" fontId="4" fillId="0" borderId="2" xfId="0" applyNumberFormat="1" applyFont="1" applyFill="1" applyBorder="1" applyAlignment="1"/>
    <xf numFmtId="0" fontId="4" fillId="0" borderId="2" xfId="0" applyFont="1" applyFill="1" applyBorder="1" applyAlignment="1"/>
    <xf numFmtId="0" fontId="5" fillId="4" borderId="2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49" fontId="4" fillId="3" borderId="2" xfId="0" applyNumberFormat="1" applyFont="1" applyFill="1" applyBorder="1" applyAlignment="1"/>
    <xf numFmtId="0" fontId="0" fillId="0" borderId="4" xfId="0" applyFill="1" applyBorder="1" applyAlignment="1">
      <alignment horizontal="center" wrapText="1"/>
    </xf>
    <xf numFmtId="0" fontId="0" fillId="0" borderId="5" xfId="0" applyFill="1" applyBorder="1" applyAlignment="1">
      <alignment wrapText="1"/>
    </xf>
    <xf numFmtId="0" fontId="2" fillId="5" borderId="2" xfId="0" applyFont="1" applyFill="1" applyBorder="1" applyAlignment="1">
      <alignment horizontal="center"/>
    </xf>
    <xf numFmtId="49" fontId="0" fillId="0" borderId="2" xfId="0" applyNumberFormat="1" applyFill="1" applyBorder="1" applyAlignment="1">
      <alignment wrapText="1"/>
    </xf>
    <xf numFmtId="3" fontId="0" fillId="0" borderId="2" xfId="0" applyNumberFormat="1" applyFill="1" applyBorder="1" applyAlignment="1">
      <alignment horizontal="center"/>
    </xf>
    <xf numFmtId="49" fontId="0" fillId="0" borderId="2" xfId="0" applyNumberFormat="1" applyFill="1" applyBorder="1" applyAlignment="1">
      <alignment horizontal="center"/>
    </xf>
    <xf numFmtId="176" fontId="2" fillId="0" borderId="2" xfId="0" applyNumberFormat="1" applyFont="1" applyFill="1" applyBorder="1" applyAlignment="1">
      <alignment horizontal="center"/>
    </xf>
    <xf numFmtId="176" fontId="0" fillId="0" borderId="2" xfId="0" applyNumberForma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2" borderId="2" xfId="0" applyFont="1" applyFill="1" applyBorder="1" applyAlignment="1"/>
    <xf numFmtId="176" fontId="4" fillId="0" borderId="2" xfId="0" applyNumberFormat="1" applyFont="1" applyFill="1" applyBorder="1" applyAlignment="1">
      <alignment horizontal="center"/>
    </xf>
    <xf numFmtId="176" fontId="0" fillId="0" borderId="2" xfId="0" applyNumberFormat="1" applyFont="1" applyFill="1" applyBorder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1"/>
  <sheetViews>
    <sheetView tabSelected="1" workbookViewId="0">
      <selection activeCell="U12" sqref="U12"/>
    </sheetView>
  </sheetViews>
  <sheetFormatPr defaultColWidth="8.72380952380952" defaultRowHeight="15"/>
  <cols>
    <col min="1" max="1" width="4.45714285714286" style="1" customWidth="1"/>
    <col min="2" max="2" width="28.9047619047619" style="1" customWidth="1"/>
    <col min="3" max="3" width="21.9047619047619" style="1" hidden="1" customWidth="1"/>
    <col min="4" max="4" width="6.63809523809524" style="1" customWidth="1"/>
    <col min="5" max="6" width="10.3619047619048" style="1" customWidth="1"/>
    <col min="7" max="7" width="10.7238095238095" style="1" customWidth="1"/>
    <col min="8" max="8" width="9.45714285714286" style="1" customWidth="1"/>
    <col min="9" max="9" width="6" style="1" customWidth="1"/>
    <col min="10" max="11" width="6.18095238095238" style="1" customWidth="1"/>
    <col min="12" max="12" width="7.09523809523809" style="1" customWidth="1"/>
    <col min="13" max="13" width="8.72380952380952" style="1"/>
    <col min="14" max="14" width="5.54285714285714" style="1" customWidth="1"/>
    <col min="15" max="15" width="8.27619047619048" style="1" customWidth="1"/>
    <col min="16" max="16" width="4.54285714285714" style="1" customWidth="1"/>
    <col min="17" max="17" width="5.36190476190476" style="1" customWidth="1"/>
    <col min="18" max="16364" width="8.72380952380952" style="1"/>
    <col min="16365" max="16384" width="8.72380952380952" style="2"/>
  </cols>
  <sheetData>
    <row r="1" s="1" customFormat="1" ht="21" customHeight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="1" customFormat="1" ht="21" customHeight="1" spans="1:18">
      <c r="A2" s="3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="1" customFormat="1" ht="23" customHeight="1" spans="1:18">
      <c r="A3" s="4" t="s">
        <v>2</v>
      </c>
      <c r="B3" s="4" t="s">
        <v>3</v>
      </c>
      <c r="C3" s="4" t="s">
        <v>4</v>
      </c>
      <c r="D3" s="5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5" t="s">
        <v>10</v>
      </c>
      <c r="J3" s="6"/>
      <c r="K3" s="24" t="s">
        <v>11</v>
      </c>
      <c r="L3" s="25"/>
      <c r="M3" s="5" t="s">
        <v>12</v>
      </c>
      <c r="N3" s="11" t="s">
        <v>13</v>
      </c>
      <c r="O3" s="26" t="s">
        <v>14</v>
      </c>
      <c r="P3" s="11" t="s">
        <v>15</v>
      </c>
      <c r="Q3" s="11"/>
      <c r="R3" s="33" t="s">
        <v>16</v>
      </c>
    </row>
    <row r="4" s="1" customFormat="1" ht="30" spans="1:18">
      <c r="A4" s="7"/>
      <c r="B4" s="7"/>
      <c r="C4" s="7"/>
      <c r="D4" s="5"/>
      <c r="E4" s="6" t="s">
        <v>17</v>
      </c>
      <c r="F4" s="6" t="s">
        <v>18</v>
      </c>
      <c r="G4" s="6" t="s">
        <v>19</v>
      </c>
      <c r="H4" s="6" t="s">
        <v>20</v>
      </c>
      <c r="I4" s="5" t="s">
        <v>21</v>
      </c>
      <c r="J4" s="27" t="s">
        <v>22</v>
      </c>
      <c r="K4" s="6" t="s">
        <v>21</v>
      </c>
      <c r="L4" s="6" t="s">
        <v>22</v>
      </c>
      <c r="M4" s="5"/>
      <c r="N4" s="11"/>
      <c r="O4" s="26" t="s">
        <v>23</v>
      </c>
      <c r="P4" s="10" t="s">
        <v>24</v>
      </c>
      <c r="Q4" s="10" t="s">
        <v>25</v>
      </c>
      <c r="R4" s="33" t="s">
        <v>23</v>
      </c>
    </row>
    <row r="5" s="1" customFormat="1" spans="1:18">
      <c r="A5" s="8">
        <v>1</v>
      </c>
      <c r="B5" s="9" t="s">
        <v>26</v>
      </c>
      <c r="C5" s="10" t="s">
        <v>27</v>
      </c>
      <c r="D5" s="11">
        <v>7</v>
      </c>
      <c r="E5" s="12">
        <v>14</v>
      </c>
      <c r="F5" s="12">
        <f t="shared" ref="F5:F31" si="0">E5*25</f>
        <v>350</v>
      </c>
      <c r="G5" s="11">
        <f t="shared" ref="G5:G31" si="1">E5*6</f>
        <v>84</v>
      </c>
      <c r="H5" s="11">
        <f t="shared" ref="H5:H31" si="2">E5*8</f>
        <v>112</v>
      </c>
      <c r="I5" s="10"/>
      <c r="J5" s="11">
        <v>0</v>
      </c>
      <c r="K5" s="11" t="s">
        <v>28</v>
      </c>
      <c r="L5" s="11">
        <v>300</v>
      </c>
      <c r="M5" s="11">
        <f t="shared" ref="M5:M31" si="3">J5+L5</f>
        <v>300</v>
      </c>
      <c r="N5" s="28">
        <f t="shared" ref="N5:N31" si="4">(J5+L5)/E5</f>
        <v>21.4285714285714</v>
      </c>
      <c r="O5" s="29" t="s">
        <v>29</v>
      </c>
      <c r="P5" s="11">
        <f t="shared" ref="P5:P31" si="5">(J5+L5)-H5</f>
        <v>188</v>
      </c>
      <c r="Q5" s="11">
        <f t="shared" ref="Q5:Q31" si="6">P5/E5</f>
        <v>13.4285714285714</v>
      </c>
      <c r="R5" s="22" t="s">
        <v>30</v>
      </c>
    </row>
    <row r="6" s="1" customFormat="1" spans="1:18">
      <c r="A6" s="11">
        <v>2</v>
      </c>
      <c r="B6" s="13" t="s">
        <v>31</v>
      </c>
      <c r="C6" s="14" t="s">
        <v>32</v>
      </c>
      <c r="D6" s="15">
        <v>12</v>
      </c>
      <c r="E6" s="16">
        <v>24</v>
      </c>
      <c r="F6" s="16">
        <f t="shared" si="0"/>
        <v>600</v>
      </c>
      <c r="G6" s="15">
        <f t="shared" si="1"/>
        <v>144</v>
      </c>
      <c r="H6" s="15">
        <f t="shared" si="2"/>
        <v>192</v>
      </c>
      <c r="I6" s="11"/>
      <c r="J6" s="11">
        <v>0</v>
      </c>
      <c r="K6" s="30">
        <v>46212</v>
      </c>
      <c r="L6" s="11">
        <v>400</v>
      </c>
      <c r="M6" s="11">
        <f t="shared" si="3"/>
        <v>400</v>
      </c>
      <c r="N6" s="28">
        <f t="shared" si="4"/>
        <v>16.6666666666667</v>
      </c>
      <c r="O6" s="29" t="s">
        <v>33</v>
      </c>
      <c r="P6" s="11">
        <f t="shared" si="5"/>
        <v>208</v>
      </c>
      <c r="Q6" s="11">
        <f t="shared" si="6"/>
        <v>8.66666666666667</v>
      </c>
      <c r="R6" s="30" t="s">
        <v>34</v>
      </c>
    </row>
    <row r="7" s="1" customFormat="1" spans="1:18">
      <c r="A7" s="11">
        <v>3</v>
      </c>
      <c r="B7" s="9" t="s">
        <v>35</v>
      </c>
      <c r="C7" s="10" t="s">
        <v>36</v>
      </c>
      <c r="D7" s="11">
        <v>10</v>
      </c>
      <c r="E7" s="12">
        <v>20</v>
      </c>
      <c r="F7" s="12">
        <f t="shared" si="0"/>
        <v>500</v>
      </c>
      <c r="G7" s="11">
        <f t="shared" si="1"/>
        <v>120</v>
      </c>
      <c r="H7" s="11">
        <f t="shared" si="2"/>
        <v>160</v>
      </c>
      <c r="I7" s="10"/>
      <c r="J7" s="11">
        <v>0</v>
      </c>
      <c r="K7" s="30">
        <v>46211</v>
      </c>
      <c r="L7" s="11">
        <v>500</v>
      </c>
      <c r="M7" s="11">
        <f t="shared" si="3"/>
        <v>500</v>
      </c>
      <c r="N7" s="28">
        <f t="shared" si="4"/>
        <v>25</v>
      </c>
      <c r="O7" s="29" t="s">
        <v>37</v>
      </c>
      <c r="P7" s="11">
        <f t="shared" si="5"/>
        <v>340</v>
      </c>
      <c r="Q7" s="11">
        <f t="shared" si="6"/>
        <v>17</v>
      </c>
      <c r="R7" s="31" t="s">
        <v>38</v>
      </c>
    </row>
    <row r="8" s="1" customFormat="1" spans="1:18">
      <c r="A8" s="11">
        <v>4</v>
      </c>
      <c r="B8" s="17" t="s">
        <v>39</v>
      </c>
      <c r="C8" s="10" t="s">
        <v>40</v>
      </c>
      <c r="D8" s="11">
        <v>30</v>
      </c>
      <c r="E8" s="12">
        <v>60</v>
      </c>
      <c r="F8" s="12">
        <f t="shared" si="0"/>
        <v>1500</v>
      </c>
      <c r="G8" s="11">
        <f t="shared" si="1"/>
        <v>360</v>
      </c>
      <c r="H8" s="11">
        <f t="shared" si="2"/>
        <v>480</v>
      </c>
      <c r="I8" s="10"/>
      <c r="J8" s="11">
        <v>0</v>
      </c>
      <c r="K8" s="30">
        <v>46216</v>
      </c>
      <c r="L8" s="11">
        <v>200</v>
      </c>
      <c r="M8" s="11">
        <f t="shared" si="3"/>
        <v>200</v>
      </c>
      <c r="N8" s="28">
        <f t="shared" si="4"/>
        <v>3.33333333333333</v>
      </c>
      <c r="O8" s="29" t="s">
        <v>41</v>
      </c>
      <c r="P8" s="11">
        <f t="shared" si="5"/>
        <v>-280</v>
      </c>
      <c r="Q8" s="11">
        <f t="shared" si="6"/>
        <v>-4.66666666666667</v>
      </c>
      <c r="R8" s="34">
        <v>46211</v>
      </c>
    </row>
    <row r="9" s="1" customFormat="1" spans="1:18">
      <c r="A9" s="11">
        <v>5</v>
      </c>
      <c r="B9" s="18" t="s">
        <v>42</v>
      </c>
      <c r="C9" s="19" t="s">
        <v>40</v>
      </c>
      <c r="D9" s="20">
        <v>5</v>
      </c>
      <c r="E9" s="21">
        <v>10</v>
      </c>
      <c r="F9" s="21">
        <f t="shared" si="0"/>
        <v>250</v>
      </c>
      <c r="G9" s="22">
        <f t="shared" si="1"/>
        <v>60</v>
      </c>
      <c r="H9" s="22">
        <f t="shared" si="2"/>
        <v>80</v>
      </c>
      <c r="I9" s="10"/>
      <c r="J9" s="11">
        <v>0</v>
      </c>
      <c r="K9" s="11"/>
      <c r="L9" s="11">
        <v>0</v>
      </c>
      <c r="M9" s="11">
        <f t="shared" si="3"/>
        <v>0</v>
      </c>
      <c r="N9" s="28">
        <f t="shared" si="4"/>
        <v>0</v>
      </c>
      <c r="O9" s="29"/>
      <c r="P9" s="11">
        <f t="shared" si="5"/>
        <v>-80</v>
      </c>
      <c r="Q9" s="11">
        <f t="shared" si="6"/>
        <v>-8</v>
      </c>
      <c r="R9" s="11"/>
    </row>
    <row r="10" s="1" customFormat="1" spans="1:18">
      <c r="A10" s="11">
        <v>6</v>
      </c>
      <c r="B10" s="9" t="s">
        <v>43</v>
      </c>
      <c r="C10" s="10" t="s">
        <v>44</v>
      </c>
      <c r="D10" s="11">
        <v>7</v>
      </c>
      <c r="E10" s="12">
        <v>14</v>
      </c>
      <c r="F10" s="12">
        <f t="shared" si="0"/>
        <v>350</v>
      </c>
      <c r="G10" s="11">
        <f t="shared" si="1"/>
        <v>84</v>
      </c>
      <c r="H10" s="11">
        <f t="shared" si="2"/>
        <v>112</v>
      </c>
      <c r="I10" s="10"/>
      <c r="J10" s="11">
        <v>0</v>
      </c>
      <c r="K10" s="30">
        <v>46212</v>
      </c>
      <c r="L10" s="11">
        <v>410</v>
      </c>
      <c r="M10" s="11">
        <f t="shared" si="3"/>
        <v>410</v>
      </c>
      <c r="N10" s="28">
        <f t="shared" si="4"/>
        <v>29.2857142857143</v>
      </c>
      <c r="O10" s="29" t="s">
        <v>45</v>
      </c>
      <c r="P10" s="11">
        <f t="shared" si="5"/>
        <v>298</v>
      </c>
      <c r="Q10" s="11">
        <f t="shared" si="6"/>
        <v>21.2857142857143</v>
      </c>
      <c r="R10" s="11" t="s">
        <v>46</v>
      </c>
    </row>
    <row r="11" s="1" customFormat="1" spans="1:18">
      <c r="A11" s="11">
        <v>7</v>
      </c>
      <c r="B11" s="17" t="s">
        <v>47</v>
      </c>
      <c r="C11" s="10" t="s">
        <v>40</v>
      </c>
      <c r="D11" s="11">
        <v>11</v>
      </c>
      <c r="E11" s="12">
        <v>22</v>
      </c>
      <c r="F11" s="12">
        <f t="shared" si="0"/>
        <v>550</v>
      </c>
      <c r="G11" s="11">
        <f t="shared" si="1"/>
        <v>132</v>
      </c>
      <c r="H11" s="11">
        <f t="shared" si="2"/>
        <v>176</v>
      </c>
      <c r="I11" s="10"/>
      <c r="J11" s="11">
        <v>0</v>
      </c>
      <c r="K11" s="31" t="s">
        <v>48</v>
      </c>
      <c r="L11" s="11">
        <v>1600</v>
      </c>
      <c r="M11" s="11">
        <f t="shared" si="3"/>
        <v>1600</v>
      </c>
      <c r="N11" s="28">
        <f t="shared" si="4"/>
        <v>72.7272727272727</v>
      </c>
      <c r="O11" s="29" t="s">
        <v>49</v>
      </c>
      <c r="P11" s="11">
        <f t="shared" si="5"/>
        <v>1424</v>
      </c>
      <c r="Q11" s="11">
        <f t="shared" si="6"/>
        <v>64.7272727272727</v>
      </c>
      <c r="R11" s="31" t="s">
        <v>50</v>
      </c>
    </row>
    <row r="12" s="1" customFormat="1" spans="1:18">
      <c r="A12" s="11">
        <v>8</v>
      </c>
      <c r="B12" s="18" t="s">
        <v>51</v>
      </c>
      <c r="C12" s="19" t="s">
        <v>36</v>
      </c>
      <c r="D12" s="22">
        <v>8</v>
      </c>
      <c r="E12" s="21">
        <v>16</v>
      </c>
      <c r="F12" s="21">
        <f t="shared" si="0"/>
        <v>400</v>
      </c>
      <c r="G12" s="22">
        <f t="shared" si="1"/>
        <v>96</v>
      </c>
      <c r="H12" s="22">
        <f t="shared" si="2"/>
        <v>128</v>
      </c>
      <c r="I12" s="10"/>
      <c r="J12" s="11">
        <v>0</v>
      </c>
      <c r="K12" s="11"/>
      <c r="L12" s="11"/>
      <c r="M12" s="11">
        <f t="shared" si="3"/>
        <v>0</v>
      </c>
      <c r="N12" s="28">
        <f t="shared" si="4"/>
        <v>0</v>
      </c>
      <c r="O12" s="29"/>
      <c r="P12" s="11">
        <f t="shared" si="5"/>
        <v>-128</v>
      </c>
      <c r="Q12" s="11">
        <f t="shared" si="6"/>
        <v>-8</v>
      </c>
      <c r="R12" s="11"/>
    </row>
    <row r="13" s="1" customFormat="1" spans="1:18">
      <c r="A13" s="11">
        <v>9</v>
      </c>
      <c r="B13" s="9" t="s">
        <v>52</v>
      </c>
      <c r="C13" s="10" t="s">
        <v>53</v>
      </c>
      <c r="D13" s="11">
        <v>7</v>
      </c>
      <c r="E13" s="12">
        <v>14</v>
      </c>
      <c r="F13" s="12">
        <f t="shared" si="0"/>
        <v>350</v>
      </c>
      <c r="G13" s="11">
        <f t="shared" si="1"/>
        <v>84</v>
      </c>
      <c r="H13" s="11">
        <f t="shared" si="2"/>
        <v>112</v>
      </c>
      <c r="I13" s="10"/>
      <c r="J13" s="11">
        <v>0</v>
      </c>
      <c r="K13" s="31">
        <v>46213</v>
      </c>
      <c r="L13" s="11">
        <v>100</v>
      </c>
      <c r="M13" s="11">
        <f t="shared" si="3"/>
        <v>100</v>
      </c>
      <c r="N13" s="28">
        <f t="shared" si="4"/>
        <v>7.14285714285714</v>
      </c>
      <c r="O13" s="29" t="s">
        <v>54</v>
      </c>
      <c r="P13" s="11">
        <f t="shared" si="5"/>
        <v>-12</v>
      </c>
      <c r="Q13" s="11">
        <f t="shared" si="6"/>
        <v>-0.857142857142857</v>
      </c>
      <c r="R13" s="34">
        <v>46212</v>
      </c>
    </row>
    <row r="14" s="1" customFormat="1" spans="1:18">
      <c r="A14" s="11">
        <v>10</v>
      </c>
      <c r="B14" s="9" t="s">
        <v>55</v>
      </c>
      <c r="C14" s="10" t="s">
        <v>56</v>
      </c>
      <c r="D14" s="11">
        <v>13</v>
      </c>
      <c r="E14" s="12">
        <v>26</v>
      </c>
      <c r="F14" s="12">
        <f t="shared" si="0"/>
        <v>650</v>
      </c>
      <c r="G14" s="11">
        <f t="shared" si="1"/>
        <v>156</v>
      </c>
      <c r="H14" s="11">
        <f t="shared" si="2"/>
        <v>208</v>
      </c>
      <c r="I14" s="10"/>
      <c r="J14" s="11">
        <v>0</v>
      </c>
      <c r="K14" s="31">
        <v>46184</v>
      </c>
      <c r="L14" s="11">
        <v>750</v>
      </c>
      <c r="M14" s="11">
        <f t="shared" si="3"/>
        <v>750</v>
      </c>
      <c r="N14" s="28">
        <f t="shared" si="4"/>
        <v>28.8461538461538</v>
      </c>
      <c r="O14" s="29" t="s">
        <v>57</v>
      </c>
      <c r="P14" s="11">
        <f t="shared" si="5"/>
        <v>542</v>
      </c>
      <c r="Q14" s="11">
        <f t="shared" si="6"/>
        <v>20.8461538461538</v>
      </c>
      <c r="R14" s="22" t="s">
        <v>58</v>
      </c>
    </row>
    <row r="15" s="1" customFormat="1" spans="1:18">
      <c r="A15" s="11">
        <v>11</v>
      </c>
      <c r="B15" s="17" t="s">
        <v>59</v>
      </c>
      <c r="C15" s="10" t="s">
        <v>40</v>
      </c>
      <c r="D15" s="11">
        <v>52</v>
      </c>
      <c r="E15" s="12">
        <v>104</v>
      </c>
      <c r="F15" s="12">
        <f t="shared" si="0"/>
        <v>2600</v>
      </c>
      <c r="G15" s="11">
        <f t="shared" si="1"/>
        <v>624</v>
      </c>
      <c r="H15" s="11">
        <f t="shared" si="2"/>
        <v>832</v>
      </c>
      <c r="I15" s="10"/>
      <c r="J15" s="11">
        <v>0</v>
      </c>
      <c r="K15" s="30">
        <v>46217</v>
      </c>
      <c r="L15" s="11">
        <v>420</v>
      </c>
      <c r="M15" s="11">
        <f t="shared" si="3"/>
        <v>420</v>
      </c>
      <c r="N15" s="28">
        <f t="shared" si="4"/>
        <v>4.03846153846154</v>
      </c>
      <c r="O15" s="29" t="s">
        <v>60</v>
      </c>
      <c r="P15" s="11">
        <f t="shared" si="5"/>
        <v>-412</v>
      </c>
      <c r="Q15" s="11">
        <f t="shared" si="6"/>
        <v>-3.96153846153846</v>
      </c>
      <c r="R15" s="34">
        <v>46213</v>
      </c>
    </row>
    <row r="16" s="1" customFormat="1" spans="1:18">
      <c r="A16" s="11">
        <v>12</v>
      </c>
      <c r="B16" s="17" t="s">
        <v>61</v>
      </c>
      <c r="C16" s="10" t="s">
        <v>62</v>
      </c>
      <c r="D16" s="11">
        <v>17</v>
      </c>
      <c r="E16" s="12">
        <v>34</v>
      </c>
      <c r="F16" s="12">
        <f t="shared" si="0"/>
        <v>850</v>
      </c>
      <c r="G16" s="11">
        <f t="shared" si="1"/>
        <v>204</v>
      </c>
      <c r="H16" s="11">
        <f t="shared" si="2"/>
        <v>272</v>
      </c>
      <c r="I16" s="10"/>
      <c r="J16" s="11">
        <v>0</v>
      </c>
      <c r="K16" s="30">
        <v>46206</v>
      </c>
      <c r="L16" s="11">
        <v>720</v>
      </c>
      <c r="M16" s="11">
        <f t="shared" si="3"/>
        <v>720</v>
      </c>
      <c r="N16" s="28">
        <f t="shared" si="4"/>
        <v>21.1764705882353</v>
      </c>
      <c r="O16" s="29" t="s">
        <v>63</v>
      </c>
      <c r="P16" s="11">
        <f t="shared" si="5"/>
        <v>448</v>
      </c>
      <c r="Q16" s="11">
        <f t="shared" si="6"/>
        <v>13.1764705882353</v>
      </c>
      <c r="R16" s="35" t="s">
        <v>64</v>
      </c>
    </row>
    <row r="17" s="1" customFormat="1" spans="1:18">
      <c r="A17" s="11">
        <v>13</v>
      </c>
      <c r="B17" s="9" t="s">
        <v>65</v>
      </c>
      <c r="C17" s="10" t="s">
        <v>32</v>
      </c>
      <c r="D17" s="11">
        <v>16</v>
      </c>
      <c r="E17" s="12">
        <v>32</v>
      </c>
      <c r="F17" s="12">
        <f t="shared" si="0"/>
        <v>800</v>
      </c>
      <c r="G17" s="11">
        <f t="shared" si="1"/>
        <v>192</v>
      </c>
      <c r="H17" s="11">
        <f t="shared" si="2"/>
        <v>256</v>
      </c>
      <c r="I17" s="10"/>
      <c r="J17" s="11">
        <v>0</v>
      </c>
      <c r="K17" s="11" t="s">
        <v>66</v>
      </c>
      <c r="L17" s="11">
        <v>700</v>
      </c>
      <c r="M17" s="11">
        <f t="shared" si="3"/>
        <v>700</v>
      </c>
      <c r="N17" s="28">
        <f t="shared" si="4"/>
        <v>21.875</v>
      </c>
      <c r="O17" s="29" t="s">
        <v>57</v>
      </c>
      <c r="P17" s="11">
        <f t="shared" si="5"/>
        <v>444</v>
      </c>
      <c r="Q17" s="11">
        <f t="shared" si="6"/>
        <v>13.875</v>
      </c>
      <c r="R17" s="22" t="s">
        <v>58</v>
      </c>
    </row>
    <row r="18" s="1" customFormat="1" spans="1:18">
      <c r="A18" s="11">
        <v>14</v>
      </c>
      <c r="B18" s="9" t="s">
        <v>67</v>
      </c>
      <c r="C18" s="10" t="s">
        <v>68</v>
      </c>
      <c r="D18" s="11">
        <v>5</v>
      </c>
      <c r="E18" s="12">
        <v>10</v>
      </c>
      <c r="F18" s="12">
        <f t="shared" si="0"/>
        <v>250</v>
      </c>
      <c r="G18" s="11">
        <f t="shared" si="1"/>
        <v>60</v>
      </c>
      <c r="H18" s="11">
        <f t="shared" si="2"/>
        <v>80</v>
      </c>
      <c r="I18" s="10"/>
      <c r="J18" s="11">
        <v>0</v>
      </c>
      <c r="K18" s="30">
        <v>46212</v>
      </c>
      <c r="L18" s="11">
        <v>50</v>
      </c>
      <c r="M18" s="11">
        <f t="shared" si="3"/>
        <v>50</v>
      </c>
      <c r="N18" s="28">
        <f t="shared" si="4"/>
        <v>5</v>
      </c>
      <c r="O18" s="29" t="s">
        <v>57</v>
      </c>
      <c r="P18" s="11">
        <f t="shared" si="5"/>
        <v>-30</v>
      </c>
      <c r="Q18" s="11">
        <f t="shared" si="6"/>
        <v>-3</v>
      </c>
      <c r="R18" s="34">
        <v>46209</v>
      </c>
    </row>
    <row r="19" s="1" customFormat="1" spans="1:18">
      <c r="A19" s="11">
        <v>15</v>
      </c>
      <c r="B19" s="9" t="s">
        <v>69</v>
      </c>
      <c r="C19" s="10" t="s">
        <v>70</v>
      </c>
      <c r="D19" s="11">
        <v>30</v>
      </c>
      <c r="E19" s="12">
        <v>60</v>
      </c>
      <c r="F19" s="12">
        <f t="shared" si="0"/>
        <v>1500</v>
      </c>
      <c r="G19" s="11">
        <f t="shared" si="1"/>
        <v>360</v>
      </c>
      <c r="H19" s="11">
        <f t="shared" si="2"/>
        <v>480</v>
      </c>
      <c r="I19" s="10"/>
      <c r="J19" s="11">
        <v>0</v>
      </c>
      <c r="K19" s="11" t="s">
        <v>71</v>
      </c>
      <c r="L19" s="11">
        <v>1762</v>
      </c>
      <c r="M19" s="11">
        <f t="shared" si="3"/>
        <v>1762</v>
      </c>
      <c r="N19" s="28">
        <f t="shared" si="4"/>
        <v>29.3666666666667</v>
      </c>
      <c r="O19" s="29" t="s">
        <v>72</v>
      </c>
      <c r="P19" s="11">
        <f t="shared" si="5"/>
        <v>1282</v>
      </c>
      <c r="Q19" s="11">
        <f t="shared" si="6"/>
        <v>21.3666666666667</v>
      </c>
      <c r="R19" s="11" t="s">
        <v>73</v>
      </c>
    </row>
    <row r="20" s="1" customFormat="1" spans="1:18">
      <c r="A20" s="11">
        <v>16</v>
      </c>
      <c r="B20" s="9" t="s">
        <v>74</v>
      </c>
      <c r="C20" s="10" t="s">
        <v>40</v>
      </c>
      <c r="D20" s="11">
        <v>17</v>
      </c>
      <c r="E20" s="12">
        <v>34</v>
      </c>
      <c r="F20" s="12">
        <f t="shared" si="0"/>
        <v>850</v>
      </c>
      <c r="G20" s="11">
        <f t="shared" si="1"/>
        <v>204</v>
      </c>
      <c r="H20" s="11">
        <f t="shared" si="2"/>
        <v>272</v>
      </c>
      <c r="I20" s="10"/>
      <c r="J20" s="11">
        <v>0</v>
      </c>
      <c r="K20" s="30">
        <v>46216</v>
      </c>
      <c r="L20" s="11">
        <v>1150</v>
      </c>
      <c r="M20" s="11">
        <f t="shared" si="3"/>
        <v>1150</v>
      </c>
      <c r="N20" s="28">
        <f t="shared" si="4"/>
        <v>33.8235294117647</v>
      </c>
      <c r="O20" s="29" t="s">
        <v>75</v>
      </c>
      <c r="P20" s="11">
        <f t="shared" si="5"/>
        <v>878</v>
      </c>
      <c r="Q20" s="11">
        <f t="shared" si="6"/>
        <v>25.8235294117647</v>
      </c>
      <c r="R20" s="35" t="s">
        <v>76</v>
      </c>
    </row>
    <row r="21" s="1" customFormat="1" spans="1:18">
      <c r="A21" s="11">
        <v>17</v>
      </c>
      <c r="B21" s="23" t="s">
        <v>77</v>
      </c>
      <c r="C21" s="19" t="s">
        <v>78</v>
      </c>
      <c r="D21" s="22">
        <v>4</v>
      </c>
      <c r="E21" s="21">
        <v>8</v>
      </c>
      <c r="F21" s="21">
        <f t="shared" si="0"/>
        <v>200</v>
      </c>
      <c r="G21" s="22">
        <f t="shared" si="1"/>
        <v>48</v>
      </c>
      <c r="H21" s="22">
        <f t="shared" si="2"/>
        <v>64</v>
      </c>
      <c r="I21" s="10"/>
      <c r="J21" s="11">
        <v>0</v>
      </c>
      <c r="K21" s="11"/>
      <c r="L21" s="11"/>
      <c r="M21" s="11">
        <f t="shared" si="3"/>
        <v>0</v>
      </c>
      <c r="N21" s="28">
        <f t="shared" si="4"/>
        <v>0</v>
      </c>
      <c r="O21" s="29"/>
      <c r="P21" s="11">
        <f t="shared" si="5"/>
        <v>-64</v>
      </c>
      <c r="Q21" s="11">
        <f t="shared" si="6"/>
        <v>-8</v>
      </c>
      <c r="R21" s="11"/>
    </row>
    <row r="22" s="1" customFormat="1" spans="1:18">
      <c r="A22" s="11">
        <v>18</v>
      </c>
      <c r="B22" s="9" t="s">
        <v>79</v>
      </c>
      <c r="C22" s="10" t="s">
        <v>80</v>
      </c>
      <c r="D22" s="11">
        <v>9</v>
      </c>
      <c r="E22" s="12">
        <v>18</v>
      </c>
      <c r="F22" s="12">
        <f t="shared" si="0"/>
        <v>450</v>
      </c>
      <c r="G22" s="11">
        <f t="shared" si="1"/>
        <v>108</v>
      </c>
      <c r="H22" s="11">
        <f t="shared" si="2"/>
        <v>144</v>
      </c>
      <c r="I22" s="10"/>
      <c r="J22" s="11">
        <v>0</v>
      </c>
      <c r="K22" s="31">
        <v>46217</v>
      </c>
      <c r="L22" s="11">
        <v>500</v>
      </c>
      <c r="M22" s="11">
        <f t="shared" si="3"/>
        <v>500</v>
      </c>
      <c r="N22" s="28">
        <f t="shared" si="4"/>
        <v>27.7777777777778</v>
      </c>
      <c r="O22" s="29" t="s">
        <v>81</v>
      </c>
      <c r="P22" s="11">
        <f t="shared" si="5"/>
        <v>356</v>
      </c>
      <c r="Q22" s="11">
        <f t="shared" si="6"/>
        <v>19.7777777777778</v>
      </c>
      <c r="R22" s="11" t="s">
        <v>82</v>
      </c>
    </row>
    <row r="23" s="1" customFormat="1" spans="1:18">
      <c r="A23" s="11">
        <v>19</v>
      </c>
      <c r="B23" s="17" t="s">
        <v>83</v>
      </c>
      <c r="C23" s="10" t="s">
        <v>36</v>
      </c>
      <c r="D23" s="11">
        <v>18</v>
      </c>
      <c r="E23" s="12">
        <v>36</v>
      </c>
      <c r="F23" s="12">
        <f t="shared" si="0"/>
        <v>900</v>
      </c>
      <c r="G23" s="11">
        <f t="shared" si="1"/>
        <v>216</v>
      </c>
      <c r="H23" s="11">
        <f t="shared" si="2"/>
        <v>288</v>
      </c>
      <c r="I23" s="10"/>
      <c r="J23" s="11">
        <v>0</v>
      </c>
      <c r="K23" s="30">
        <v>46205</v>
      </c>
      <c r="L23" s="11">
        <v>576</v>
      </c>
      <c r="M23" s="11">
        <f t="shared" si="3"/>
        <v>576</v>
      </c>
      <c r="N23" s="28">
        <f t="shared" si="4"/>
        <v>16</v>
      </c>
      <c r="O23" s="29" t="s">
        <v>84</v>
      </c>
      <c r="P23" s="11">
        <f t="shared" si="5"/>
        <v>288</v>
      </c>
      <c r="Q23" s="11">
        <f t="shared" si="6"/>
        <v>8</v>
      </c>
      <c r="R23" s="34">
        <v>46214</v>
      </c>
    </row>
    <row r="24" s="1" customFormat="1" spans="1:18">
      <c r="A24" s="11">
        <v>20</v>
      </c>
      <c r="B24" s="17" t="s">
        <v>85</v>
      </c>
      <c r="C24" s="10" t="s">
        <v>86</v>
      </c>
      <c r="D24" s="11">
        <v>21</v>
      </c>
      <c r="E24" s="12">
        <v>42</v>
      </c>
      <c r="F24" s="12">
        <f t="shared" si="0"/>
        <v>1050</v>
      </c>
      <c r="G24" s="11">
        <f t="shared" si="1"/>
        <v>252</v>
      </c>
      <c r="H24" s="11">
        <f t="shared" si="2"/>
        <v>336</v>
      </c>
      <c r="I24" s="10"/>
      <c r="J24" s="11">
        <v>0</v>
      </c>
      <c r="K24" s="30">
        <v>46213</v>
      </c>
      <c r="L24" s="11">
        <v>600</v>
      </c>
      <c r="M24" s="11">
        <f t="shared" si="3"/>
        <v>600</v>
      </c>
      <c r="N24" s="28">
        <f t="shared" si="4"/>
        <v>14.2857142857143</v>
      </c>
      <c r="O24" s="29" t="s">
        <v>84</v>
      </c>
      <c r="P24" s="11">
        <f t="shared" si="5"/>
        <v>264</v>
      </c>
      <c r="Q24" s="11">
        <f t="shared" si="6"/>
        <v>6.28571428571429</v>
      </c>
      <c r="R24" s="35">
        <v>46220</v>
      </c>
    </row>
    <row r="25" s="1" customFormat="1" spans="1:18">
      <c r="A25" s="11">
        <v>21</v>
      </c>
      <c r="B25" s="17" t="s">
        <v>87</v>
      </c>
      <c r="C25" s="10" t="s">
        <v>88</v>
      </c>
      <c r="D25" s="11">
        <v>10</v>
      </c>
      <c r="E25" s="12">
        <v>20</v>
      </c>
      <c r="F25" s="12">
        <f t="shared" si="0"/>
        <v>500</v>
      </c>
      <c r="G25" s="11">
        <f t="shared" si="1"/>
        <v>120</v>
      </c>
      <c r="H25" s="11">
        <f t="shared" si="2"/>
        <v>160</v>
      </c>
      <c r="I25" s="10"/>
      <c r="J25" s="11">
        <v>0</v>
      </c>
      <c r="K25" s="31">
        <v>46182</v>
      </c>
      <c r="L25" s="11">
        <v>400</v>
      </c>
      <c r="M25" s="11">
        <f t="shared" si="3"/>
        <v>400</v>
      </c>
      <c r="N25" s="28">
        <f t="shared" si="4"/>
        <v>20</v>
      </c>
      <c r="O25" s="29" t="s">
        <v>89</v>
      </c>
      <c r="P25" s="11">
        <f t="shared" si="5"/>
        <v>240</v>
      </c>
      <c r="Q25" s="11">
        <f t="shared" si="6"/>
        <v>12</v>
      </c>
      <c r="R25" s="22" t="s">
        <v>90</v>
      </c>
    </row>
    <row r="26" s="1" customFormat="1" spans="1:18">
      <c r="A26" s="11">
        <v>22</v>
      </c>
      <c r="B26" s="17" t="s">
        <v>91</v>
      </c>
      <c r="C26" s="10" t="s">
        <v>92</v>
      </c>
      <c r="D26" s="11">
        <v>14</v>
      </c>
      <c r="E26" s="12">
        <v>28</v>
      </c>
      <c r="F26" s="12">
        <f t="shared" si="0"/>
        <v>700</v>
      </c>
      <c r="G26" s="11">
        <f t="shared" si="1"/>
        <v>168</v>
      </c>
      <c r="H26" s="11">
        <f t="shared" si="2"/>
        <v>224</v>
      </c>
      <c r="I26" s="10"/>
      <c r="J26" s="11">
        <v>0</v>
      </c>
      <c r="K26" s="32" t="s">
        <v>48</v>
      </c>
      <c r="L26" s="11">
        <v>700</v>
      </c>
      <c r="M26" s="11">
        <f t="shared" si="3"/>
        <v>700</v>
      </c>
      <c r="N26" s="28">
        <f t="shared" si="4"/>
        <v>25</v>
      </c>
      <c r="O26" s="29" t="s">
        <v>93</v>
      </c>
      <c r="P26" s="11">
        <f t="shared" si="5"/>
        <v>476</v>
      </c>
      <c r="Q26" s="11">
        <f t="shared" si="6"/>
        <v>17</v>
      </c>
      <c r="R26" s="31">
        <v>46224</v>
      </c>
    </row>
    <row r="27" s="1" customFormat="1" spans="1:18">
      <c r="A27" s="11">
        <v>23</v>
      </c>
      <c r="B27" s="10" t="s">
        <v>94</v>
      </c>
      <c r="C27" s="10" t="s">
        <v>95</v>
      </c>
      <c r="D27" s="11">
        <v>25</v>
      </c>
      <c r="E27" s="12">
        <v>50</v>
      </c>
      <c r="F27" s="12">
        <f t="shared" si="0"/>
        <v>1250</v>
      </c>
      <c r="G27" s="11">
        <f t="shared" si="1"/>
        <v>300</v>
      </c>
      <c r="H27" s="11">
        <f t="shared" si="2"/>
        <v>400</v>
      </c>
      <c r="I27" s="10"/>
      <c r="J27" s="11">
        <v>0</v>
      </c>
      <c r="K27" s="11" t="s">
        <v>71</v>
      </c>
      <c r="L27" s="11">
        <v>750</v>
      </c>
      <c r="M27" s="11">
        <f t="shared" si="3"/>
        <v>750</v>
      </c>
      <c r="N27" s="28">
        <f t="shared" si="4"/>
        <v>15</v>
      </c>
      <c r="O27" s="29" t="s">
        <v>96</v>
      </c>
      <c r="P27" s="11">
        <f t="shared" si="5"/>
        <v>350</v>
      </c>
      <c r="Q27" s="11">
        <f t="shared" si="6"/>
        <v>7</v>
      </c>
      <c r="R27" s="22" t="s">
        <v>97</v>
      </c>
    </row>
    <row r="28" s="1" customFormat="1" spans="1:16365">
      <c r="A28" s="11">
        <v>24</v>
      </c>
      <c r="B28" s="10" t="s">
        <v>98</v>
      </c>
      <c r="C28" s="10" t="s">
        <v>99</v>
      </c>
      <c r="D28" s="11">
        <v>5</v>
      </c>
      <c r="E28" s="11">
        <v>10</v>
      </c>
      <c r="F28" s="12">
        <f t="shared" si="0"/>
        <v>250</v>
      </c>
      <c r="G28" s="11">
        <f t="shared" si="1"/>
        <v>60</v>
      </c>
      <c r="H28" s="11">
        <f t="shared" si="2"/>
        <v>80</v>
      </c>
      <c r="I28" s="10"/>
      <c r="J28" s="11">
        <v>0</v>
      </c>
      <c r="K28" s="11" t="s">
        <v>100</v>
      </c>
      <c r="L28" s="11">
        <v>300</v>
      </c>
      <c r="M28" s="11">
        <f t="shared" si="3"/>
        <v>300</v>
      </c>
      <c r="N28" s="28">
        <f t="shared" si="4"/>
        <v>30</v>
      </c>
      <c r="O28" s="29" t="s">
        <v>101</v>
      </c>
      <c r="P28" s="11">
        <f t="shared" si="5"/>
        <v>220</v>
      </c>
      <c r="Q28" s="11">
        <f t="shared" si="6"/>
        <v>22</v>
      </c>
      <c r="R28" s="11" t="s">
        <v>102</v>
      </c>
      <c r="XEK28" s="2"/>
    </row>
    <row r="29" s="1" customFormat="1" spans="1:16384">
      <c r="A29" s="11">
        <v>25</v>
      </c>
      <c r="B29" s="10" t="s">
        <v>103</v>
      </c>
      <c r="C29" s="10" t="s">
        <v>40</v>
      </c>
      <c r="D29" s="11">
        <v>5</v>
      </c>
      <c r="E29" s="11">
        <v>10</v>
      </c>
      <c r="F29" s="12">
        <f t="shared" si="0"/>
        <v>250</v>
      </c>
      <c r="G29" s="11">
        <f t="shared" si="1"/>
        <v>60</v>
      </c>
      <c r="H29" s="11">
        <f t="shared" si="2"/>
        <v>80</v>
      </c>
      <c r="I29" s="10"/>
      <c r="J29" s="11">
        <v>0</v>
      </c>
      <c r="K29" s="31">
        <v>46216</v>
      </c>
      <c r="L29" s="11">
        <v>280</v>
      </c>
      <c r="M29" s="11">
        <f t="shared" si="3"/>
        <v>280</v>
      </c>
      <c r="N29" s="28">
        <f t="shared" si="4"/>
        <v>28</v>
      </c>
      <c r="O29" s="29" t="s">
        <v>104</v>
      </c>
      <c r="P29" s="11">
        <f t="shared" si="5"/>
        <v>200</v>
      </c>
      <c r="Q29" s="11">
        <f t="shared" si="6"/>
        <v>20</v>
      </c>
      <c r="R29" s="11" t="s">
        <v>105</v>
      </c>
      <c r="XEK29" s="2"/>
      <c r="XEL29" s="2"/>
      <c r="XEM29" s="2"/>
      <c r="XEN29" s="2"/>
      <c r="XEO29" s="2"/>
      <c r="XEP29" s="2"/>
      <c r="XEQ29" s="2"/>
      <c r="XER29" s="2"/>
      <c r="XES29" s="2"/>
      <c r="XET29" s="2"/>
      <c r="XEU29" s="2"/>
      <c r="XEV29" s="2"/>
      <c r="XEW29" s="2"/>
      <c r="XEX29" s="2"/>
      <c r="XEY29" s="2"/>
      <c r="XEZ29" s="2"/>
      <c r="XFA29" s="2"/>
      <c r="XFB29" s="2"/>
      <c r="XFC29" s="2"/>
      <c r="XFD29" s="2"/>
    </row>
    <row r="30" s="1" customFormat="1" spans="1:16384">
      <c r="A30" s="11">
        <v>26</v>
      </c>
      <c r="B30" s="9" t="s">
        <v>106</v>
      </c>
      <c r="C30" s="10" t="s">
        <v>40</v>
      </c>
      <c r="D30" s="11">
        <v>9</v>
      </c>
      <c r="E30" s="11">
        <v>18</v>
      </c>
      <c r="F30" s="12">
        <f t="shared" si="0"/>
        <v>450</v>
      </c>
      <c r="G30" s="11">
        <f t="shared" si="1"/>
        <v>108</v>
      </c>
      <c r="H30" s="11">
        <f t="shared" si="2"/>
        <v>144</v>
      </c>
      <c r="I30" s="10"/>
      <c r="J30" s="11">
        <v>0</v>
      </c>
      <c r="K30" s="30">
        <v>46217</v>
      </c>
      <c r="L30" s="11">
        <v>100</v>
      </c>
      <c r="M30" s="11">
        <f t="shared" si="3"/>
        <v>100</v>
      </c>
      <c r="N30" s="28">
        <f t="shared" si="4"/>
        <v>5.55555555555556</v>
      </c>
      <c r="O30" s="29" t="s">
        <v>107</v>
      </c>
      <c r="P30" s="11">
        <f t="shared" si="5"/>
        <v>-44</v>
      </c>
      <c r="Q30" s="11">
        <f t="shared" si="6"/>
        <v>-2.44444444444444</v>
      </c>
      <c r="R30" s="34">
        <v>46216</v>
      </c>
      <c r="XEK30" s="2"/>
      <c r="XEL30" s="2"/>
      <c r="XEM30" s="2"/>
      <c r="XEN30" s="2"/>
      <c r="XEO30" s="2"/>
      <c r="XEP30" s="2"/>
      <c r="XEQ30" s="2"/>
      <c r="XER30" s="2"/>
      <c r="XES30" s="2"/>
      <c r="XET30" s="2"/>
      <c r="XEU30" s="2"/>
      <c r="XEV30" s="2"/>
      <c r="XEW30" s="2"/>
      <c r="XEX30" s="2"/>
      <c r="XEY30" s="2"/>
      <c r="XEZ30" s="2"/>
      <c r="XFA30" s="2"/>
      <c r="XFB30" s="2"/>
      <c r="XFC30" s="2"/>
      <c r="XFD30" s="2"/>
    </row>
    <row r="31" s="1" customFormat="1" spans="1:16384">
      <c r="A31" s="11">
        <v>27</v>
      </c>
      <c r="B31" s="9" t="s">
        <v>108</v>
      </c>
      <c r="C31" s="10" t="s">
        <v>109</v>
      </c>
      <c r="D31" s="11">
        <v>7</v>
      </c>
      <c r="E31" s="11">
        <v>14</v>
      </c>
      <c r="F31" s="12">
        <f t="shared" si="0"/>
        <v>350</v>
      </c>
      <c r="G31" s="11">
        <f t="shared" si="1"/>
        <v>84</v>
      </c>
      <c r="H31" s="11">
        <f t="shared" si="2"/>
        <v>112</v>
      </c>
      <c r="I31" s="10"/>
      <c r="J31" s="11">
        <v>0</v>
      </c>
      <c r="K31" s="30">
        <v>46206</v>
      </c>
      <c r="L31" s="11">
        <v>300</v>
      </c>
      <c r="M31" s="11">
        <f t="shared" si="3"/>
        <v>300</v>
      </c>
      <c r="N31" s="28">
        <f t="shared" si="4"/>
        <v>21.4285714285714</v>
      </c>
      <c r="O31" s="29" t="s">
        <v>63</v>
      </c>
      <c r="P31" s="11">
        <f t="shared" si="5"/>
        <v>188</v>
      </c>
      <c r="Q31" s="11">
        <f t="shared" si="6"/>
        <v>13.4285714285714</v>
      </c>
      <c r="R31" s="31" t="s">
        <v>34</v>
      </c>
      <c r="XEK31" s="2"/>
      <c r="XEL31" s="2"/>
      <c r="XEM31" s="2"/>
      <c r="XEN31" s="2"/>
      <c r="XEO31" s="2"/>
      <c r="XEP31" s="2"/>
      <c r="XEQ31" s="2"/>
      <c r="XER31" s="2"/>
      <c r="XES31" s="2"/>
      <c r="XET31" s="2"/>
      <c r="XEU31" s="2"/>
      <c r="XEV31" s="2"/>
      <c r="XEW31" s="2"/>
      <c r="XEX31" s="2"/>
      <c r="XEY31" s="2"/>
      <c r="XEZ31" s="2"/>
      <c r="XFA31" s="2"/>
      <c r="XFB31" s="2"/>
      <c r="XFC31" s="2"/>
      <c r="XFD31" s="2"/>
    </row>
  </sheetData>
  <mergeCells count="10">
    <mergeCell ref="A1:R1"/>
    <mergeCell ref="I3:J3"/>
    <mergeCell ref="K3:L3"/>
    <mergeCell ref="P3:Q3"/>
    <mergeCell ref="A3:A4"/>
    <mergeCell ref="B3:B4"/>
    <mergeCell ref="C3:C4"/>
    <mergeCell ref="D3:D4"/>
    <mergeCell ref="M3:M4"/>
    <mergeCell ref="N3:N4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HARYANTO</dc:creator>
  <cp:lastModifiedBy>its</cp:lastModifiedBy>
  <dcterms:created xsi:type="dcterms:W3CDTF">2026-07-10T23:16:00Z</dcterms:created>
  <dcterms:modified xsi:type="dcterms:W3CDTF">2026-07-15T07:34:09Z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1033-11.2.0.10223</vt:lpwstr>
  </property>
</Properties>
</file>